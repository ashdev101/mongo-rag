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hayantac705\Documents\Compensation\Projects\Gen AI in HR\Kreeda Labs\Reports\Policies\"/>
    </mc:Choice>
  </mc:AlternateContent>
  <xr:revisionPtr revIDLastSave="0" documentId="13_ncr:1_{FB8B92D0-B9FF-4AF0-90D3-789D18C6FFDD}" xr6:coauthVersionLast="47" xr6:coauthVersionMax="47" xr10:uidLastSave="{00000000-0000-0000-0000-000000000000}"/>
  <bookViews>
    <workbookView xWindow="-110" yWindow="-110" windowWidth="19420" windowHeight="11500" firstSheet="8" activeTab="11" xr2:uid="{F4E134AC-58B8-4128-898B-15AF40811B58}"/>
  </bookViews>
  <sheets>
    <sheet name="Summary- FY 25-26" sheetId="22" r:id="rId1"/>
    <sheet name="Summary- FY 24-25" sheetId="16" r:id="rId2"/>
    <sheet name="Process Document" sheetId="13" r:id="rId3"/>
    <sheet name="Sheet3" sheetId="17" state="hidden" r:id="rId4"/>
    <sheet name="Sheet4" sheetId="20" state="hidden" r:id="rId5"/>
    <sheet name="CEO of the Qtr" sheetId="1" r:id="rId6"/>
    <sheet name="Spot &amp; Spot of the Month" sheetId="8" r:id="rId7"/>
    <sheet name="Debutant of the Qtr" sheetId="2" r:id="rId8"/>
    <sheet name="Job Well Done" sheetId="3" r:id="rId9"/>
    <sheet name="Intrafunctional " sheetId="5" r:id="rId10"/>
    <sheet name="People Champion" sheetId="15" r:id="rId11"/>
    <sheet name="Cross Functional" sheetId="6" r:id="rId12"/>
    <sheet name="Thank You" sheetId="9" r:id="rId13"/>
  </sheets>
  <definedNames>
    <definedName name="_xlnm._FilterDatabase" localSheetId="5" hidden="1">'CEO of the Qtr'!$A$1:$K$214</definedName>
    <definedName name="_xlnm._FilterDatabase" localSheetId="11" hidden="1">'Cross Functional'!$A$1:$K$226</definedName>
    <definedName name="_xlnm._FilterDatabase" localSheetId="7" hidden="1">'Debutant of the Qtr'!$A$1:$J$32</definedName>
    <definedName name="_xlnm._FilterDatabase" localSheetId="9" hidden="1">'Intrafunctional '!$A$1:$K$247</definedName>
    <definedName name="_xlnm._FilterDatabase" localSheetId="8" hidden="1">'Job Well Done'!$A$1:$AL$158</definedName>
    <definedName name="_xlnm._FilterDatabase" localSheetId="10" hidden="1">'People Champion'!$A$1:$K$1</definedName>
    <definedName name="_xlnm._FilterDatabase" localSheetId="4" hidden="1">Sheet4!$A$1:$G$1</definedName>
    <definedName name="_xlnm._FilterDatabase" localSheetId="6" hidden="1">'Spot &amp; Spot of the Month'!$A$1:$L$1195</definedName>
    <definedName name="_xlnm._FilterDatabase" localSheetId="12" hidden="1">'Thank You'!$A$1:$J$107</definedName>
  </definedNames>
  <calcPr calcId="191029"/>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2" l="1"/>
  <c r="C18" i="22"/>
  <c r="C17" i="22"/>
  <c r="C16" i="22"/>
  <c r="C15" i="22"/>
  <c r="B16" i="22"/>
  <c r="B17" i="22"/>
  <c r="B18" i="22"/>
  <c r="B19" i="22"/>
  <c r="B15" i="22"/>
  <c r="N24" i="22"/>
  <c r="N14" i="22"/>
  <c r="C33" i="22"/>
  <c r="C32" i="22"/>
  <c r="F27" i="22"/>
  <c r="E27" i="22"/>
  <c r="D27" i="22"/>
  <c r="C27" i="22"/>
  <c r="B27" i="22"/>
  <c r="F26" i="22"/>
  <c r="E26" i="22"/>
  <c r="D26" i="22"/>
  <c r="C26" i="22"/>
  <c r="B26" i="22"/>
  <c r="F25" i="22"/>
  <c r="E25" i="22"/>
  <c r="D25" i="22"/>
  <c r="C25" i="22"/>
  <c r="B25" i="22"/>
  <c r="M24" i="22"/>
  <c r="L24" i="22"/>
  <c r="K24" i="22"/>
  <c r="F24" i="22"/>
  <c r="E24" i="22"/>
  <c r="D24" i="22"/>
  <c r="C24" i="22"/>
  <c r="B24" i="22"/>
  <c r="F23" i="22"/>
  <c r="E23" i="22"/>
  <c r="D23" i="22"/>
  <c r="C23" i="22"/>
  <c r="B23" i="22"/>
  <c r="N8" i="22"/>
  <c r="M8" i="22"/>
  <c r="L8" i="22"/>
  <c r="K8" i="22"/>
  <c r="E8" i="22"/>
  <c r="D8" i="22"/>
  <c r="C8" i="22"/>
  <c r="B8" i="22"/>
  <c r="N7" i="22"/>
  <c r="M7" i="22"/>
  <c r="L7" i="22"/>
  <c r="K7" i="22"/>
  <c r="E7" i="22"/>
  <c r="D7" i="22"/>
  <c r="C7" i="22"/>
  <c r="B7" i="22"/>
  <c r="N6" i="22"/>
  <c r="M6" i="22"/>
  <c r="L6" i="22"/>
  <c r="K6" i="22"/>
  <c r="E6" i="22"/>
  <c r="D6" i="22"/>
  <c r="C6" i="22"/>
  <c r="B6" i="22"/>
  <c r="N5" i="22"/>
  <c r="M5" i="22"/>
  <c r="L5" i="22"/>
  <c r="K5" i="22"/>
  <c r="E5" i="22"/>
  <c r="D5" i="22"/>
  <c r="C5" i="22"/>
  <c r="B5" i="22"/>
  <c r="N4" i="22"/>
  <c r="M4" i="22"/>
  <c r="L4" i="22"/>
  <c r="K4" i="22"/>
  <c r="E4" i="22"/>
  <c r="D4" i="22"/>
  <c r="C4" i="22"/>
  <c r="B4" i="22"/>
  <c r="K36" i="22"/>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F4" i="22" l="1"/>
  <c r="F6" i="22"/>
  <c r="O4" i="22"/>
  <c r="O8" i="22"/>
  <c r="O7" i="22"/>
  <c r="K32" i="22"/>
  <c r="K33" i="22"/>
  <c r="K35" i="22"/>
  <c r="K34" i="22"/>
  <c r="F7" i="22"/>
  <c r="O5" i="22"/>
  <c r="O6" i="22"/>
  <c r="F5" i="22"/>
  <c r="F8" i="22"/>
  <c r="D9" i="22"/>
  <c r="B9" i="22"/>
  <c r="K9" i="22"/>
  <c r="L9" i="22"/>
  <c r="M9" i="22"/>
  <c r="N9" i="22"/>
  <c r="C9" i="22"/>
  <c r="E9" i="22"/>
  <c r="K188" i="1"/>
  <c r="F9" i="22" l="1"/>
  <c r="O9" i="22"/>
  <c r="K1195" i="8"/>
  <c r="K1194" i="8"/>
  <c r="K1193" i="8"/>
  <c r="K1192" i="8"/>
  <c r="K1191" i="8"/>
  <c r="K1190" i="8"/>
  <c r="K1189" i="8"/>
  <c r="K1188" i="8"/>
  <c r="K1187" i="8"/>
  <c r="K1186" i="8"/>
  <c r="K1185" i="8"/>
  <c r="K1184" i="8"/>
  <c r="K1183" i="8"/>
  <c r="K1182" i="8"/>
  <c r="K1181" i="8"/>
  <c r="K1180" i="8"/>
  <c r="K1179" i="8"/>
  <c r="K1178" i="8"/>
  <c r="K1177" i="8"/>
  <c r="K1176" i="8"/>
  <c r="K1175" i="8"/>
  <c r="K1174" i="8"/>
  <c r="K1173" i="8"/>
  <c r="K1172" i="8"/>
  <c r="K1171" i="8"/>
  <c r="K1170" i="8"/>
  <c r="K1169" i="8"/>
  <c r="K1168" i="8"/>
  <c r="K1167" i="8"/>
  <c r="K1166" i="8"/>
  <c r="K1165" i="8"/>
  <c r="K1164" i="8"/>
  <c r="K1163" i="8"/>
  <c r="K1162" i="8"/>
  <c r="K1161" i="8"/>
  <c r="K1160" i="8"/>
  <c r="K1159" i="8"/>
  <c r="K1158" i="8"/>
  <c r="K1157" i="8"/>
  <c r="K1156" i="8"/>
  <c r="K1155" i="8"/>
  <c r="K1154" i="8"/>
  <c r="K1153" i="8"/>
  <c r="K1152" i="8"/>
  <c r="K1151" i="8"/>
  <c r="K1150" i="8"/>
  <c r="K1149" i="8"/>
  <c r="K1148" i="8"/>
  <c r="K1147" i="8"/>
  <c r="K1146" i="8"/>
  <c r="K1145" i="8"/>
  <c r="K1144" i="8"/>
  <c r="K1143" i="8"/>
  <c r="K1142" i="8"/>
  <c r="K1141" i="8"/>
  <c r="K1140" i="8"/>
  <c r="K1139" i="8"/>
  <c r="K1138" i="8"/>
  <c r="K1137" i="8"/>
  <c r="K1136" i="8"/>
  <c r="K1135" i="8"/>
  <c r="K1134" i="8"/>
  <c r="K1133" i="8"/>
  <c r="K1132" i="8"/>
  <c r="K1131" i="8"/>
  <c r="K1130" i="8"/>
  <c r="K1129" i="8"/>
  <c r="K1128" i="8"/>
  <c r="K1127" i="8"/>
  <c r="K1126" i="8"/>
  <c r="K1125" i="8"/>
  <c r="K1124" i="8"/>
  <c r="K1123" i="8"/>
  <c r="K1122" i="8"/>
  <c r="K1121" i="8"/>
  <c r="K1120" i="8"/>
  <c r="K1119" i="8"/>
  <c r="K1118" i="8"/>
  <c r="K1117" i="8"/>
  <c r="K1116" i="8"/>
  <c r="K1115" i="8"/>
  <c r="K1114" i="8"/>
  <c r="K1113" i="8"/>
  <c r="K1112" i="8"/>
  <c r="K1111" i="8"/>
  <c r="K1110" i="8"/>
  <c r="K1109" i="8"/>
  <c r="K1108" i="8"/>
  <c r="K1107" i="8"/>
  <c r="K1106" i="8"/>
  <c r="K1105" i="8"/>
  <c r="K1104" i="8"/>
  <c r="K1103" i="8"/>
  <c r="K1102" i="8"/>
  <c r="K1101" i="8"/>
  <c r="K1100" i="8"/>
  <c r="K1099" i="8"/>
  <c r="K1098" i="8"/>
  <c r="K1097" i="8"/>
  <c r="K1096" i="8"/>
  <c r="K1095" i="8"/>
  <c r="K1094" i="8"/>
  <c r="K1093" i="8"/>
  <c r="K1092" i="8"/>
  <c r="K1091" i="8"/>
  <c r="K1090" i="8"/>
  <c r="K1089" i="8"/>
  <c r="K1088" i="8"/>
  <c r="K1087" i="8"/>
  <c r="K1086" i="8"/>
  <c r="K1085" i="8"/>
  <c r="K1084" i="8"/>
  <c r="K1083" i="8"/>
  <c r="K1082" i="8"/>
  <c r="K1081" i="8"/>
  <c r="K1080" i="8"/>
  <c r="K1079" i="8"/>
  <c r="K1078" i="8"/>
  <c r="K1077" i="8"/>
  <c r="K1076" i="8"/>
  <c r="K1075" i="8"/>
  <c r="K1074" i="8"/>
  <c r="K1073" i="8"/>
  <c r="K1072" i="8"/>
  <c r="K1071" i="8"/>
  <c r="K1070" i="8"/>
  <c r="K1069" i="8"/>
  <c r="K1068" i="8"/>
  <c r="K1067" i="8"/>
  <c r="K1066" i="8"/>
  <c r="K1065" i="8"/>
  <c r="K1064" i="8"/>
  <c r="K1063" i="8"/>
  <c r="K1062" i="8"/>
  <c r="K1061" i="8"/>
  <c r="K1060" i="8"/>
  <c r="K1059" i="8"/>
  <c r="K1058" i="8"/>
  <c r="K1057" i="8"/>
  <c r="K1056" i="8"/>
  <c r="K1055" i="8"/>
  <c r="K1054" i="8"/>
  <c r="K1053" i="8"/>
  <c r="K1052" i="8"/>
  <c r="K1051" i="8"/>
  <c r="K1050" i="8"/>
  <c r="K1049" i="8"/>
  <c r="K1048" i="8"/>
  <c r="K1047" i="8"/>
  <c r="K1046" i="8"/>
  <c r="K1045" i="8"/>
  <c r="K1044" i="8"/>
  <c r="K1043" i="8"/>
  <c r="K1042" i="8"/>
  <c r="K1041" i="8"/>
  <c r="K1040" i="8"/>
  <c r="K1039" i="8"/>
  <c r="K1038" i="8"/>
  <c r="K1037" i="8"/>
  <c r="K1036" i="8"/>
  <c r="K1035" i="8"/>
  <c r="K1034" i="8"/>
  <c r="K1033" i="8"/>
  <c r="K1032" i="8"/>
  <c r="K1031" i="8"/>
  <c r="K1030" i="8"/>
  <c r="K1029" i="8"/>
  <c r="K1028" i="8"/>
  <c r="K1027" i="8"/>
  <c r="K1026" i="8"/>
  <c r="K1025" i="8"/>
  <c r="K1024" i="8"/>
  <c r="K1023" i="8"/>
  <c r="K1022" i="8"/>
  <c r="K1021" i="8"/>
  <c r="K1020" i="8"/>
  <c r="K1019" i="8"/>
  <c r="K1018" i="8"/>
  <c r="K1017" i="8"/>
  <c r="K1016" i="8"/>
  <c r="K1015" i="8"/>
  <c r="K1014" i="8"/>
  <c r="K1013" i="8"/>
  <c r="K1012" i="8"/>
  <c r="K1011" i="8"/>
  <c r="K1010" i="8"/>
  <c r="K1009" i="8"/>
  <c r="K1008" i="8"/>
  <c r="K1007" i="8"/>
  <c r="K1006" i="8"/>
  <c r="K1005" i="8"/>
  <c r="K1004" i="8"/>
  <c r="K1003" i="8"/>
  <c r="K1002" i="8"/>
  <c r="K1001" i="8"/>
  <c r="K1000" i="8"/>
  <c r="K999" i="8"/>
  <c r="K998" i="8"/>
  <c r="K997" i="8"/>
  <c r="K996" i="8"/>
  <c r="K995" i="8"/>
  <c r="K994" i="8"/>
  <c r="K993" i="8"/>
  <c r="K992" i="8"/>
  <c r="K991" i="8"/>
  <c r="K990" i="8"/>
  <c r="K989" i="8"/>
  <c r="K988" i="8"/>
  <c r="K987" i="8"/>
  <c r="K986" i="8"/>
  <c r="K985" i="8"/>
  <c r="K984" i="8"/>
  <c r="K983" i="8"/>
  <c r="K982" i="8"/>
  <c r="K981" i="8"/>
  <c r="K980" i="8"/>
  <c r="K979" i="8"/>
  <c r="K978" i="8"/>
  <c r="K977" i="8"/>
  <c r="K976" i="8"/>
  <c r="K975" i="8"/>
  <c r="K974" i="8"/>
  <c r="K973" i="8"/>
  <c r="K972" i="8"/>
  <c r="K971" i="8"/>
  <c r="K970" i="8"/>
  <c r="K969" i="8"/>
  <c r="K968" i="8"/>
  <c r="K967" i="8"/>
  <c r="K966" i="8"/>
  <c r="K965" i="8"/>
  <c r="K964" i="8"/>
  <c r="K963" i="8"/>
  <c r="K962" i="8"/>
  <c r="K961" i="8"/>
  <c r="K960" i="8"/>
  <c r="K959" i="8"/>
  <c r="K958" i="8"/>
  <c r="K957" i="8"/>
  <c r="K956" i="8"/>
  <c r="K955" i="8"/>
  <c r="K954" i="8"/>
  <c r="K953" i="8"/>
  <c r="K952" i="8"/>
  <c r="K951" i="8"/>
  <c r="K950" i="8"/>
  <c r="K949" i="8"/>
  <c r="K948" i="8"/>
  <c r="K947" i="8"/>
  <c r="K946" i="8"/>
  <c r="K945" i="8"/>
  <c r="K944" i="8"/>
  <c r="K943" i="8"/>
  <c r="K942" i="8"/>
  <c r="K941" i="8"/>
  <c r="K940" i="8"/>
  <c r="K939" i="8"/>
  <c r="K938" i="8"/>
  <c r="K937" i="8"/>
  <c r="K936" i="8"/>
  <c r="K935" i="8"/>
  <c r="K934" i="8"/>
  <c r="K933" i="8"/>
  <c r="K932" i="8"/>
  <c r="K931" i="8"/>
  <c r="K930" i="8"/>
  <c r="K929" i="8"/>
  <c r="K928" i="8"/>
  <c r="K927" i="8"/>
  <c r="K926" i="8"/>
  <c r="K925" i="8"/>
  <c r="K924" i="8"/>
  <c r="K923" i="8"/>
  <c r="K922" i="8"/>
  <c r="K921" i="8"/>
  <c r="K920" i="8"/>
  <c r="K919" i="8"/>
  <c r="K918" i="8"/>
  <c r="K917" i="8"/>
  <c r="K916" i="8"/>
  <c r="K915" i="8"/>
  <c r="K914" i="8"/>
  <c r="K913" i="8"/>
  <c r="K912" i="8"/>
  <c r="K911" i="8"/>
  <c r="K910" i="8"/>
  <c r="K909" i="8"/>
  <c r="K908" i="8"/>
  <c r="K907" i="8"/>
  <c r="K906" i="8"/>
  <c r="K905" i="8"/>
  <c r="K904" i="8"/>
  <c r="K903" i="8"/>
  <c r="K902" i="8"/>
  <c r="K901" i="8"/>
  <c r="K900" i="8"/>
  <c r="K899" i="8"/>
  <c r="K898" i="8"/>
  <c r="K897" i="8"/>
  <c r="K896" i="8"/>
  <c r="K895" i="8"/>
  <c r="K894" i="8"/>
  <c r="K893" i="8"/>
  <c r="K892" i="8"/>
  <c r="K891" i="8"/>
  <c r="K890" i="8"/>
  <c r="K889" i="8"/>
  <c r="K888" i="8"/>
  <c r="K887" i="8"/>
  <c r="K886" i="8"/>
  <c r="K885" i="8"/>
  <c r="K884" i="8"/>
  <c r="K883" i="8"/>
  <c r="K882" i="8"/>
  <c r="K881" i="8"/>
  <c r="K880" i="8"/>
  <c r="K879" i="8"/>
  <c r="K878" i="8"/>
  <c r="K877" i="8"/>
  <c r="K876" i="8"/>
  <c r="K875" i="8"/>
  <c r="K874" i="8"/>
  <c r="K873" i="8"/>
  <c r="K872" i="8"/>
  <c r="K871" i="8"/>
  <c r="K870" i="8"/>
  <c r="K869" i="8"/>
  <c r="K868" i="8"/>
  <c r="K867" i="8"/>
  <c r="K866" i="8"/>
  <c r="K865" i="8"/>
  <c r="K864" i="8"/>
  <c r="K863" i="8"/>
  <c r="K862" i="8"/>
  <c r="K861" i="8"/>
  <c r="K860" i="8"/>
  <c r="K859" i="8"/>
  <c r="K858" i="8"/>
  <c r="K857" i="8"/>
  <c r="K856" i="8"/>
  <c r="K855" i="8"/>
  <c r="K854" i="8"/>
  <c r="K853" i="8"/>
  <c r="K852" i="8"/>
  <c r="K851" i="8"/>
  <c r="K850" i="8"/>
  <c r="K849" i="8"/>
  <c r="K848" i="8"/>
  <c r="K847" i="8"/>
  <c r="K846" i="8"/>
  <c r="K845" i="8"/>
  <c r="K844" i="8"/>
  <c r="K843" i="8"/>
  <c r="K842" i="8"/>
  <c r="K841" i="8"/>
  <c r="K840" i="8"/>
  <c r="K839" i="8"/>
  <c r="K838" i="8"/>
  <c r="K837" i="8"/>
  <c r="K836" i="8"/>
  <c r="K835" i="8"/>
  <c r="K834" i="8"/>
  <c r="K833" i="8"/>
  <c r="K832" i="8"/>
  <c r="K831" i="8"/>
  <c r="K830" i="8"/>
  <c r="K829" i="8"/>
  <c r="K828" i="8"/>
  <c r="K827" i="8"/>
  <c r="K826" i="8"/>
  <c r="K825" i="8"/>
  <c r="K824" i="8"/>
  <c r="K823" i="8"/>
  <c r="K822" i="8"/>
  <c r="K821" i="8"/>
  <c r="K820" i="8"/>
  <c r="K819" i="8"/>
  <c r="K818" i="8"/>
  <c r="K817" i="8"/>
  <c r="K816" i="8"/>
  <c r="K815" i="8"/>
  <c r="K814" i="8"/>
  <c r="K813" i="8"/>
  <c r="K812" i="8"/>
  <c r="K811" i="8"/>
  <c r="K810" i="8"/>
  <c r="K809" i="8"/>
  <c r="K808" i="8"/>
  <c r="K807" i="8"/>
  <c r="K806" i="8"/>
  <c r="K805" i="8"/>
  <c r="K804" i="8"/>
  <c r="K803" i="8"/>
  <c r="K802" i="8"/>
  <c r="K801" i="8"/>
  <c r="K800" i="8"/>
  <c r="K799" i="8"/>
  <c r="K798" i="8"/>
  <c r="K797" i="8"/>
  <c r="K796" i="8"/>
  <c r="K795" i="8"/>
  <c r="K794" i="8"/>
  <c r="K793" i="8"/>
  <c r="K792" i="8"/>
  <c r="K791" i="8"/>
  <c r="K790" i="8"/>
  <c r="K789" i="8"/>
  <c r="K788" i="8"/>
  <c r="K787" i="8"/>
  <c r="K786" i="8"/>
  <c r="K785" i="8"/>
  <c r="K784" i="8"/>
  <c r="K783" i="8"/>
  <c r="K782" i="8"/>
  <c r="K781" i="8"/>
  <c r="K780" i="8"/>
  <c r="K779" i="8"/>
  <c r="K778" i="8"/>
  <c r="K777" i="8"/>
  <c r="K776" i="8"/>
  <c r="K775" i="8"/>
  <c r="K774" i="8"/>
  <c r="K773" i="8"/>
  <c r="K772" i="8"/>
  <c r="K771" i="8"/>
  <c r="K770" i="8"/>
  <c r="K769" i="8"/>
  <c r="K768" i="8"/>
  <c r="K767" i="8"/>
  <c r="K766" i="8"/>
  <c r="K765" i="8"/>
  <c r="K764" i="8"/>
  <c r="K763" i="8"/>
  <c r="K762" i="8"/>
  <c r="K761" i="8"/>
  <c r="K760" i="8"/>
  <c r="K759" i="8"/>
  <c r="K758" i="8"/>
  <c r="K757" i="8"/>
  <c r="K756" i="8"/>
  <c r="K755" i="8"/>
  <c r="K754" i="8"/>
  <c r="K753" i="8"/>
  <c r="K752" i="8"/>
  <c r="K751" i="8"/>
  <c r="K750" i="8"/>
  <c r="K749" i="8"/>
  <c r="K748" i="8"/>
  <c r="K747" i="8"/>
  <c r="K746" i="8"/>
  <c r="K745" i="8"/>
  <c r="K744" i="8"/>
  <c r="K743" i="8"/>
  <c r="K742" i="8"/>
  <c r="K741" i="8"/>
  <c r="K740" i="8"/>
  <c r="K739" i="8"/>
  <c r="K738" i="8"/>
  <c r="K737" i="8"/>
  <c r="K736" i="8"/>
  <c r="K735" i="8"/>
  <c r="K734" i="8"/>
  <c r="K733" i="8"/>
  <c r="K732" i="8"/>
  <c r="K731" i="8"/>
  <c r="K730" i="8"/>
  <c r="K729" i="8"/>
  <c r="K728" i="8"/>
  <c r="K727" i="8"/>
  <c r="K726" i="8"/>
  <c r="K725" i="8"/>
  <c r="K724" i="8"/>
  <c r="K723" i="8"/>
  <c r="K722" i="8"/>
  <c r="K721" i="8"/>
  <c r="K720" i="8"/>
  <c r="K719" i="8"/>
  <c r="K718" i="8"/>
  <c r="K717" i="8"/>
  <c r="K716" i="8"/>
  <c r="K715" i="8"/>
  <c r="K714" i="8"/>
  <c r="K713" i="8"/>
  <c r="K712" i="8"/>
  <c r="K711" i="8"/>
  <c r="K710" i="8"/>
  <c r="K709" i="8"/>
  <c r="K708" i="8"/>
  <c r="K707" i="8"/>
  <c r="K706" i="8"/>
  <c r="K705" i="8"/>
  <c r="K704" i="8"/>
  <c r="K703" i="8"/>
  <c r="K702" i="8"/>
  <c r="K701" i="8"/>
  <c r="K700" i="8"/>
  <c r="K699" i="8"/>
  <c r="K698" i="8"/>
  <c r="K697" i="8"/>
  <c r="K696" i="8"/>
  <c r="K695" i="8"/>
  <c r="K694" i="8"/>
  <c r="K693" i="8"/>
  <c r="K692" i="8"/>
  <c r="K691" i="8"/>
  <c r="K690" i="8"/>
  <c r="K689" i="8"/>
  <c r="K688" i="8"/>
  <c r="K687" i="8"/>
  <c r="K686" i="8"/>
  <c r="K685" i="8"/>
  <c r="K684" i="8"/>
  <c r="K683" i="8"/>
  <c r="K682" i="8"/>
  <c r="K681" i="8"/>
  <c r="K680" i="8"/>
  <c r="K679" i="8"/>
  <c r="K678" i="8"/>
  <c r="K677" i="8"/>
  <c r="K676" i="8"/>
  <c r="K675" i="8"/>
  <c r="K674" i="8"/>
  <c r="K673" i="8"/>
  <c r="K672" i="8"/>
  <c r="K671" i="8"/>
  <c r="K670" i="8"/>
  <c r="K669" i="8"/>
  <c r="K668" i="8"/>
  <c r="K667" i="8"/>
  <c r="K666" i="8"/>
  <c r="K665" i="8"/>
  <c r="K664" i="8"/>
  <c r="K663" i="8"/>
  <c r="K662" i="8"/>
  <c r="K661" i="8"/>
  <c r="K660" i="8"/>
  <c r="K659" i="8"/>
  <c r="K658" i="8"/>
  <c r="K657" i="8"/>
  <c r="K656" i="8"/>
  <c r="K655" i="8"/>
  <c r="K654" i="8"/>
  <c r="K653" i="8"/>
  <c r="K652" i="8"/>
  <c r="K651" i="8"/>
  <c r="K650" i="8"/>
  <c r="K649" i="8"/>
  <c r="K648" i="8"/>
  <c r="K647" i="8"/>
  <c r="K646" i="8"/>
  <c r="K645" i="8"/>
  <c r="K644" i="8"/>
  <c r="K643" i="8"/>
  <c r="K642" i="8"/>
  <c r="K641" i="8"/>
  <c r="K640" i="8"/>
  <c r="K639" i="8"/>
  <c r="K638" i="8"/>
  <c r="K637" i="8"/>
  <c r="K636" i="8"/>
  <c r="K635" i="8"/>
  <c r="K634" i="8"/>
  <c r="K633" i="8"/>
  <c r="K632" i="8"/>
  <c r="K631" i="8"/>
  <c r="K630" i="8"/>
  <c r="K629" i="8"/>
  <c r="K628" i="8"/>
  <c r="K627" i="8"/>
  <c r="K626" i="8"/>
  <c r="K625" i="8"/>
  <c r="K624" i="8"/>
  <c r="K623" i="8"/>
  <c r="K622" i="8"/>
  <c r="K621" i="8"/>
  <c r="K620" i="8"/>
  <c r="K619" i="8"/>
  <c r="K618" i="8"/>
  <c r="K617" i="8"/>
  <c r="K616" i="8"/>
  <c r="K615" i="8"/>
  <c r="K614" i="8"/>
  <c r="K613" i="8"/>
  <c r="K612" i="8"/>
  <c r="K611" i="8"/>
  <c r="K610" i="8"/>
  <c r="K609" i="8"/>
  <c r="K608" i="8"/>
  <c r="K607" i="8"/>
  <c r="K606" i="8"/>
  <c r="K605" i="8"/>
  <c r="K604" i="8"/>
  <c r="K603" i="8"/>
  <c r="K602" i="8"/>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2" i="8"/>
  <c r="C18" i="16" l="1"/>
  <c r="B15" i="16"/>
  <c r="B17" i="16"/>
  <c r="C15" i="16"/>
  <c r="C16" i="16"/>
  <c r="C17" i="16"/>
  <c r="B16" i="16"/>
  <c r="B18" i="16"/>
  <c r="K193" i="5"/>
  <c r="K194" i="5"/>
  <c r="K195" i="5"/>
  <c r="K196" i="5"/>
  <c r="K197" i="5"/>
  <c r="K198" i="5"/>
  <c r="K199" i="5"/>
  <c r="K200" i="5"/>
  <c r="K201" i="5"/>
  <c r="K202" i="5"/>
  <c r="K203" i="5"/>
  <c r="K204" i="5"/>
  <c r="K205" i="5"/>
  <c r="K206" i="5"/>
  <c r="K207" i="5"/>
  <c r="K208" i="5"/>
  <c r="K209" i="5"/>
  <c r="K210" i="5"/>
  <c r="K211" i="5"/>
  <c r="K212" i="5"/>
  <c r="K213" i="5"/>
  <c r="K214" i="5"/>
  <c r="K192" i="5"/>
  <c r="G27" i="16"/>
  <c r="G26" i="16"/>
  <c r="G25" i="16"/>
  <c r="G24" i="16"/>
  <c r="G23" i="16"/>
  <c r="P8" i="16"/>
  <c r="P7" i="16"/>
  <c r="P6" i="16"/>
  <c r="P5" i="16"/>
  <c r="P4" i="16"/>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D18" i="16" l="1"/>
  <c r="D16" i="16"/>
  <c r="D17" i="16"/>
  <c r="D15" i="16"/>
  <c r="P9" i="16"/>
  <c r="G8" i="16"/>
  <c r="F8" i="16"/>
  <c r="F7" i="16"/>
  <c r="F6" i="16"/>
  <c r="G4" i="16"/>
  <c r="F5" i="16"/>
  <c r="G5" i="16"/>
  <c r="G6" i="16"/>
  <c r="G7" i="16"/>
  <c r="G9" i="16" l="1"/>
  <c r="C33" i="16"/>
  <c r="C32" i="16"/>
  <c r="K24" i="16"/>
  <c r="L24" i="16"/>
  <c r="M24" i="16"/>
  <c r="N24" i="16"/>
  <c r="J24" i="16"/>
  <c r="K14" i="16"/>
  <c r="L14" i="16"/>
  <c r="M14" i="16"/>
  <c r="N14" i="16"/>
  <c r="J14" i="16"/>
  <c r="P14" i="16" s="1"/>
  <c r="L8" i="16"/>
  <c r="M8" i="16"/>
  <c r="N8" i="16"/>
  <c r="K8" i="16"/>
  <c r="L7" i="16"/>
  <c r="M7" i="16"/>
  <c r="N7" i="16"/>
  <c r="K7" i="16"/>
  <c r="L6" i="16"/>
  <c r="M6" i="16"/>
  <c r="N6" i="16"/>
  <c r="K6" i="16"/>
  <c r="L5" i="16"/>
  <c r="M5" i="16"/>
  <c r="N5" i="16"/>
  <c r="K5" i="16"/>
  <c r="L4" i="16"/>
  <c r="M4" i="16"/>
  <c r="N4" i="16"/>
  <c r="K4" i="16"/>
  <c r="C27" i="16"/>
  <c r="D27" i="16"/>
  <c r="E27" i="16"/>
  <c r="B27" i="16"/>
  <c r="C26" i="16"/>
  <c r="D26" i="16"/>
  <c r="E26" i="16"/>
  <c r="B26" i="16"/>
  <c r="C25" i="16"/>
  <c r="D25" i="16"/>
  <c r="E25" i="16"/>
  <c r="B25" i="16"/>
  <c r="C24" i="16"/>
  <c r="D24" i="16"/>
  <c r="E24" i="16"/>
  <c r="B24" i="16"/>
  <c r="B23" i="16"/>
  <c r="D23" i="16"/>
  <c r="E23" i="16"/>
  <c r="C23" i="16"/>
  <c r="C8" i="16"/>
  <c r="D8" i="16"/>
  <c r="E8" i="16"/>
  <c r="B8" i="16"/>
  <c r="C7" i="16"/>
  <c r="D7" i="16"/>
  <c r="E7" i="16"/>
  <c r="B7" i="16"/>
  <c r="E6" i="16"/>
  <c r="D6" i="16"/>
  <c r="C6" i="16"/>
  <c r="B6" i="16"/>
  <c r="C5" i="16"/>
  <c r="D5" i="16"/>
  <c r="E5" i="16"/>
  <c r="B5" i="16"/>
  <c r="C4" i="16"/>
  <c r="D4" i="16"/>
  <c r="E4" i="16"/>
  <c r="F4" i="16"/>
  <c r="F9" i="16" s="1"/>
  <c r="B4" i="16"/>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E9" i="16" l="1"/>
  <c r="D9" i="16"/>
  <c r="P24" i="16"/>
  <c r="C9" i="16"/>
  <c r="B9" i="16"/>
  <c r="M9" i="16"/>
  <c r="K9" i="16"/>
  <c r="L9" i="16"/>
  <c r="N9" i="16"/>
  <c r="F26" i="16"/>
  <c r="H26" i="16" s="1"/>
  <c r="C14" i="16"/>
  <c r="C19" i="16" s="1"/>
  <c r="K33" i="16"/>
  <c r="F27" i="16"/>
  <c r="H27" i="16" s="1"/>
  <c r="O4" i="16"/>
  <c r="B14" i="16"/>
  <c r="B19" i="16" s="1"/>
  <c r="F24" i="16"/>
  <c r="H24" i="16" s="1"/>
  <c r="K32" i="16"/>
  <c r="O6" i="16"/>
  <c r="Q6" i="16" s="1"/>
  <c r="K36" i="16"/>
  <c r="K35" i="16"/>
  <c r="K34" i="16"/>
  <c r="O7" i="16"/>
  <c r="O5" i="16"/>
  <c r="Q5" i="16" s="1"/>
  <c r="O8" i="16"/>
  <c r="F25" i="16"/>
  <c r="H25" i="16" s="1"/>
  <c r="F23" i="16"/>
  <c r="H23" i="16" s="1"/>
  <c r="H7" i="16"/>
  <c r="H8" i="16"/>
  <c r="H6" i="16"/>
  <c r="H5" i="16"/>
  <c r="H4" i="16"/>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H9" i="16" l="1"/>
  <c r="O9" i="16"/>
  <c r="D14" i="16"/>
  <c r="Q8" i="16"/>
  <c r="Q7" i="16"/>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2" i="1"/>
  <c r="Q4" i="16" l="1"/>
  <c r="Q9" i="16" s="1"/>
</calcChain>
</file>

<file path=xl/sharedStrings.xml><?xml version="1.0" encoding="utf-8"?>
<sst xmlns="http://schemas.openxmlformats.org/spreadsheetml/2006/main" count="17012" uniqueCount="2601">
  <si>
    <t>Emp ID</t>
  </si>
  <si>
    <t>Name</t>
  </si>
  <si>
    <t>Grade</t>
  </si>
  <si>
    <t>Designation</t>
  </si>
  <si>
    <t>Department</t>
  </si>
  <si>
    <t>Region</t>
  </si>
  <si>
    <t>Cheril Mehta</t>
  </si>
  <si>
    <t>M4</t>
  </si>
  <si>
    <t>Manager - Subscriber Marketing</t>
  </si>
  <si>
    <t>Commercial</t>
  </si>
  <si>
    <t>Corporate</t>
  </si>
  <si>
    <t>Kumar Shubham</t>
  </si>
  <si>
    <t>Senior Manager - Brand Marketing</t>
  </si>
  <si>
    <t>Communications</t>
  </si>
  <si>
    <t>Mayur R Bhuran</t>
  </si>
  <si>
    <t>Manager - IT Operations</t>
  </si>
  <si>
    <t>IT</t>
  </si>
  <si>
    <t>P Yogapriya .</t>
  </si>
  <si>
    <t>Senior Manager - Subscriber Marketing</t>
  </si>
  <si>
    <t>Pooja Sharma</t>
  </si>
  <si>
    <t>Senior Manager - Subscriber Communications</t>
  </si>
  <si>
    <t>Digital Marketing</t>
  </si>
  <si>
    <t>Saurabh Rajput</t>
  </si>
  <si>
    <t>Manager - Business Excellence</t>
  </si>
  <si>
    <t>Finance</t>
  </si>
  <si>
    <t>Sneha Mohan</t>
  </si>
  <si>
    <t>Manager - Subscriber Communications</t>
  </si>
  <si>
    <t>Amit Patkar</t>
  </si>
  <si>
    <t>M3</t>
  </si>
  <si>
    <t>Assistant General Manager - Business Excellence</t>
  </si>
  <si>
    <t>Aditya Sharma</t>
  </si>
  <si>
    <t>General Manager - Supply Chain Services</t>
  </si>
  <si>
    <t>North</t>
  </si>
  <si>
    <t>Anshul Kapoor</t>
  </si>
  <si>
    <t>Assistant General Manager - Facilities</t>
  </si>
  <si>
    <t>Technology</t>
  </si>
  <si>
    <t>Brajesh Kumar Jha</t>
  </si>
  <si>
    <t>Manager - Information Security</t>
  </si>
  <si>
    <t>Dhiraj Kapil</t>
  </si>
  <si>
    <t>Manager - Field Service Delivery</t>
  </si>
  <si>
    <t>Field Service Delivery</t>
  </si>
  <si>
    <t>Joby George</t>
  </si>
  <si>
    <t>Assistant General Manager - Regulatory Affairs</t>
  </si>
  <si>
    <t>Legal</t>
  </si>
  <si>
    <t>Nitin Gupta</t>
  </si>
  <si>
    <t>Senior Manager - Accounts</t>
  </si>
  <si>
    <t>Suraj Pandey</t>
  </si>
  <si>
    <t>M5</t>
  </si>
  <si>
    <t>Assistant Manager - Field Service Delivery</t>
  </si>
  <si>
    <t>Sushant Awasthi</t>
  </si>
  <si>
    <t>Assistant Manager - Consumer Technology</t>
  </si>
  <si>
    <t>Anilkumar N</t>
  </si>
  <si>
    <t>Assistant Manager - Systems Solutions &amp; Design - COSSG</t>
  </si>
  <si>
    <t>Customer Operations</t>
  </si>
  <si>
    <t>South</t>
  </si>
  <si>
    <t>Deep Dayal Gupta</t>
  </si>
  <si>
    <t>Senior Manager - IT Architecture</t>
  </si>
  <si>
    <t>Janarthanan Thangavelu</t>
  </si>
  <si>
    <t>Senior Manager - IT Delivery</t>
  </si>
  <si>
    <t>Kaushal Kumar Jha</t>
  </si>
  <si>
    <t>Senior Manager - New Product Development</t>
  </si>
  <si>
    <t>Lenin Suresh Raj</t>
  </si>
  <si>
    <t>Assistant General Manager - Business Intelligence and Forecasting</t>
  </si>
  <si>
    <t>Manjunatha J.S.</t>
  </si>
  <si>
    <t>Assistant General Manager - NVSD C.A.R.E</t>
  </si>
  <si>
    <t>Mayur Wadulkar</t>
  </si>
  <si>
    <t>Manager - Subscriber Analytics</t>
  </si>
  <si>
    <t>Sachin Ravasab Janaj</t>
  </si>
  <si>
    <t>Executive - New Product Development</t>
  </si>
  <si>
    <t>Vasundhara Mudadla</t>
  </si>
  <si>
    <t>Assistant General Manager - IT Architecture</t>
  </si>
  <si>
    <t>Nitin Pawar</t>
  </si>
  <si>
    <t>Manager - Trade Sales</t>
  </si>
  <si>
    <t>Sales</t>
  </si>
  <si>
    <t>West</t>
  </si>
  <si>
    <t>Shriram Mahajan</t>
  </si>
  <si>
    <t>Vijay Pandey</t>
  </si>
  <si>
    <t>Citation</t>
  </si>
  <si>
    <t>Amitabh Das - I really appreciate the effort put in by you in configuring the UNICA campaign for Binge Mobile Flexi 99 OB campaign Launch. You took end to end responsibility from raising the CR, to coordinating closely with IT and UAT teams to ensure the solution is created, tested, and deployed seamlessly within a very stiff timeline. A big thanks for your support and ownership.</t>
  </si>
  <si>
    <t>Lolakshi Ashok Moolya - The Department of Telecommunications (DOT) issued an Office Order on October 1, 2022, eliminating NOCC charges for using the Space segment. TATA Play had already made advance payments to DOT for the entire year. Upon the order taking effect, efforts were made, particularly by Joby, who played a crucial role in meeting with officials to initiate the refund process. This involved extensive sharing of reconciliation and data to demonstrate timely payment of old dues. Finally, in September 2023, the refund was successfully received. Additionally, following the activation of GSAT 24, Joby diligently pursued the refund of WPC License fees paid in advance. After persistent follow-ups, a senior official agreed to offset these fees against the next year's Spectrum fees. The commendable efforts of Joby in navigating the complexities of government authorities to secure these refunds are truly appreciated.</t>
  </si>
  <si>
    <t>Shubham has played a pivotal role in assisting in setting up processes and spearheading the signage project Ravi and Versova. He brings to the table the ability to understand trade, the potential challenges on a project and managing key stakeholders through his relationships. Shubham has been relentless and reliable team member to ensure that the signage project keeps rolling on-time and in-full. He has also contributed to ensuring timely deliveries and execution of the long- term visibility elements including innovative elements such as sturdy standees in 2023 that has benefited the trade/business to a large extent.</t>
  </si>
  <si>
    <t>Ritesh Jain ( Commercial )-Yoga has extremely well managed 'Next Best Action' project. Right from creating Business Requirement Document to coordinating with various teams (Analytics, IT, Customer Operations..) and making sure that project is on track, Yoga has been instrumental in making this project successful. Intelligent product rules have been designed which made sure that subscribers are recommended right product there by maximizing the revenue opportunity. She made sure that at every step all the teams are aligned on the objective of the project leading to timely closure of the project. Post go live reporting has been also taken care of, daily reporting is helping teams to drive business better. Overall, an excellent work done on NBA. Keep up the good work Yoga.</t>
  </si>
  <si>
    <t>Anitha Joy ( Commercial )-Sachin has helped the content ops team in automating the daily schedule process for Tata Play Fun Learn , being new in the organisation, Sachin has been able to quickly understand content teams schedule requirement and has developed a tool to generated the various output schedules like Playout, EPG , AMS , Application schedule etc . Team used to take good amount of time to generate these schedules manually are now able to generate them with ease and manual errors are minimized through system generated schedules. Thank you Sachin.</t>
  </si>
  <si>
    <t>Naveen Rawal ( Technology )-For a potential customer on white label product, the requirement was to provide them with detailed performance review of their existing STB and accessory items and hence offer our expertise. Sushant took ownership and successfully completed the hardware reliability testing activity on the received sample units within short span of time with critical improvement findings in the product. Sushant's contribution and commitment in completing this activity is valued and appreciated. Keep it up.</t>
  </si>
  <si>
    <t>Meghana Nagaraj - Kaushal, I would like to express my appreciation for your outstanding contribution to taking Notifications live on Binge+. You took ownership of the project end to end and collaborated with Business &amp; Technology teams, playing a crucial role in prioritization, negotiating timelines, technical discussions &amp; managing stakeholder expectations to ensure the feature was taken live with a significant impact on the engagement KPIs. Your dedication is truly commendable and deeply appreciated! Your enthusiasm and determination always reflect in your outputs. Keep up the good work!</t>
  </si>
  <si>
    <t>Cheril, the effort that you have put into making Notifications on Binge+ live is remarkable. All the CLM and promotional campaigns planned and executed by you to every last detail to win back Binge customers on Binge+ &amp; to improve engagement of existing customers have been having a significant impact on the KPIs &amp; this will only improve further. Your collaborative spirit and willingness to support others have helped in making this possible. Not to mention, your attention to detail that makes you more unique. Your dedication is truly commendable and deeply appreciated! Keep up the good work!</t>
  </si>
  <si>
    <t>Shriram Congratulations on your ever Highest Achievement of TSK Active for the month of March 2024 ! Keep it up</t>
  </si>
  <si>
    <t>Sandeep Mann ( Technology )-Aditya has been crucial in helping us getting the RECD work completed for DG Sets which was supposed to be completed by 31st Dec 23, he helped us to get the PO released for this work at a very brisk rate coordinating with all the stake holders, we deeply appreciate his dedication and competence which demonstrated Collaboration, ownership, speed for the closure of subjected issue which helped us to comply with the govt guidelines well before the deadlines.</t>
  </si>
  <si>
    <t>Truly appreciate Jana for optimizing BI operations stream. Since 3 last months there are no issues in month end processing, everything went smooth. Thanks for building BI Operation Dashboard which is extremely helpful to business owners to track their RR status directly from MS teams channel seamlessly.Superb work demonstrated. Keep it up.</t>
  </si>
  <si>
    <t xml:space="preserve">Prasanna Kumar Singh ( Sales )-I appreciate your effectiveness and precision in managing MDU installation in and around Lucknow. We are acquiring hotels and other commercial establishments on a good speed and your support in installing MDU set up at these places is recognised. You not only help us in giving installations with a good speed and deliver always on time, but also you own your commitment. Keep up this good work. </t>
  </si>
  <si>
    <t>Saurabh has exemplified the urgency and the sensitivity of the Customer Discovery 6.0 program with his creative execution skills and innovative use of technology. Great Job Saurabh</t>
  </si>
  <si>
    <t>Charu Singla ( Technology )-Played a crucial part in planning and organizing the GSAT24 launch event along with Seema Kumari and Anshul Kapoor. The event was organized with meticulous planning under the guidance of Mr. Vishal Arya wherein dignitaries from the government launched the satellite and over a hundred media representatives covered the launch in the Technology Center, Chattarpur.</t>
  </si>
  <si>
    <t>Charu Singla ( Technology )-Played a crucial part in planning and organizing the GSAT24 launch event along with Seema Kumari and Nitin Gupta. The event was organized with meticulous planning under the guidance of Mr. Vishal Arya wherein dignitaries from the government launched the satellite and over a hundred media representatives covered the launch in the Technology Center, Chattarpur.</t>
  </si>
  <si>
    <t>Nitin Congratulations for Achieving ever Highest TSK Active Outlet from BID District, Awesome Show Keep it Up !</t>
  </si>
  <si>
    <t>Prachodaya Das - Helped roll out effective and elegant communication for Classic Cinema +1 and in executing the JSAT for it in less than 3 days!</t>
  </si>
  <si>
    <t>Prachodaya Das - Helped in effective and quick execution of WhatsApp Campaigns, especially during Tamil Classic TPMA preview launch, despite the time crunch and multiple obstacles. Thanks a lot !</t>
  </si>
  <si>
    <t>Ankita Pawar - Mayur has been of great help in picking up tasks last minute and successfully wrapping us crucial tasks on time! Mayur's ability to handle multiple tasks and deliver tasks on time is truly noteworthy. Thank you for your dedication and quick thinking! Keep it up!</t>
  </si>
  <si>
    <t>Awesome Show Vijay for Achieving ever Highest Milestone of TSK ACtive Dealer in the month of March 24, Keep it up Champ !</t>
  </si>
  <si>
    <t>Yashasvi Gupta ( Commercial )-Vasundhara is on top of her game with Manage apps . She is thorough with both Business and IT side of things, understands the business criticalities and pressures and always is ready to work towards anything that helps grow business. She also is very positive and always in a good mood despite so much pressure which is a rare quality to have. She delivered 99 flexilite on mservice within all timelines despite complexities. Wish vasundhara god luck going forward as well and look forward to working with her on many more projects.</t>
  </si>
  <si>
    <t>Amit collaborated effectively with all the SPOCs during the roll out and execution phases of CD 6.0. The collaboration with IT, CO, the CFT SPOCs and internal team ensured the following:1.Operational aspects of roll out was seamless that included timely receipt of call recordings for dissemination amongst participants, placeholder for access to the recordings and calendarizing the cadences to drive call listening and observation sharing  2. Rolling up the observations into pain points that are actionable and presenting the findings to the LT including MD &amp; CEO 3.Co-ordinating with SPOCs assigned to alleviate the pain points by implementing various solutions that addresses them 4. Tracking progress on various solutions being pursued by calendarizing cadenced and periodically updating the LTAll this has led to the Discovery 6.0 problem identification and solution phase being advanced by a month leading to earlier execution of solutions that  would alleviate customer pain points</t>
  </si>
  <si>
    <t>Bharti Samant - We wanted to express sincere appreciation for Sneha's invaluable contribution for the successful launch of Tata Play Tamil Classics. Her dedication, hard work and quick TAT played a crucial role in meeting deadlines.</t>
  </si>
  <si>
    <t>Anamika Chaudhuri - Thank you Manjunatha for always being so prompt and taking ownership to resolve an issue. Your collaboration with field service to resolve customer issues is commendable.</t>
  </si>
  <si>
    <t>Mayur has been steadfast and proactive in setting up the platform for execution of the Customer Discovery 6.0 Program. The proactive solutions provided to achieve challenging timelines was exemplary. Thank you Mayur. Great job.</t>
  </si>
  <si>
    <t xml:space="preserve">Satish Kumar K P ( Technology )-Brajesh had been provided a great support to fix the FTP issue which we were facing from past many months. We appreciate his quick response and taking the accountability of the issue and fixing it. Thank you for supporting. </t>
  </si>
  <si>
    <t>Vikrant Sehgal ( Field Service Delivery )-Delivering BOM nos constantly even when you are on leave days.. Good job done</t>
  </si>
  <si>
    <t xml:space="preserve">Rupalli Surve ( Customer Operations ) &amp; Vinodkumar Anandan ( Customer Operations )-Appreciate the timely help for the review of In Home Call, the data cuts were one too many , despite the stress of getting the data cuts , taking the ownership of getting all the data in place to build a story was a task which you took upon your self and toiled for almost ten days and making time to come on all the adhoc calls without complaining even once about the time and day of the week, you have taken complete ownership and delivered like a pro, appreciation by the senior management was a testimony of your efforts. Very well done!!!. Hi Lenin......Fabulous work done in preparing In-Home Dashboard and Review deck. In depth analysis of data and different cuts viz; DAS Wise, Sales Region Wise, etc... were well appreciated by CEO and Senior leadership team. Kudos to you and wishing you many more accolades... </t>
  </si>
  <si>
    <t>Quarter</t>
  </si>
  <si>
    <t>Q4-FY24</t>
  </si>
  <si>
    <t>Pradeep Tambade</t>
  </si>
  <si>
    <t>Deeptha S</t>
  </si>
  <si>
    <t>Jeevan Kumar K.</t>
  </si>
  <si>
    <t>Kummetha Sasikumar Reddy</t>
  </si>
  <si>
    <t>Rafiq P.</t>
  </si>
  <si>
    <t>Rashmi Kashyap</t>
  </si>
  <si>
    <t>Sandeep Parab</t>
  </si>
  <si>
    <t>Umer Nabi Tolla</t>
  </si>
  <si>
    <t>Usha Rani K</t>
  </si>
  <si>
    <t>Abhinav Jain</t>
  </si>
  <si>
    <t>Ajay Khurana</t>
  </si>
  <si>
    <t>Anand Kate</t>
  </si>
  <si>
    <t>Ankita Dukhande</t>
  </si>
  <si>
    <t>Anoop Srivastava</t>
  </si>
  <si>
    <t>Arinjaya Khare</t>
  </si>
  <si>
    <t>Bhauso D. Chandgude</t>
  </si>
  <si>
    <t>Manoj Jadhav</t>
  </si>
  <si>
    <t>Niraj Waghmode</t>
  </si>
  <si>
    <t>Paurav S Choubal</t>
  </si>
  <si>
    <t>Rabindra Kumar Harichandan</t>
  </si>
  <si>
    <t>S Prakash .</t>
  </si>
  <si>
    <t>Saket Veer</t>
  </si>
  <si>
    <t>Vaibhav Bhardwaj</t>
  </si>
  <si>
    <t>Abhishek Jindal - Pradeep has been instrumental in ensuring significant improvement in marketing GTM capabilities on Tata play Mobile App. TPMA has been able to build a robust customer segmentation system that enables assets and real estate on the app to be visible only to relevant customers. This functionality has been helpful, specially for an app which caters content in over 10 languages and upsells products from 6 different lines of businesses. This required constant collaboration and feedback listening with marketing, Content and TPMA Ops teams which Pradeep anchored and helped revamp the architecture for this feature. Tata Play Mobile App has become one of the largest upselling channel for Tata Play over the last 1 year and the segmentation features which Pradeep helped develop and continuously improve have had a big part in the same.</t>
  </si>
  <si>
    <t>Deeptha\u2019s contribution towards improving social process is commendable. Her contribution was immense during platform migration to simplify 360 tool and also in fixing the platform issues which has helped stabilizing the process quickly and improved NPS from negative 70s to a positive 20 currently.     \n\nHer collaboration, ownership and proactive approach towards stabilizing the social process is much appreciated.  \n\nThanks, and look forward for a continues engagement and take the social process to the next level.    Great work \uD83D\uDE0A</t>
  </si>
  <si>
    <t>Rohit Mishra - We have gone live with an offer for Tata group companies which entails special benefits on Tata Play products for their customers, starting with Croma. This was a critical project which had to go live asap due to leadership drive. Jeevan has been instrumental in driving the back-end configuration of the offer ensuring that the offer goes live on time smoothly, thanks to not just his domain knowledge, but also due to him taking ownership of the project from IT point of view and guiding the group on the process, despite having other critical requirements at hand. Thanks Jeevan!</t>
  </si>
  <si>
    <t>Yakkanti Hari Srinivasa Reddy - Sasi, I wanted to take a moment to thank you for the great work that you have demonstrated as part of CleverTap. \\nIt is a mammoth task; complex and critical components are involved which would certainly take some time to streamline but your dedication and speed have made the difference. Good job.\\nWishing you all the very best and counting on to keep same the momentum.</t>
  </si>
  <si>
    <t>Velu C - Dear Rafiq, my sincere Appreciation for your invaluable support in meticulously planning migration timelines, processing essential data, and guiding us through the critical logic of migrations, whether it pertains to the CABER process or Pack migrations. Your dedication, expertise, and unwavering commitment have played a pivotal role in the success of all our initiatives. Your contributions have not only streamlined our processes but have also set a standard of excellence within our team. Thank you for your tireless efforts and for consistently surpassing expectations to ensure our collective success.</t>
  </si>
  <si>
    <t>Pradeepkumar Velayudhan - Thanks Rashmi for the abundance effort put in collating and presenting the mid month forecast every month at timely intervals. The collaborating approach and the patience level needs to be rewarded given the fact that the forecast needs to be compared with previous trends, provision reversals to be considered and so also this numbers needs to be linked yearly forecast to decide on the targeted bottom line for the year, You have been doing this seamlessly month after month and in a timely fashion, supported by team and data. Keep the good work. Will help you out with automated paths in next year. \nThanks Rashmi for bringing new insights / perspective and ways of thinking and executing things. Your efforts on creating and showcasing the entire AI ML tool was not only enriching but also helped look at our own processes, more from faster execution and cost rationalisation perspective.\u00A0</t>
  </si>
  <si>
    <t>Pavan Kumar Garg - Sandeep, you have achieved 133% target in BIG day yesterday drive of recharge, Good Job done, keep the momentum high.</t>
  </si>
  <si>
    <t>Rajesh Puri - Umer great job in getting 175 connections installed at NHPC Kishan Ganga . Remote and distant location Umer took the challenge and spent 3 days with ISP team at site to install all 175 boxes at site within record 3 days time . Speed of execution is well appreciated.</t>
  </si>
  <si>
    <t>Abhishek Jindal &amp; Rochelle R Rajguru - Usha along with the TPMA Ops team has been the backbone for ensuring that everything on TPMA keeps going smoothly! Whether it is BAU scheduling, complicated segments request or (a lot of) last minute changes, it has been an amazing experience working with her. Thankful for how she and the team steps up for TPMA and the organization in every situation. Looking forward to an equally eventful FY25! \nThank you, Usha, for always being willing to lend a helping hand and for going above and beyond to ensure the programming is in place. You always show up with a positive attitude and a willingness to help on TPMA with HB, Mini Player or Mid Rail or the last-minute banners requests. Your attention to detail ensures that nothing falls through the cracks. Your contributions are essential, and I appreciate for all your support.</t>
  </si>
  <si>
    <t>Pradeepkumar Velayudhan - Thanks Abhinav for collaborating and supporting Finance in getting the group medical cover renewed on a timely basis. Your inputs has helped in shaping the overall renewal. The support extended for UAT towards onboarding the new partners given the short notice is well appreciated, which will help us roll out the GMC policy adoption by early this week. Thanks once again for the continued help and support.</t>
  </si>
  <si>
    <t>Bhupendra Singh Shekhawat &amp; Neeraj Sharma - Thank You Ajay Sir for timely submission of New CEISP Documents and also billing them. \nCongratulations to Ajay Khurana Sir for supporting us on conducting Big Day every week! Your dedication and hard work are truly appreciated, and it's clear that your efforts are making a significant impact on our sales drive. Keep up the fantastic work. Thanks!</t>
  </si>
  <si>
    <t>Bhauso D. Chandgude - Anand Congratulations for Achieving ever Highest TSK Active Outlet from PCMC UPC &amp; achieved the 100% target for the month of March. Awesome Show Keep It Up!</t>
  </si>
  <si>
    <t>Premsagar Gariganti - I wanted to extend my heartfelt appreciation for your invaluable assistance in streamlining our data compilation process using Microsoft Excel automation. As you may know, merging data from 30-40 Excel files into a single file was a daily activity that consumed 40-50 minutes of my time. However, thanks to your proactive approach and expertise in Microsoft Excel, this time-consuming task has been drastically reduced. After a casual conversation with Ankita, she proactively introduced me to the Microsoft Excel Power Query option. This powerful feature allows us to effortlessly merge data from multiple files into a single file within a matter of 3-4 minutes. The efficiency gains achieved through this method are truly remarkable and have significantly improved our daily workflow. Ankita's willingness to share her knowledge and introduce innovative solutions has not only saved us valuable time but has also enhanced our productivity and effectiveness.</t>
  </si>
  <si>
    <t>Ranjeet Chauhan - In Noida we have cracked well know hospital in Noida sarvodaya hospital same account is our existing account Yesterday i got a call from hospital they want 32 new installations on urgent basic. I am taking necessary approvals and contact with Mr Anoop Srivastav Service Asm Noida Area. He will take a charge and he did work with service team @ 10.30 pm and active approx 20 Box . same day he personally visit ward wise room and start tata play boxes ..All ward or bed full ..all patient.are delighted . Thanx Anoop for super support.</t>
  </si>
  <si>
    <t>Pradeepkumar Velayudhan - Thanks Arinjaya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t>
  </si>
  <si>
    <t>Bhupendra Singh Shekhawat - I would like to appreciate Bhauso Sir for Ownership of appointing new CEISP Partner with Collaboration with ASMs and with me. He taken his all ASMs on VC with me those were unable to complete documentation. and able to submit 5 new partners file in a single day and also billed them TSK and EVD same day. This SPOT is for Ownership - Collaboration and Speed. Thanks Bhauso Sir.</t>
  </si>
  <si>
    <t>Neeraj Sharma - Manoj is single point of contact for his assigned Circle team members for any kind of assistant. He is always happy to help at any time for the business enhancement in system as well as in field.\\nHis knowledge and skills are commendable for \\u201CTrade Marketing\\u201D vertical. He started run DSR contest every month and do the R&amp;R for the winners to engaged them fully resulted 65% DSRs qualified for their Bandhan rewards month on month basis.</t>
  </si>
  <si>
    <t>Pavan Kumar Garg - Niraj, you have achieved 135% target in two days drive of BMP, Good Job done, keep the momentum high.</t>
  </si>
  <si>
    <t>Rochelle R Rajguru - Thank you, Paurav, for quickly supporting me during the Nick contest that took place on April 28, 2024, on the Tata Play Mobile App. Your assistance in uploading the terms and conditions on the website in a short span of time was greatly appreciated. I value your consistent contribution of new ideas and innovative approaches to executing contests in a timely manner.</t>
  </si>
  <si>
    <t>Velu C &amp; Nikhil Gowda M - Thank you, Rabi, for the exceptional effort and dedication in successfully closing the UAT for 72 packs and related CR's. your quick collaboration and teamwork have been invaluable throughout this process. thank you once again for all your hard work and dedication in closing the UAT's on time.\nDespite being swamped with his daily meetings and work, Rabindra has been of great help in assisting and teaching us the process of SID creation on UAT, due to which our dependency on the other teams has now been greatly reduced. Thank You Rabindra.</t>
  </si>
  <si>
    <t>Pradeepkumar Velayudhan - Thanks Prakash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t>
  </si>
  <si>
    <t>Bhauso D. Chandgude - Saket Congratulations for Achieving ever Highest TSK Active Outlet, &amp; 100% achievement of target in the month of March. Awesome Show Keep It Up!</t>
  </si>
  <si>
    <t>Vaibhav has done very commendable job in urgent testing of TV app Ver. 6.0.3-1340. He responded proactively to each request and provided all his support required to test this build. His proactive approach for taking ownership of his responsibilities sets a remarkable example for all to follow. Thank you for all your support and contribution provided to test team. Well done and keep it up !</t>
  </si>
  <si>
    <t>Senior Manager - Systems Solutions &amp; Design - COSSG</t>
  </si>
  <si>
    <t>General Manager - IT Delivery</t>
  </si>
  <si>
    <t>Senior Executive - IT Delivery</t>
  </si>
  <si>
    <t>Senior Manager - Financial Planning &amp; Analysis</t>
  </si>
  <si>
    <t>Assistant Manager - New Product Development</t>
  </si>
  <si>
    <t>General Manager - Human Resources</t>
  </si>
  <si>
    <t>General Manager - Sales</t>
  </si>
  <si>
    <t>Manager - Field Service Delivery Support</t>
  </si>
  <si>
    <t>Senior Manager - Field Service Delivery</t>
  </si>
  <si>
    <t>Manager - Trade Marketing</t>
  </si>
  <si>
    <t>General Manager – UI &amp; UX</t>
  </si>
  <si>
    <t>Assistant Manager - Systems Solutions and Design - COSSG</t>
  </si>
  <si>
    <t>Senior Manager - Finance</t>
  </si>
  <si>
    <t>Senior Systems Engineer</t>
  </si>
  <si>
    <t>Human Resources</t>
  </si>
  <si>
    <t>Rabiya Sidiqa</t>
  </si>
  <si>
    <t>K R Champa</t>
  </si>
  <si>
    <t>Nishant Kumar</t>
  </si>
  <si>
    <t>Velu C</t>
  </si>
  <si>
    <t>Vinod Gaikwad</t>
  </si>
  <si>
    <t>Akramkhan Pathan</t>
  </si>
  <si>
    <t>Chien Sharma</t>
  </si>
  <si>
    <t>Mansi Meena</t>
  </si>
  <si>
    <t>Mitalee Pradhan</t>
  </si>
  <si>
    <t>Nagesh Y Bhonsle</t>
  </si>
  <si>
    <t>Narayanan P.</t>
  </si>
  <si>
    <t>Abhishek Jindal - This is an appreciation post for all that Rabiya and her team collectively enable Tata Play Mobile App to achieve. Rabiya has been instrumental in helping transform TPMA over the last year into a revenue generation channel. Over this period, we have scaled up segmented campaigns on the app from 0 to 100+ every month, increased complication of asset programming and frequency of content refreshes.\\nWhile the changes of change has been increasing, Rabiya and her team have showed great agility and dynamism to stay on top of all these changes and adapt to the operational challenges. They have also been highlighting requirements for product improvements which have helped us further strengthen the App programming and scheduling backend. Looking forward to an even more exciting FY25 with Rabiya and her team for Tata Play Mobile App.</t>
  </si>
  <si>
    <t>Champa has led the \u201CMaking custiomer smile contest 2024\u201D end to end from the CO end. Her efforts in coordinating with all the Ops stakeholders have helped us in maintaining our rank throughout the contest. Her ideas to create digital banners, updating information on TV screens, and taking video bytes have motivated the partner team to contrinute more. She took this contest over and above her assigned responsibilities and ensured her active participation.\n\u00A0\nShe managed an internal contest for Unique participation% and also rewarded best stories which further motivated the team. She also coordinated with FS team on their performance and story submission for overall Unique participation% arcoss Tataplay as Org.\n\u00A0\nResultant, \nWe were able to close the contest at 3rd Rank in 2024 as compared to 8th Rank in 2023 out of 50+ Tata group companies.\nAchieved 100% unique participation from CO team\n10K+ stories were submitted by the team as compared to 1k last year\n</t>
  </si>
  <si>
    <t>Nishant led the Unified BOT project from BE end and coordinated with various stakeholders from different functions/partner end. He not only ensured to update the leadership on project status on a regular basis, but also managed the project delivery with in the estimated duration.\n\u00A0\nThis project required a lot of followup with both Oriserve and S360 partner teams and the flow step-up with the help of IT \u2013 Nishant ensured a smooth transition from Oriserve to S360 without any major issue or delay.\n\u00A0This project will not only improve the subscriber experience, but also helped us in saving 30 Lac/year :\nExperience Impact:\nSingle chatbot partner for both TPMA and TP Binge\nLesser lead time for development with a single partner\nUniform customer experience on chatbot for both TPMA and TP Binge\nFuture perspective \u2013 One chatbot for all TP Binge (DTH and Binge bot)\n\u00A0\nCost Impact:\nWith migration to Unified bot we have a cost saving of 30 lakhs per annum which is budgeted under IT cost centre.</t>
  </si>
  <si>
    <t>Amitanshu Shankar - I would like to appreciate Velu for his incredible support on Price Hike activity, undertaken in Feb24. It was an extremely complicated activity, since broadcasters decided to increase prices and revise pack constructs midway between our planned activity and we needed to go live within a month of the changes being made to achieve revenue targets, for all subs (on packs and ALCs as well). Velu and GTM team managed all the unplanned changes which came our way, be it from broadcasters or due to competitors and ensured that the activity went live on time, got completed in 9 days and due to this support we managed to achieve the targeted incremental ARPU of 48p per day.</t>
  </si>
  <si>
    <t>Congratulations Vinod to closing the Hotel orchid deal in Pune.128 connections activated in March 24. Also, great effort to retain Hotel Marriot Sute and its help you to close the deal with other Marriot property in Pune.</t>
  </si>
  <si>
    <t>Congratulations Akram for hitting Ever Highest TSK Active Dealers from Parbhani Hingoli Districts in the month of March, Keep it up Champ!</t>
  </si>
  <si>
    <t>Kapil Laddha - Chien has been managing Amazon Prime Integration Project on Tata Play very efficiently and has been collaborating with different cross functionals teams to get timely updates and has been very proactive in her follows, raising red flags which may delay the project and ensuring that all teams are aligned to meet the target deadline. Keep up the good work!!</t>
  </si>
  <si>
    <t>Mansi smoothly and efficiently led the launch of Amazon Prime on Tata Play Binge with a fairly expansive communication strategy that involved creating multiple films and statics for various channels - Ch 100, TPMA, Binge App, Emailers, and Addressable Ads on Star networks. This required coherence between multiple teams and external partners, which she managed extremely tactically, and with ownership. All this was done in her second month in the role!</t>
  </si>
  <si>
    <t>Amitanshu Shankar - Mitalee has helped with multiple business critical projects like Amazon Prime Video, OTT Upselling destination, enhancing Make Your Own Pack journeys and several more requirements. Mitalee has been able to effectively collaborate with business teams and take their inputs to ensure customer journeys which prioritize both business and customer experience requirements. This is often not the most obvious path but requires teams to go out of their comfort zone and keep biases aside. TPMA is a better app thanks to this collaborative approach from Mitalee and her team.</t>
  </si>
  <si>
    <t>Abhishek Jindal &amp; Rochelle R Rajguru - Nagesh along with the TPMA Ops team has been the backbone for ensuring that everything on TPMA keeps going smoothly! In the heavy duty cricket matches or BAU scheduling, complicated segments request or (a lot of) last minute changes, TPMA is blessed to have Nagesh and the Ops team at it all the time. Looking forward to an equally eventful FY25! \nNagesh, I want to take a moment to express my heartfelt appreciation for all that you did on long weekend where there was so much of urgency on the Marketing of the Broadcasters. Your hard work and dedication are truly inspiring, and it is a pleasure to work alongside someone who puts so much passion and effort into their work. You are a true asset to our TPMA team, and I am grateful to have you as a colleague. Thanks a Lot :)\nThank you for always being willing to collaborate and work as a team.\u00A0</t>
  </si>
  <si>
    <t>Rochelle R Rajguru - Thank you Narayanan for your timely and quick help on Nick contest which took place on 28th April 2024 on Tata Play Mobile App. You were proactive in handling the banners and creatives and geared up for the contest in short span of time. Thank you so much for going out of your way to make the contest live.</t>
  </si>
  <si>
    <t>Manager - Business Excellence - COSSG</t>
  </si>
  <si>
    <t>Manager - Systems Solutions and Design - COSSG</t>
  </si>
  <si>
    <t>Manager – Commercial Operations</t>
  </si>
  <si>
    <t>Manager - Corporate Sales</t>
  </si>
  <si>
    <t>Manager - Projects</t>
  </si>
  <si>
    <t>Senior Manager – UI &amp; UX</t>
  </si>
  <si>
    <t>Senior Executive - New Product Development</t>
  </si>
  <si>
    <t>Q1-FY25</t>
  </si>
  <si>
    <t>Award Name</t>
  </si>
  <si>
    <t>CEO of the Quarter</t>
  </si>
  <si>
    <t>Award Name Quarter</t>
  </si>
  <si>
    <t>Velu C &amp; Yakkanti Hari Srinivasa Reddy - I wanted to express my sincere appreciation for the incredible support you and your team have provided in sharing the data for Sony RIO and the price hike changes. Your teams coordination and alignment with the CABER activities. The dedication, precision, and collaborative effort from your team have been pivotal in ensuring everything was executed flawlessly. Please convey our gratitude to the entire team. Your teams support has been crucial, and I\\u2019m looking forward to our continued success together.   \n\nAppreciate Jana for ensuing BI data delivery during weekends by way of collaborating with all resources to help in Sony price update deployments. Excellent job.</t>
  </si>
  <si>
    <t>Rohit Mishra - As part of a major packaging change activity, scheduled to go live on 1st Aug'24, we were supposed to configure 64 new LDP packs (acquisition, renewal and winback). Mayur is the point-man from GTM team for the activity, and he not only actively collaborated with Subscriber Marketing, RA and IT teams to meet timelines, but also took ownership of the activity by highlighting missing inputs in the packs, before they moved up to IT and UAT teams. Thank you for your proactive and consistent support, Mayur!\nAs part of Project Profitability, a major initiative to improve profitability of customers being acquired, we were required to replace or close all LDP acquisition packs with payback &gt; 7 years. Mayur, along with Sheeja, from GTM team led the configuration of the 23 new packs (with higher price) and closure of the older packs (with lower price), took complete ownership of the process and helped launch these products within a week of the request being raised. Thanks Mayur!</t>
  </si>
  <si>
    <t>Pankaj has taken a superb initiative of Engaging Technicians and Freelance to counter the challenges during Monsoons.\nPankaj arranged Tehsil level engagement meetings with TSRA/Freelancers and technicians as part of readiness before monsoon.He also Kept FSD in loop so that they can help in FRs also in case of heavy rains and also forecasted material requirement well on time.\nAs a Result pankaj able to achieve Good Growth in Act and Infra.This shows if we take hurdle as an opportunity then Nothing is Impossible,\nWell done Pankaj!!</t>
  </si>
  <si>
    <t>Sarbojit Sarkar - Exemplary contribution for coordination for Installation of Tata Play connection in newly elected Chief minister Mr. Mohan Maji's residence, there were, any challenges but in spite of all the adds finally installation done very successfully. This act has been appreciated by CEO &amp; CSSO.\nWell done, keep it up.</t>
  </si>
  <si>
    <t>Mayank Kumar - Despite not being on the same team, Sayyad's collaboration and dedication have been instrumental in our success. Sayyad's proficiency in testing with us to test new features like: De-Link DTH Feature and New CRs, New Plans &amp; New OTT App integrations like: Apple TV, Amazon Prime Video, Discovery+, Distro TV, etc., particularly on the Binge+ Box platform, ensures the quality and robustness of our Binge+ Box. His ability to provide clear explanations of complex features demonstrates his commitment to excellence.\\u00A0\\u00A0\\u00A0\\n\\nFurthermore, Sayyad's consistent support and availability exemplify his strong teamwork and dedication to our collective goals. Keep going and keep up the great work! Sayyad and We look forward to many more achievements together in the future.</t>
  </si>
  <si>
    <t>Kaniz has been actively involved in IB LDP Pack penetration by increasing the campaigns at IB. When 5M campaign started at OB same was introduced at IB WBK and Mass desk. This was the first time LDP campaign was introduced for active customers which helped in pack penetration .Kaniz was instrumental in launching UPP at IB . \nOverall LDP Nos has shown positive improvement month on month Cross functional coordination was instrumental and key to success. Because of all these initiatives LDP penetration at IB has shown close to 2X improvement (from 4.85 in April has gone up to close to 10 % in August 2024).</t>
  </si>
  <si>
    <t>Sreemaj has played an instrumental role in driving the LDP numbers in the Inbound win-back desk. \nLDP numbers from the desk have increased from 2750 in April to 5922 in July (115% increase)\nKey initiatives like leveraging WhatsApp for on call recharge and opening up the LDP pitch on Mass desk have helped increase the LDP uptake.</t>
  </si>
  <si>
    <t>Sabita Chawla - Your meticulous attention to detail and quality of work have contributed to the success of our project deliveries, like Binge Delinking, Amazon Prime Integration, Pause and Resume, 149 and 199 Packs. Your ability to understand the flows and identify issues and provide insightful feedback is invaluable. Thank you for your hard work and commitment.</t>
  </si>
  <si>
    <t>Pradeep Kumar - Appreciating Sachin your efforts in deployment of IVY HD Formal build on Live platform as this has been a limited duration project with challenges (new MediaTek chipset 5711 &amp; low-cost STB) to validate E2E functionality of IVY STB. You identified many blocker bugs on loader testing like loader SATCR issue, loader voltage issues, SWDL issue etc, however same loader were passed by Synamedia and many issues (60 bugs) on MRS like skip channel, front end issue etc , same have been fixed before launched the product in market. As we are Committed in bringing a Valuable and error free product to the Tata play portfolio. Keep it up Sachin, your contributions are greatly appreciated.</t>
  </si>
  <si>
    <t>Ansari Ali - Samad Is working Very hard on the TSRA Field as well as Dealer Network. Samad had help out to clear the old ODU Stock lying with the TSRA. He also Help Out the Implement the Tata play Binge App Importance across the TSRA Network. By result of which we are able to install the Demo Binge Mobile pack at the Ratnagiri area. i am Expecting Such continued Support Towards the Company Goal by Working Together.</t>
  </si>
  <si>
    <t>Abhishek Jindal - This SPOT is to recognize the collaboration shown by Nandeetha to improve Netflix Gross Adds extraction. In an otherwise dull 2 months (Jun - Jul'24) with no notable releases on Netflix, Nandeetha displayed exceptional speed by quickly helping us execute on multiple first time digital experiments. These include intent based retargeting, behavior based micro-segmentation (eg. users watching Kids content, Dubbed Hollywood movies, dubbed South Movies, Anime content) and pitching content on the app as per their preference. Outcomes - We expect to close Jul'24 with one of the highest Netflix Gross Adds on TPMA when all other channels have faced challenges!</t>
  </si>
  <si>
    <t>Ratan Kumar Vishwakarma - Mayank has done a commendable job of end-to-end integration testing for new partner app Amazon Prime Video on Binge Plus platform. He took full ownership of UAT readiness and tested end to subscription journey of Amazon Prime App on all available and new packs. He has played a pivotal role in go live of new APV App in production environment. He has exhibited anchor competencies like ownership and grow partnership which helped in meeting business timelines. We are happy to see that now Amazon Prime app is part of our Binge family and now Binge Plus customers can avail the same in the new attractive prices of 149, 199 &amp; 349 on Binge Plus along with other partner apps. Keep progressing and keep up the great work Mayank!</t>
  </si>
  <si>
    <t>Rochelle R Rajguru - In the context of the Women's Asia Cup 2024, India vs Pakistan, we had challenges concerning creative assets with the broadcaster. However, Ajay emerged as an exceptional source of support and assistance. His collaboration was marked by a remarkable enthusiasm, and he adeptly resolved the issues at hand, leveraging his extensive experience. Ajay's tactful approach in addressing the situation with the broadcaster facilitated a swift resolution, enabling us to secure the creative assets from the partner within a mere 30 minutes. I would like to extend my heartfelt gratitude to Ajay for his invaluable contributions. Kudos to you B.\\n\\n\\n\\n\\n\\nContinue writing\\n\\n</t>
  </si>
  <si>
    <t>Vikas Soni - Hi Deepjyoti, thanks for your extended efforts and ownership while driving the Making customer smile contest for the IB partners. You have coordinated with all partners end to end and ensured continuous improvement in our ranking, and also coverage% of the contest. \nWith your help, we were able to successfully close the contest at 3rd rank out of 50+ Tata group companies with 10K+ stories this year.\nOur next target is to have a winning story in the next contest duration; let's gear up for the same!\nAgain, appreciation all the hard work you have put in. Thank you.</t>
  </si>
  <si>
    <t>Hey Thanks Manju for the quick resolution of customer complaint. The subscriber was unable to view the services for past 1 week, as informed. Dont know what the issue was but reaching out to you for scheduling a call for quick resolution helped restore the services in no time. Also have received a thankful message from subscriber.. \nThanks once again for the quick support</t>
  </si>
  <si>
    <t>Lalit successfully carried out the Oracle HRMS patch process for the full set of HR processes. He coordinated with all Regional HR and Talent Acquisition team members to lead an exhaustive end-to-end process testing and issue mitigation. Carrying this testing out for 6 modules and 100% of HR processes ensured that the issues stemming from patch applications were both a. Significantly reduced from last 2 years; and b. Gave an early warning indication of potential problem areas to assist resolutions before migration to production environment. This exercise ensured that no HR team and no TataPlay employee faced any issues post patch. This also paved the way for a more streamlined and planned approach to Oracle\u2019s patch testing protocols, and assisted as a walkthrough session for processes for the HR team. Kudos to Lalit for coordinating with 20+ team members within a record 2 weeks and knock this exercise out the park!</t>
  </si>
  <si>
    <t>Gurpreet Kaur - Ankita has very worked very collaboratively with all the teams for Superhit Serials launch &amp; has helped train a new partner for promotions. She was on her toes throughout, with great enthusiasm &amp; was very prompt in giving feedbacks, chasing all the internal &amp; external stakeholders and trying to close everything in time. This was her 1st launch &amp; she has aced it with grace. Thanks Ankita for all the support that was required with such a challenging partner. This gives us confidence to partner with new players in the market &amp; get them associated to Tata Play.</t>
  </si>
  <si>
    <t>Srinivasan Thiagarajan - "Devender went out of the way to arrange transports for the pick of the high value materials from LRP which was very critical when we faced issue of vehicles due to issue of curbs in Delhi and also validating the stocks from received from the vendor for final closure promptly in time.\\n</t>
  </si>
  <si>
    <t>Vikas Soni - Lenin has been a Saviour for us whenever any urgent data or insight is required. Recent few projects like In-home, Care1k, Technical theme dashboards - these had multiple changes as per the leadership's ask; however, Lenin was able to accommodate these changes and deliver it.\\n\\nAlso appreciate his insight on Inhome process which will help in reducing the cost once implemented.\\n\\nThank you, Lenin.</t>
  </si>
  <si>
    <t>Rohit Mishra - As part of Project Profitability, a major initiative to improve profitability of customers being acquired, we were required to replace or close all LDP acquisition packs with payback &gt; 7 years. Sheeja, along with Mayur, from GTM team led the configuration of the 23 new packs (with higher price) and closure of the older packs (with lower price), took complete ownership of the process and helped launch these products within a week of the request being raised. Thanks for your quick support, Sheeja!</t>
  </si>
  <si>
    <t>Vinod K.S. - HI Vivek we are so happy with you always, because you handled our Repair centers RF Signal network new set up installation /Other repair centers old\\u00A0RF Singal network maintenance both activity related challenges and assisted to us very effective way of collaborations and resolving the issue at hand was commendable. Without you, we couldn't complete or run our centers effectively Signal network on time. Our team is always grateful for your support. all the best and congratulation for great job.</t>
  </si>
  <si>
    <t>Pradeepkumar Velayudhan - Thanks Ashish for creating a 4year story line on the overall financials and cost and drawing insights into specific actionable to be taken this year towards ensuring better EBITDA. The slides were self explanatory with details for each of the cost lines thereby reducing the effort involvedin explaining each comment / figs on the presentation. Well done.</t>
  </si>
  <si>
    <t>Paurav S Choubal - Ashma helped in analysing and classifying a huge list of payment error codes across various payment partners because of which we can now give personalized error messages and proper guidance to the subscribers on next steps when their payment fails.</t>
  </si>
  <si>
    <t>Manoj Jadhav - Vijay is having very creative mind and always support trade Marketing team by giving unique themes for big days. having good leadership qualities and good hand on data. Thanks for your help at all the time.</t>
  </si>
  <si>
    <t>Pranshul Gupta - This SPOT is to recognize the incredible work done by Sneha during the recent eventful months for TPMA. Her exceptional speed of execution ensured we had the most content viewing engagement. Sneha drove significant content viewing engagement with timely and relevant notifications, actively participating in strategic decisions on what to promote. Her efficiency in managing asset consumption costs, especially by minimizing rework for GEC promotions, has been invaluable. Thank you, and let's keep this momentum going for even greater success ahead. \\uD83C\\uDF89</t>
  </si>
  <si>
    <t>Sirmad has been a team player and has put constant efforts to improve the processes between COFS teams. His solution-oriented approach and close coordination with CO/BE team is helping us out in improving various processes like In-home, ETA/IMA Grid, WO closure quality.\nHe takes ownership and arranges prompt support in need of hour - one recent example - when leadership decided to turn of the In-home call routing option in the late night, which Sirmad took as an opportunity and coordinated with the IT team to make it happen.\n\nAppreciate his dedication and support, thanks</t>
  </si>
  <si>
    <t>Hi Vikas, I wanted to take a moment to express my sincere gratitude for your collaboration to drive business in vacant territory (Bhavnagar) in sales function as well. Your expertise and willingness to work and help our Sales Partner in any circumstances are really appreciable. \nYour dedication, insights and proactive approach were invaluable, and I genuinely appreciate all the efforts you put in to ensure we achieved our goals.\nThank you once again for your efforts and commitment.</t>
  </si>
  <si>
    <t>Hi Rajkumar, I wanted to take a moment to express my heartfelt appreciation for your outstanding work and dedication in achieving the new milestone of expanding our trade dealer network in the rural belt. Your efforts have not only broadened our market reach but have also opened up new opportunities for business growth and development. You have appointed 100 new dealers with EVD &amp; TSK stock in July'24. Also you have added 40+ Highway towns.\n\u00A0\nYour strategic approach and relentless pursuit of excellence have been truly inspiring. Your hard work is a testament to your commitment to our team's success, and it does not go unnoticed.\n\u00A0\nThank you for your remarkable contributions. Let's continue to aim high and achieve even greater milestones together!\n\u00A0\nBest regards,</t>
  </si>
  <si>
    <t>Amit Trivedi &amp; Pratiksha Mainkar - I express my sincere gratitude to Anshul &amp; team, for Implementing the new EV transportation cab facility, new cabs are environment friendly, more comfortable, safe, and reliable. which has made a significant difference in shift person's commute. Thanks again for your commitment to improving the employee experience.\nThank you for the logistics support for campus recruits in Delhi!</t>
  </si>
  <si>
    <t>Ratan Kumar Vishwakarma - Suraj has done commendable job in testing GSAT-24 satellite transponder listing update on Tata Play Binge Plus STB. Since we have already gone live with GSAT-24 satellite, this was very crucial to be tested and updated. This will help field service delivery team during Binge Plus installation, now they will have the option to validate signal level of all the major GSAT24 satellite TPs on STB itself and scan QR with correct transponder details. Keep going and keep up the great work!</t>
  </si>
  <si>
    <t>Chetan planned a seamless Townhall exercise for the West region involving multiple internal &amp; external teams. The event involved multiple touchpoints, extensive collaboration while ensuring a seamless experience for employees attending the event. Chetan displayed high degree of planning, execution &amp; attention to detail ensuring a successful event for the organization despite space constraints within the venue.</t>
  </si>
  <si>
    <t>I want to express my gratitude for your dedication to outstanding performance and your assistance in reaching the goal of Optimizing Defective Stock (DSO) in Assam/NE, which has greatly contributed to this achievement. The DSO in Assam/NE was initially at 22 days in April 2024, but with your guidance and the support of your team, we managed to reduce it to at 11 days (a 50% reduction) by the end of the First Quarter of FY2024-25. This accomplishment wouldn't have been possible without your efforts and the backing of your team.\u00A0</t>
  </si>
  <si>
    <t>Senior Manager - Trade Sales</t>
  </si>
  <si>
    <t>Assistant General Manager - Inbound Operations</t>
  </si>
  <si>
    <t>Manager - Systems Solutions &amp; Design - COSSG</t>
  </si>
  <si>
    <t>Assistant Manager - Test Systems</t>
  </si>
  <si>
    <t>Assistant Manager - Trade Sales</t>
  </si>
  <si>
    <t>Test System Engineer</t>
  </si>
  <si>
    <t>Manager - Content</t>
  </si>
  <si>
    <t>Senior Manager - Inbound Quality</t>
  </si>
  <si>
    <t>Assistant General Manager Human Resources - West</t>
  </si>
  <si>
    <t>Senior Manager - Field Engineering</t>
  </si>
  <si>
    <t>Assistant General Manager - Finance</t>
  </si>
  <si>
    <t>Senior Manager - Process &amp; Quality</t>
  </si>
  <si>
    <t>Assistant Manager - Test System</t>
  </si>
  <si>
    <t>Senior Manager - Facilities</t>
  </si>
  <si>
    <t>Assistant General Manager - Field Service Delivery</t>
  </si>
  <si>
    <t>Content</t>
  </si>
  <si>
    <t>Facilities</t>
  </si>
  <si>
    <t>East</t>
  </si>
  <si>
    <t>Q2-FY 25</t>
  </si>
  <si>
    <t>Pankajkumar Patel</t>
  </si>
  <si>
    <t>Anujit Sur</t>
  </si>
  <si>
    <t>Dadakhalandar Sayyad</t>
  </si>
  <si>
    <t>Kaniz Sayed</t>
  </si>
  <si>
    <t>Sreemaj A.G.</t>
  </si>
  <si>
    <t>Vasumathy S.</t>
  </si>
  <si>
    <t>Sachin Bhati</t>
  </si>
  <si>
    <t>Abdulsamad Bagwan</t>
  </si>
  <si>
    <t>Nandeetha Natarajan</t>
  </si>
  <si>
    <t>Mayank Kumar</t>
  </si>
  <si>
    <t>Ajay Pathak</t>
  </si>
  <si>
    <t>Deepjyoti Mohapatro</t>
  </si>
  <si>
    <t>Lalit Gawde</t>
  </si>
  <si>
    <t>Ankita Pawar</t>
  </si>
  <si>
    <t>Devinder Singh</t>
  </si>
  <si>
    <t>Sheeja P.A.</t>
  </si>
  <si>
    <t>Vivek Kumar Shukla</t>
  </si>
  <si>
    <t>Ashish Vig</t>
  </si>
  <si>
    <t>Ashma Bhateja</t>
  </si>
  <si>
    <t>VIJAY WANKHEDE</t>
  </si>
  <si>
    <t>Sirmad Hasan</t>
  </si>
  <si>
    <t>Vikasbhai Bhatt</t>
  </si>
  <si>
    <t>Rajkumar Upadhyay</t>
  </si>
  <si>
    <t>Suraj Prakash</t>
  </si>
  <si>
    <t>Chetan Dusane</t>
  </si>
  <si>
    <t>Monalisa Boruah</t>
  </si>
  <si>
    <t>Sl No.</t>
  </si>
  <si>
    <t>Anshul Nuwal</t>
  </si>
  <si>
    <t>Viral Modi</t>
  </si>
  <si>
    <t>Binu Samuel</t>
  </si>
  <si>
    <t>Sandeep Singh</t>
  </si>
  <si>
    <t>Manender Singh Negi</t>
  </si>
  <si>
    <t>Sunny Kumar</t>
  </si>
  <si>
    <t>Chandan Kumar Sharma</t>
  </si>
  <si>
    <t>Ratan Kumar Vishwakarma</t>
  </si>
  <si>
    <t>Prachodaya Das</t>
  </si>
  <si>
    <t>Lakshya Lohumi</t>
  </si>
  <si>
    <t>Kumar Gaurav</t>
  </si>
  <si>
    <t>Kishore V. Reddy</t>
  </si>
  <si>
    <t>Aryan Raj</t>
  </si>
  <si>
    <t>Mohd Irfan</t>
  </si>
  <si>
    <t>Robin Thomas</t>
  </si>
  <si>
    <t>Vineet Malik</t>
  </si>
  <si>
    <t>B.P. Tharamani</t>
  </si>
  <si>
    <t>Anwar Ali</t>
  </si>
  <si>
    <t>Anil Kumar N</t>
  </si>
  <si>
    <t>Geetesh Fulari</t>
  </si>
  <si>
    <t>Gautam Sah</t>
  </si>
  <si>
    <t>Nischaya Jain</t>
  </si>
  <si>
    <t>Komal Sahu</t>
  </si>
  <si>
    <t>Pradip Hujare</t>
  </si>
  <si>
    <t>Indrani Ghosh</t>
  </si>
  <si>
    <t>Jaison Jacob P.</t>
  </si>
  <si>
    <t>Priya Agarwal</t>
  </si>
  <si>
    <t>Dharaben Chauhan &amp; Rajesh R. Dayal (Technology) &amp; Ratan Kumar Vishwakarma (Technology)-I want to take a moment to appreciate Mayank for his help in setting up the STB. His support in whitelisting STB for D-Link DTH app, ensuring smooth installations, and mapping subscriber IDs for automation has been invaluable. His expertise and willingness to assist have made the process much smoother. I'm thankful for his support and look forward to more successful collaborations. Mayank did excellent work during the last few weeks and exhibited keenness in resolving problems consistently faced by team colleagues and found many critical bugs. He walked an extra mile to take the ownership of testing and collaborated well with many teams and worked for long hours &amp; over many weekends in test lab for end-to-end testing on UAT and production environment and tested different price pack change - old plan to new plan and shared test results timely.</t>
  </si>
  <si>
    <t>Amitanshu Shankar (Commercial) -After shutting down outbound channel for Netflix the idea was to grow through digital channels &amp; missed call route. Therefore, we introduced direct missed call to pack add journey. While gross numbers grew positively, we saw that Netflix registration &amp; app download for gross through this channel was a challenge as majority of missed calls were from DAS 4. Therefore, we immediately wanted to switch over to a journey where pack add require subscriber to chose the pack and confirm before pack gets activated and for that we needed a module to be configured where on missed call WA is pushed and subscriber should be able to activate the pack through WA journey. Kudos to his proactive action and support with resolving queries which helped turn this around within 4 days and helped business go live with a critical upselling process.</t>
  </si>
  <si>
    <t>Amitanshu Shankar (Commercial) -Next Best Action for Inbound centre got developed basis MLAI model to find the best suited genre and within that genre the relevant product for the subscriber. As the subscriber calls at the inbound centre agent can fetch products best recommended basis multiple variable within the model, which saves time on the call, avoid any bias that agent has towards a certain product and rely on intelligent AIML model, which will help with better customer satisfaction &amp; right product upsold to the subscribers which will have longer holding as well. Viral has been instrumental in getting it implemented at the backend by co-ordinating with IT, Cequity and business teams to get the right offer populated in the right manner as desired. It becomes complex at the backend with multiple verticals and multiple products. The process will get further streamlined with time and efforts from Viral is recognised and appreciated.</t>
  </si>
  <si>
    <t>Geetesh Fulari (Sales) -I wanted to express my heartfelt appreciation for the outstanding effort and dedication of your demonstrated during our recent project with a tight deadline. This was Case of one of the premium Hotel group in Goa Rio Resort Goa which has our more than 357 plus Connection in Goa we got a call from Hotel managementyesterdayevening for additional connection 28 as wanted to inaugurated this Block by today morningon short noticeand requesting us do at earliest as special case. I informed Binu as we must do this as an exceptional get this MDU and Project done within Night , Binu taken this Challenge and ownership he himself taken material and team in his personal Car ensure team works and completed The project at midnight at 2 am. Hotel has appreciated our speed of work and Execution. Thank you for your hard work and the spirit of ownership you displayed throughout this project.</t>
  </si>
  <si>
    <t>C. Sheik Mehaboob Basha (Technology) -Thanks Sandeep, for part of successful completion of LH Service migration in TAJ Hotels in Delhi. In short notice we reached you for visit at this TAJ properties without saying no, you joined with us &amp; a part of successful migration.</t>
  </si>
  <si>
    <t>Nandini . &amp; Pradeep Kumar (Technology) -Thank you, Manender, for your hard work in successful testing of new software upgrade builds, in a stringent timeline, needed for the older MDU installs -GSAT24 migration. Appreciate Manender for playing a critical role in identifying the crucial bugs like FTI issue &amp; false migration issue during the testing phase of the Navya Phase 2 G2.4 formal release. Same were missed from the Irdeto test team during their testing, but your effort in catching and addressing it is commendable.</t>
  </si>
  <si>
    <t>Nitish Singhal, Mrityunjoy Naskar, Rakesh Kumar &amp; Debindra Das (Technology) -Supported in network connectivity provision by laying the cable in critical area with complete safety and precautions. Work done is exemplary and very quick. Thanks. Thanks Sunny Kumar for quick support for Quattro test project. Thanks for in time completion. Thanks Sunny for supporting in identifying problem in one rack of Technical area. Sunny helped in fiber cable laying in critical area with all safety measurements.</t>
  </si>
  <si>
    <t>Pradeep Maurya (Sales) -Good Show Chandan the way you took challenge.to beat LY Diwali nos is quite amazing.Chandan being a Rural ASM knows the importance of TSRA.He plan micro level with all TSRAs and executed material movement well in advance so that before festivity this reaches to the last mile,He collaborated with FSD and Supply chain to get this done effectively.Hence finally he is able to almost 17oo Act and Nearly 5oo TSK Active which is a Great Achievement..Keep up the Good Work. Good all Rounder Performance Chandan..After Having Great Diwali chandan Ensure that he maintain the infra even in tough conditions..He worked at Microlevel and ensure that his dealer network participate in business even in slow momentum..This is Super workby Chandan.</t>
  </si>
  <si>
    <t>Nandini . &amp; Rajesh R. Dayal (Technology) -Thank you, Ratan, for your hard work in successful testing of Binge + software upgrade builds, in a stringent timeline, needed for the older MDU installs - GSAT24 migration. Ratan shown impressive sense of ownership of Apple TV journey sing-off with Apple Team. He has taken initiative to understand the all Binge+ test requirements and to simulate test scenarios of proposed new features and collaborated with team. He worked for long hours &amp; over many weekends for testing end-to-end ATV 11 firmware testing with 22KHz tone off, Pack change Binge+ and Pack price changes on UAT &amp; roll-out in production environment as well. Keep up the good work Ratan!</t>
  </si>
  <si>
    <t>Anitha Joy (Commercial) -Need to appreciate Prachodaya for quick collaboration and speed to go live of ten floaters along with the 1 alias services, in terms of required information like EPG No., genre and the schedules for the same with which has helped revenue teams to monetize the additional bandwidth of GSAT-24. Thank you.</t>
  </si>
  <si>
    <t>YashasviGupta (Commercial) -Lakshya has been driving daily content led campaigns for Binge mobile app on Clevertap with rigour and ownership. This entails sending notifications basis content go-live and even on weekends. She has played pivotal role in go-live of new payment gateway (PayU) for Binge mobile and has good grip and understanding of transaction journeys and dashboards which has been of great help in improving transaction success rates for the new PG. Kudos to the efforts and wishing her good luck to keep up the good work.</t>
  </si>
  <si>
    <t>Vijay Chandel (Technology) -Gaurav took Ownership and modified Service Count report during Satellite Migration activity carried on GSAT24 and GSAT 1O services including addition of 15 Transponders. Which help us to keep track of services within Tata Play Platform.</t>
  </si>
  <si>
    <t>Komal Sahu (Commercial) -GSAT-24 migration was a critical project from Customer retention PoV. We had many ODU &amp; MDU customers holding PVR,DS34T(SD on 96-97 series) and on SUPERLNB 1, that were affected due this migration and our objective was complete base retention. We immediately started working on building mService solution with Kishore. Within 1 week, we had mService solution ready, built BULKWOs and successive days FS team was at subscriber's door for box or LnB replacement. We started with 6k BulkWO with multiple teething issues at mService but Kishore was resolving with speed and agility to ensure FS team is duly supported and WO are closed with utmost customers satisfaction. We kept on adding more steps into this solution like giving credit for subs charged for service visits; again Kishore built a makeshift solution using the existing solution to maintain the execution pace. We would like to thank Kishore by giving this spot and supporting us in tight timelines.</t>
  </si>
  <si>
    <t>Pradeep Maurya (Sales) -Well Done Aryan!!!This is the Great Start by Champ.Being a ET,Aryan learn the Rural Trade Very fast and the speed of Execution is amazing.He able to make impact by his people Management skills. He able to understand the needs and wants very well which help him to get the things going in a WIN WIN way.Being just 3 days old in current territory he able to achieve more than 11o% on most of the KPIs with highest Ever Act and TSK Active in Nov Month..KUDOS to you Aryan and Keep up the Good Work.</t>
  </si>
  <si>
    <t>C. Sheik Mehaboob Basha (Field Service Delivery) -Hi Irfan, Thanks for coordinating with TAJ properties SPOC person &amp; fixed appointments, arranged manpower &amp; visited site with Trainer &amp; Auditor for successful completion of LH services migration in TAJ properties in Delhi. LH services migration on TAJ properties completed within Time so that no channel issues in these premium sites post GSAT 24 migration.</t>
  </si>
  <si>
    <t>Shayor Das (Field Service Delivery) -MDU related concepts are very technical. The knowledge of Backbone Design, different types of equipment and proper troubleshooting steps is very critical for Field Team. Apart from Theoretical knowledge, proper hands on practical training is also very important. But organizing classroom training is challenging because of logistics issue and involve cost also. Robin understood this challenge and designed an MDU Training Kit which is an actual working replica of MDU Backbone which has all the components and equipment and it can be connected with Tata Play live signal. Since this MDU Training Kit is a mobile unit so Trainer can carry it along with himself and can organize trainings @ ISP locations also. This Kit has both Single Trunk and 4 Trunk design and all type of real life simulations can be practiced on this kit. MDU Training Kit is the innovation done by Robin Thomas and now we have replicated this best practice in rest of the circles too.</t>
  </si>
  <si>
    <t>Nandini . (Technology) -Appreciate taking ownership &amp; collaborating with internal &amp; external teams &amp; plan the upgrade effectively for new software in Binge+, enhancing the MDU robustness, required for GSAT24 migration. Thank you!</t>
  </si>
  <si>
    <t>YashasviGupta (Customer Operations) -Vasu has been working on Delinking UAT end to end. It is a super complex project with lot of scenarios and confusions and vasu has been bravely facing it all and doing the UAT. Kudos to her.</t>
  </si>
  <si>
    <t>Shrinidhi DC (Customer Operations) -Thara have taken the ownership in closing the Airtel MSA. She has coordinated with multiple teams like - IT, SSD, Legal, SCM and Vendor teams in diligently following up, tracking the clauses under discussion and bringing the stakeholders on several calls for closure.</t>
  </si>
  <si>
    <t>Nandini . (Technology) -Appreciate your good work in collaborating with internal &amp; external teams and Middleware partners for the new software upgrade for enhancing the MDU robustness, required for GSAT24 migration. The excel template you created to monitor the software upgrade was helpful, thank you &amp; keep it up!</t>
  </si>
  <si>
    <t>Kishore V. Reddy (IT) -Thank you Anil for all your support in sorting the LDP Renewal flow on What's app which was delaying the project go live. Your commitment helped me fix the PDF issue &amp; support on UAT helped close it in a days time. Great to have you in IT team.</t>
  </si>
  <si>
    <t>Pradeep Maurya (Sales) -Once a Champion Always a Champion and always stands for Team. Geetesh done 545 bulk in Dec and ensuring that no account go to competition.This is Commendable Ach and help in getting higher Market share.He also helps in getting more revenue by selling higher end packs to bulks and Ensure Annual Subscription...Kudos to You.</t>
  </si>
  <si>
    <t>Nitish Singhal (Technology) -Supported in network connectivity provision by laying the cable in critical area with complete safety and precautions. Work done is exemplary and very quick. Thanks.</t>
  </si>
  <si>
    <t>Varun Jain (Finance) -Nischaya displayed great business acumen and collaboration with different teams to reach the desire output in Sony RIO working. There were several rounds of discussion and various complexities involved, but he handled all very efficiently.</t>
  </si>
  <si>
    <t>YashasviGupta (Commercial) -While Komal got involved in the delinking project much later in the lifecycle of the projectshe picked up the strings super quick. Despite all the complexities that this project brings to the tableshe has been able to manoeuvre her way and make headways. She diligently participated in all cross functional calls (most of the calls being exhausting and difficult in nature) and effectively collaborated with all stakeholders to address business, IT, and tech concerns, ensuring the project covers all delivery requirements and also participated in proactive UAT for various scenarios for deactive base and shared valuable inputs. Look forward to working on many more cross functional projects with Komal.</t>
  </si>
  <si>
    <t>Pradeep Maurya (Sales) -Good Show Pradip...The way you Experimented Binge in Deep Rural of Kokan is commendable.You shows that nothing is Impossible if we plan and Execute well..You Sold Binge Annual pack Consistently in DAS 4 Markets is really commendable job..Keep Going Champ.</t>
  </si>
  <si>
    <t>Pranav Deshpande (Finance) -Indrani handled the Finance Outbound in an exceptional manner and made it a smooth and seamless experience for all of us. Considering the venue, the logistics involved, the schedule, etc, she ensured there were no hiccups and everyone had a lovely experience. Hence want to appreciate her for that.</t>
  </si>
  <si>
    <t>Paras Deshpande (Finance) -Rashmi took the ownership of the Board deck for November Board meeting. Despite tight timelines and having to work on a weekend, she got the necessary data points from relevant stakeholders and put together the deck which played a crucial role in the Board meeting. Keep it up Rashmi!</t>
  </si>
  <si>
    <t>Nitin Gupta (Technology) -Appreciate the efforts and ownership taken by Jaison for closing Technology offsite requirements which is for 18O people in 3 batches, which require lot of co-ordination with hotel, training and transport partners, thanks.</t>
  </si>
  <si>
    <t>Rajesh R. Dayal (Technology) &amp; Ratan Kumar Vishwakarma (Technology) -Appreciate Priya for her effort &amp; contribution in testing new firmware of Binge+ not only throughout the weekdays but over the weekend as well. It was an urgent requirement to test a critical bug i.e when box wakeups after long hours of standby it showed black screen. She accepted this requirement and got ready to test with team over the weekend and prepared many test bed with different combinations of TV app &amp; firmware version wisely to get the root cause of this issue.Keep up the good work Priya. Priya has done commendable job in testing new feature of partner app launch on Binge Plus platform. Priya took full ownership of the testing and ensured no bugs are overlooked and left out before the go live. Apart from this, she has also tested change in Apple TV journey. Now user will have better experience of binging on Apple TV app on Binge+ platform.</t>
  </si>
  <si>
    <t>Receiver Employee Id</t>
  </si>
  <si>
    <t>Receiver Name</t>
  </si>
  <si>
    <t>Kaustubh Pant</t>
  </si>
  <si>
    <t>Karan Mehta</t>
  </si>
  <si>
    <t>Thameema T M</t>
  </si>
  <si>
    <t>Pranshul Gupta</t>
  </si>
  <si>
    <t>Dwitiya Chandekar</t>
  </si>
  <si>
    <t>Akshat Singh</t>
  </si>
  <si>
    <t>Kunal Soni</t>
  </si>
  <si>
    <t>Rishikesh Patil</t>
  </si>
  <si>
    <t>Sujana V S Jogi</t>
  </si>
  <si>
    <t>Aditya Shrivastava</t>
  </si>
  <si>
    <t>Vinodkumar Jakkala</t>
  </si>
  <si>
    <t>Shoaib Shaikh</t>
  </si>
  <si>
    <t>Sehar Qureshi</t>
  </si>
  <si>
    <t>Purshottam Bairagi</t>
  </si>
  <si>
    <t>Sohail Tabani</t>
  </si>
  <si>
    <t>Avani Shah</t>
  </si>
  <si>
    <t>Saumya Siotia</t>
  </si>
  <si>
    <t>Shikhar Sood</t>
  </si>
  <si>
    <t>Nominator Employee Id</t>
  </si>
  <si>
    <t>Nominator Name</t>
  </si>
  <si>
    <t>Sharath Nair</t>
  </si>
  <si>
    <t>Nishant Bangar</t>
  </si>
  <si>
    <t>Anand Prakash</t>
  </si>
  <si>
    <t>Abhishek Jindal</t>
  </si>
  <si>
    <t>Bindi Thakkar</t>
  </si>
  <si>
    <t>Hitesh Shetty</t>
  </si>
  <si>
    <t>Sandesh Patel</t>
  </si>
  <si>
    <t>Resya Ramachandran</t>
  </si>
  <si>
    <t>Kishore Kumar B.</t>
  </si>
  <si>
    <t>Rajesh R. Dayal</t>
  </si>
  <si>
    <t>Govinda Sane</t>
  </si>
  <si>
    <t>A. Manjunath</t>
  </si>
  <si>
    <t>Ritesh Jain</t>
  </si>
  <si>
    <t>Kruti Shah</t>
  </si>
  <si>
    <t>Kaustubh quickly demonstrated his ability to deliver results in his first stint with the Subscriber Communications team .\nHe worked on AI solutions for communications, crafting hardworking regional comms, and contributing to the successful launch of Anime Local. His proactive approach and fast learning were an asset to the team, even before transitioning to social media.\nSince taking up the social media role, Kaustubh has demonstrated exceptional creativity &amp; commitment to enhance the Tata Play social media presence and engagement. He has introduced engaging content formats which has not only increased engagement but also helped build community.</t>
  </si>
  <si>
    <t xml:space="preserve">In his first few months here, Karan has led the charge towards streamlining communications for Binge performance marketing, ensuring that we catch all the big releases of the week, on the weekend of release. His good collaboration with content, digital &amp; agency teams has significantly reduced turnaround time for performance statics to just 1.5 days for creation, approval, adapts, and delivery. In September, Karan led the creation of the Crow film for Tata Play Binge - a new digital and Ch 100 value proposition campaign, using 3D animated characters as protagonists.  </t>
  </si>
  <si>
    <t>In the very short timeframe Thameema has spent so far with the Technology group, she has got good understanding of the Binge ecosystem and started to manage multiple projects like Binge Large Screen platforms (Samsung, LG, Android SmartTV, Fire TV OS), Whitelabel In-house Recommendation Engine, Video QC/QOE, Metadata Enrichment etc. Keep up the good work, Thameema.</t>
  </si>
  <si>
    <t>Pranshul joined the Tata Play Mobile App Marketing team in Q2. In a short while he has added value to the business through his inputs as well as results generated out of the same!\nHe has been able to bring fresh ideas to the table and make them see the light of day through constant collaboration and execution.\nThis includes results across various different verticals within the debut quarter:\nBinge acquisitions through TPMA\nMissed Call productivity on TPMA\nContent viewing on TPMA through election results and regional targeting through news\nMultiple innovations across notifications on Tata Play Mobile App</t>
  </si>
  <si>
    <t>Dwitiya from day-1 of the joining started working towards the launch of Tata Play Anime Local. She demonstrated great ownership and was on top of things despite having no know-how of launching a product. She quickly grasped entire process, managed relevant stakeholders, resolved lot of issues by herself. It is commendable to put together a launch within few months of joining amid the chaos and tight timelines.\u00A0</t>
  </si>
  <si>
    <t>Akshat has been an outstanding addition to our team. As a recent member, he has quickly proven himself to be a valuable asset. His contributions to the OTT Destination on TPMA have been particularly impressive.\nAkshat's enthusiasm and eagerness to learn have been evident from the start. He has demonstrated a strong grasp of the project's objectives and has consistently exceeded expectations. His ability to collaborate effectively with colleagues and his willingness to take on new challenges have been instrumental to his success.\n\nI am delighted to nominate Akshat for the Debutant of the Quarter award. His exceptional performance and positive attitude make him a deserving candidate.\n\n</t>
  </si>
  <si>
    <t xml:space="preserve">Kunal\u00A0is quick learner, adaptive and team player. He learned the System / processes with the help of his peers quickly and took the independent charge of his area in the short span of time. He Understood the company focused drive and prioritized the initiatives like BMP / recharge along with all his other KPIS. He passionately started daily meetings with the CCOs and installers to understand their awareness and challenges. Accordingly, he motivated his team and executed daily drive with focused CCOS / Installers who are good in selling. He Incentives them and started celebrating it with winners on daily basis.  He was awarded Nationally NO 1 ASM in MAY 24 \u2013 BMP ( 10.2% ) All India contest BMP contest in his category slab\u00A0and Also in RECHRAGE \u2013 Project wo he delivered 35% in the month of June 2023 which was highest in the central region. He Keep sharing his idea/ inputs with others too which gives him best results. He quickly adapted the situations and started delivering ! Kudos ! </t>
  </si>
  <si>
    <t>Rishikesh joined the Content team after a year-long stint with Tata Play. Post joining us in Mar'24, he took over the entire carriage charter &amp; ran collections, renewals with rigor. This Q1, was also the strongest first quarter collections as compared to the last 3 years for Tata Play. He also created an AOP of carriage, which helps us track all renewals &amp; benchmarking &amp; helps us deliver against the target. Rishikesh also quickly ramped up &amp; overtook operations for Hotstar and has been solving for all operational roadblocks which have since reduced.\u00A0</t>
  </si>
  <si>
    <t>Sujana V S Jogi has rapidly developed the skills and knowledge required to excel in their role. Their impressive adaptability, strong work ethic, and quick learning curve have made a significant impact on our team's success. Rapid Mastery of Game Testing, Box Builds and New services. Despite being new to the industry, Sujana quickly mastered the complexities of game testing. Successfully tested 2 new FST games and identified 2 critical blocker issues, contributing to the overall quality of the products. Demonstrated an impressive ability to testing 40+interative services as per the testing protocol on 7 different box builds of Synamedia and Irdeto. Took on the challenge of testing 2 interactive applications which are come up with new CR\u2019s in the same duration. Sujana V S Jogi ability to rapidly adapt and excel in a challenging environment is commendable. Their dedication and quick learning have not only benefited our projects but also set a strong example for others in the team.</t>
  </si>
  <si>
    <t xml:space="preserve">Mansi joined the Binge Subs-Comms team in April this year. In her first quarter with us she led one of the biggest partner launches for Binge - Amazon Prime. This entailed a multi-channel acquisition and engagement campaign on owned media - Ch 100, TPMA, Binge App, Emailers - and also paid channels - digital &amp; Addressable ads with Star network. There were also two Binge roadblocks on Ch 100 in the month of May for this launch. \nMansi displayed great dedication and commitment and as she built the comms strategy that included 2 campaign films - Amazon Prime On Tata Play Binge and Binge 199 for 6 - and over 15 other promos in Hindi, Tamil, Telugu &amp; Kannada to sell the proposition of content aggregation and OTT partner aggregation. This was supplemented with 100+ statics. She collaborated skillfully and tactfully with agencies, internal teams, and also Amazon team. </t>
  </si>
  <si>
    <t>Aditya has done exceptionally well in picking up test automation. The efforts he put in learning Witbe test automation is highly commendable. Aditya took ownership of the quality analysis and contributed in scripting couple of new test cases. He has collaborated well with the team to understand the requirement &amp; challenges and deliveries within agreed timelines ensuring all STB performance KPIs validation and quality in reports.</t>
  </si>
  <si>
    <t>Vinod has learned and took over the Ad operations &amp; scheduling of 8 Channels. He has maintained error free implementation of internal and external campaigns on all Ch100s and floaters. He has also taken over inventory management and coordination of teleshopping campaigns. He is a team player, always ready to help, takes additional responsibility and put extra effort to accommodate last minute changes in the schedule to save the revenue. Keep up the momentum.</t>
  </si>
  <si>
    <t>Congratulations, Shoaib!\n\nShoaib started his sales work on January 1, 2024, after finishing his cross-functional stint. He has explored his given territory and delivered a 51% growth in APD over Q4. He appointed 4 CESIPs in Q1, a new distributor, worked on market expansion, and ensured\u00A0TSK active 103% achievement in Q1. Shoaib also worked on new builds and bulk orders, which helped him improve his APD. He utilized his resources effectively to ensure outcomes from t</t>
  </si>
  <si>
    <t>Sehar managed to balance designing and getting designs done from the partners. She led the Topical themes for Binge app\u00A0and some of her work was also used on TPMA. Apart from this, she immediately took control of design QC &amp; design system for the Binge App across platforms.</t>
  </si>
  <si>
    <t>He demonstrated dedication towards speedy learning in all departmental tasks within a short period. He has troubleshooted some important equipment faults in Leitch Suit view Mult viewer unit which received from outstation Bangalore office, troubleshooted Moxa N Port serial communication device PSU fault and Ericsson / Media kind Rx8200 PIRD\u2019s PSU units got repaired. He is working dedicatedly for the tasks which assigned to him.</t>
  </si>
  <si>
    <t>Avani has recently joined Tata Play Analytics team and has picked up very well. In such a short span of time she has delivered few very important projects: Next Best Action (NBA) model and Recommendation Engine (Preferred Channel) for TPMA. She closely works with Partners and Business teams to make sure that highest quality deliverables are delivered on time. She has excellent attitude towards work, always self-motivated and makes sure that she gets into the minutest details of the project. We hope she continues to enjoy the work with same zeal and passion. Keep up the good work and good luck for upcoming projects.</t>
  </si>
  <si>
    <t>Saumya has been very results driven &amp; has managed to balance between designing and getting designs done from the partners\u00A0and has delivered multiple projects within required timelines and desired quality \u2013 Topical Themes, Get New Connection 2.0, NPS form UI UX, Services launches to name a few. She has also revamped the TPMA design system to ensure consistency standards &amp; less time to deliver designs.</t>
  </si>
  <si>
    <t>Mitalee has taken control of TPMA &amp; Website UI UX independently and has delivered multiple projects within required timelines and desired quality \u2013 Remote Control Microsite, Manage Packs, MYOP, OTT Upsell to name a few. She has collaborated with a range of stakeholders and has become the go to person on UI UX for them.</t>
  </si>
  <si>
    <t xml:space="preserve">In last 6 months of joining, Shikhar has picked up business knowledge and communication understanding of the brand pretty well. I have seen him manage operationally heavy projects such as monitoring and coordinating for Wall Paintings across 5 Key Markets + recent involvement into Project Ravi and Versova on signages. He brings to the table an ability to be passive, yet reliable executor and I have seen him picking the skills and drill of the project fast to ensure ball keeps rolling. He has always shown reciprocity to take up new tasks and deliver the same. He has blended well within the organization values and culture. Shikhar, I look forward to your career evolution and continuous support for next year. </t>
  </si>
  <si>
    <t>Reward Name</t>
  </si>
  <si>
    <t>Debutant</t>
  </si>
  <si>
    <t>Nomination Date</t>
  </si>
  <si>
    <t>B2B</t>
  </si>
  <si>
    <t>Q2-FY25</t>
  </si>
  <si>
    <t>Swaminathan Konar</t>
  </si>
  <si>
    <t>Sushant Sawant</t>
  </si>
  <si>
    <t>Vivekananda Mishra</t>
  </si>
  <si>
    <t>Parth Shah</t>
  </si>
  <si>
    <t>Vivek Kumar</t>
  </si>
  <si>
    <t>Gundeep Singh</t>
  </si>
  <si>
    <t>Ranjeet Chauhan</t>
  </si>
  <si>
    <t>Pushpendra Singh</t>
  </si>
  <si>
    <t>Ashish Sharma</t>
  </si>
  <si>
    <t>Veerendra Pathak</t>
  </si>
  <si>
    <t>Shreyas S</t>
  </si>
  <si>
    <t>Mohammad Zain Khan</t>
  </si>
  <si>
    <t>Akula Maneesha</t>
  </si>
  <si>
    <t>Surya Prakash H C</t>
  </si>
  <si>
    <t>Harsh Gill</t>
  </si>
  <si>
    <t>Adam Katchhi</t>
  </si>
  <si>
    <t>Ajay Harwani</t>
  </si>
  <si>
    <t>Mohit Goel</t>
  </si>
  <si>
    <t>Rahul Singh</t>
  </si>
  <si>
    <t>Lokesh K.</t>
  </si>
  <si>
    <t>Vishnu Kumar</t>
  </si>
  <si>
    <t>Pankaj Verma</t>
  </si>
  <si>
    <t>Divya Shenoy</t>
  </si>
  <si>
    <t>Anirudh Vishal Yadav</t>
  </si>
  <si>
    <t>Nikhil Sinha</t>
  </si>
  <si>
    <t>Radha Krishna Jha</t>
  </si>
  <si>
    <t>Neha Veling</t>
  </si>
  <si>
    <t>Vishal Deshwal</t>
  </si>
  <si>
    <t>Esther J.</t>
  </si>
  <si>
    <t>Losang Yolmo</t>
  </si>
  <si>
    <t>Abhiresh Singh Rana</t>
  </si>
  <si>
    <t>Rahul Dutta</t>
  </si>
  <si>
    <t>Pragya Shekhar</t>
  </si>
  <si>
    <t>Akash Mhaiskar</t>
  </si>
  <si>
    <t>Mohsin Tamboli</t>
  </si>
  <si>
    <t>Deepak Subhash Sonar</t>
  </si>
  <si>
    <t>Haris Pannikazhayil</t>
  </si>
  <si>
    <t>Vikas Desai</t>
  </si>
  <si>
    <t>Devashish Maisnam</t>
  </si>
  <si>
    <t>Akshaya Sahu</t>
  </si>
  <si>
    <t>Abhishek K R</t>
  </si>
  <si>
    <t>Manvith Reddy Billa</t>
  </si>
  <si>
    <t>Akash Nag M B</t>
  </si>
  <si>
    <t>Vinanthini M</t>
  </si>
  <si>
    <t>Ravinder Kumar</t>
  </si>
  <si>
    <t>Somisetty Srinivas</t>
  </si>
  <si>
    <t>Romal Gada</t>
  </si>
  <si>
    <t>Lolakshi Ashok  Moolya</t>
  </si>
  <si>
    <t>Rakesh Mhapankar</t>
  </si>
  <si>
    <t>Nilesh Rai</t>
  </si>
  <si>
    <t>Amey Kamble</t>
  </si>
  <si>
    <t>Swamy S C</t>
  </si>
  <si>
    <t>Rajat Khanna</t>
  </si>
  <si>
    <t>Debindra Das</t>
  </si>
  <si>
    <t>Mohd Imran Ansari</t>
  </si>
  <si>
    <t>Binu K. James</t>
  </si>
  <si>
    <t>Asma Taranum</t>
  </si>
  <si>
    <t>Dinesh Patwari</t>
  </si>
  <si>
    <t>Pranav Deshpande</t>
  </si>
  <si>
    <t>Hemant Bhatkhande</t>
  </si>
  <si>
    <t>Rohan Mehra</t>
  </si>
  <si>
    <t>Zenaida Pereira</t>
  </si>
  <si>
    <t>Neelam Mane</t>
  </si>
  <si>
    <t>Amanjeet Singh Suri</t>
  </si>
  <si>
    <t>Shekh Aashif</t>
  </si>
  <si>
    <t>Deepak Singh</t>
  </si>
  <si>
    <t>Prasanna Kumar Singh</t>
  </si>
  <si>
    <t>Sarabjit  Rupaal</t>
  </si>
  <si>
    <t>Sudhindra S.</t>
  </si>
  <si>
    <t>Angela Trehan</t>
  </si>
  <si>
    <t>Pradeep Maurya</t>
  </si>
  <si>
    <t>Inderpreet Singh</t>
  </si>
  <si>
    <t>Nandini .</t>
  </si>
  <si>
    <t>Haripriya P</t>
  </si>
  <si>
    <t>Parag Agrawal</t>
  </si>
  <si>
    <t>Ashwin Shukla</t>
  </si>
  <si>
    <t>Nishant Mittal</t>
  </si>
  <si>
    <t>Pradeepkumar Velayudhan</t>
  </si>
  <si>
    <t>Ajay Kumar</t>
  </si>
  <si>
    <t>Rohit Mishra</t>
  </si>
  <si>
    <t>Kakesh Narayan Pradhan</t>
  </si>
  <si>
    <t>Suman Kumar Ghosh</t>
  </si>
  <si>
    <t>Vinodkumar Anandan</t>
  </si>
  <si>
    <t>Shalmali Desai</t>
  </si>
  <si>
    <t>Mohan Raj K.K.</t>
  </si>
  <si>
    <t>Samrat Kumar</t>
  </si>
  <si>
    <t>Yashasvi  Gupta</t>
  </si>
  <si>
    <t>Sabita Chawla</t>
  </si>
  <si>
    <t>Praveen Ahuja</t>
  </si>
  <si>
    <t>Prashant Deshmukh</t>
  </si>
  <si>
    <t>Vikas Soni</t>
  </si>
  <si>
    <t>Pavan Kumar Garg</t>
  </si>
  <si>
    <t>Himanshu Verma</t>
  </si>
  <si>
    <t>Vijay Sharma</t>
  </si>
  <si>
    <t>Rahul Agarwal</t>
  </si>
  <si>
    <t>Amitanshu Shankar</t>
  </si>
  <si>
    <t>Maheswaran M</t>
  </si>
  <si>
    <t>Seshadri Manivannan</t>
  </si>
  <si>
    <t>He is a valuable member of our team, for his exceptional contributions to package profitability and SAC. Arinjaya's dedication, expertise, and passion for excellence make him an invaluable asset to our team. His contributions have not only enhanced our analytics strength but also inspired colleagues to strive for similar excellence. a)Significant Impact on Profitability : Arinjaya’ s diligent efforts have resulted in change of business strategy to improve the package profitability, directly benefiting our organization's bottom line for future . b)Innovative Solutions: He has consistently demonstrated creative problem-solving skills, developing effective strategies to optimize the ROI. c)Collaboration and Teamwork: Arinjaya has worked harmoniously with cross-functional teams, ensuring seamless outcome of analysis , and driving collective success.</t>
  </si>
  <si>
    <t>(A) Several high stakes litigation came up during the quarter. Full Stay and ZERO pre-deposit was ensured in these matters. 1.TN GST matter of 45 crores – Got full stay 2.Service tax matter of 2016-17 – levy of ST on LF – 26 crores – Got full stay 3.UP matters for 6 years – 11/12 to 17/18 – 25.87 crores – got them quashed and remanded back 4.Rajasthan entry tax litigation – 25 crores – matter successfully remanded back after 10 year litigation 5.West Bengal Tribunal matter – 19.66 crores – got full stay 6.Maharashtra GST demands – 27 crore SCN reduced to 12 crores 7.Telangana GST demand of 3.26 crores – dropped (B) Handled the entertainment tax final hearing related issues very well, with multiple documentation, meetings with Counsel, attending in SC (C) With the amendment in GST, bringing into effect the Invoice Management System, he had the foresight to visualise adverse cash flow impact in monthly GST compliance and we changed the current sale model documentation with a new one, which would mitigate this issue.</t>
  </si>
  <si>
    <t>Sushant has contributed to all key focus areas of BE deliverables in an outstanding manner in the last quarter. He has been self-driven and motivated to achieve the following :- 1) Cadences for CD 6.0 that has led to 19/20 projects being completed, that addresses customer pain points 2) Execution of CD 7.0 from working with Cust Ops, to obtain the samples to its distribution to participants and synthesizing of the observation to arrive at 32 pain points to be worked upon in the second half of the year for customer pain point alleviation’ 3) For CD NPS 4.0 he has worked with the core teams to formulate NPS targets for 2024-25, drive cadences with Top Management (4 in total to date) that has led to 13 of the 23 actionable being completed 4) He has collaboratively worked with various project team members of CEO projects to provide traction for 18 projects being pursued 5) During the Cyber Excellence engagement, he was a core team member that facilitated the assessment. Over and above this he has worked in a focussed manner in enabling publication of the Promising Practices. All of this has contributed to the organisational objectives and therefore the nomination.</t>
  </si>
  <si>
    <t>"Vivek had been able to maintain NPS scores of 92 plus in both Completed &amp; cancelled NPS scores and had been able to perform at it\u2019s best with 13% conversion on project recharge in Qtr 2\u201924. And had been able to maintain good service deliveries even in hilly terrain \u201C\n\u00A0</t>
  </si>
  <si>
    <t>Poojas strategic thinking and agility in conceptualising an endearing comm campaign for superhit serials helped evoke a sense of nostalgia and excitement for the return of TVs superhit serials.\nAn integrated campaign across TV &amp; Digital mediums was meticulously planned with tailored messages.\u00A0The campaign resonated with our target audience, resulting in 44k gross adds with highest contribution from miss calls, 44% and TPMA,12%\u00A0</t>
  </si>
  <si>
    <t xml:space="preserve">Parth has demonstrated exemplary efforts in bringing both internal(Product, tech) and external stakeholders to successfully launch of Hard bundle Apple CIP integration on Binge. His efforts in collaborating ensured timely execution, while his partner management skills adeptly navigated challenging situations. Parth effectively worked with customer-facing teams to swiftly resolve Apple-related user issues and collaborated with the sub-marketing and communications teams to drive adoption of Apple TV+ for both existing and new users. His initiatives led to a smoother user journey and significantly improved activation rates. Congratulations on your exceptional contribution. Well done. </t>
  </si>
  <si>
    <t xml:space="preserve"> Vivek has done Superb Job in Dealer expansion in JAS month and appointed highest 394 New Dealers in circle &amp; Stocking Dealers 109%,</t>
  </si>
  <si>
    <t xml:space="preserve">Maximum Number of Government Bulks Month on Month by Gundeep Singh in Central Delhi\n   TSK &amp; Activation Tgt over Achieved\n   Quality maintained 100+ Tgt, M2, M7 Below 20%\n   Stocking Achieved 100%, 6 out of 7 DSRs qualified for Bandhan Incentive\n   Government Accounts in Last Quarter - CBI HQ- 31, Dak Bhawan - 60, Maharashtra Bhavan - 150, Ministry of Railway - 48 ,20 Done (28 pending for Installation) \n  </t>
  </si>
  <si>
    <t>Highest Numbers of Bulks in the Region by Ranjeet Chauhan\n  New Ceisp Tgt Achechive\n   No. of 5 + new ceisp Activation ever Highet in region\n   550 no. don through Bulk in this quarter\n  \n</t>
  </si>
  <si>
    <t>Sandeep, You Have done extremally great work in opening new dealer in most challenging areas (mountains) and in toughest of time (Seasonal Effect  &amp; extreme weather) . From Day one you have taken charge and deliver results which also help me in motivating other team members.   \nYour dedication to our organization growth and expansion is truly commendable.</t>
  </si>
  <si>
    <t xml:space="preserve">Pushpendra is working in a territory having only rural markets and all the three districts being handled by him are similar in nature. In spite of being present in rural territory, he matched sales volume of cities which have population manifolds higher. His contribution to overall circle volume is higher than even few DAS-2 ASMs. His effort in sustaining excellent output from territory is appreciated. He has also topped in the last quarter contest in region and that shows his involvement and ability to extract business. </t>
  </si>
  <si>
    <t>Well-done Ashish, keep up the good work and continue to own &amp; lead from the front.\nYou have very meticulously owned and executed multiple Partner Integrations for both AkashGo &amp; Cignal at the same time. You have exhibited an outstanding technical expertise &amp; grasp for all the partner tracks. You have always stayed one step ahead and very meticulously maintained an upper edge in driving the Integration to closure in a timely manner. This was very instrumental for Release and building Customer confidence.</t>
  </si>
  <si>
    <t xml:space="preserve">Veerendra's consistency in performance is worth appreciating. He completely negated the seasonality effect and delivered high decibel results. His score on all KPIs was superior and he also delivered on contests launched. He was on top 3 in new dealer appointment and also did 125% on stocking OLs which were the key initiative for organization.   </t>
  </si>
  <si>
    <t xml:space="preserve">Binge was operating without proper reconciliations due to data mismatch resulting in additional payouts to partners. Shreyas has architected the IT processes, interfacing with Revenue Assurance &amp; Technology Team which has reduced the mismatches by more than 90%. By closely working with IT-Architecture he has been able to fix the system gaps and fine tune the IT processes to control the revenue exposure and uplift the customer Experience. </t>
  </si>
  <si>
    <t xml:space="preserve">I am pleased to nominate Zain for the Job Well Done Award. He has recently worked on the Amazon Prime Video and OTT upsell projects. These projects were challenging, and he has successful delivered the same. This collaboration of TPMA and Amazon Prime has opened new horizons for revenue and taking a step ahead in establishing Tata Play in ever changing and evolving OTT space. To support Amazon integration and Binge upselling, a new page is created on TPMA for an end-to-end OTT pack purchase experience. This is a user-friendly interface that is attracting new and existing users on TPMA. He has managed these projects through all stages of SDLC and ensured timely delivery with utmost quality. </t>
  </si>
  <si>
    <t>Maneesha has performed exceptionally well in testing the Binge pack price changes, new package migration testing, and Apple TV changes across various large-screen apps.\nHer expertise in covering all the scenarios was exemplary. In addition to that well planned test data and her meticulous planning and execution of test cases on time resulted in defect free products launched on time.\nManeesha has demonstrated traits of a great team player collaborating with cross functional teams for understanding functional requirements and technical solutions thereby acquiring knowledge to test the product end to end.</t>
  </si>
  <si>
    <t>A) Introducing Tableau Dashboard for Visualization for Outbound Retention Campaigns. The same has been launched to Stake Holders and are been used effectively by Retention team members\n\u00A0\nB) Creation and automation of 4 new Outbound campaigns and the same has been delivered within 24 to 48 Hrs of Campaign Launch. Couple of Campaign names are (Retention LDP Packwise Bifurcation Report and Retention State and DAS Wise Report)\n\u00A0\nC) New analysis and Support\nGreater than 9 Attempts analysis for Ops team \nDay on Day Recovery for Retention Packs\nCalls Outside Prescribed Window &amp; Delay in tagging of OB calls. (after office hours)\nCDR Vs Call Log Mapping for Retention Campaigns\nSupporting the team on Mega Winback Campaign as a Back-up\n\u00A0\nD) 50+ Adhoc's for this fiscal year 30 of them in Q2, 80% completion on the same day</t>
  </si>
  <si>
    <t>Harsh, who wasn\u2019t at first keen on taking up devotional portfolio, has passed with flying colors on managing all devotional products. He displayed great executional excellence and partner management skills. He managed the co-ordination and execution of live events well like Lalbagh raja live for the first time on different LCN, Janmashtami live from Iskcon, Durga puja live, Raam Leela live etc. All events have shown record high acquisition than previous years. He also manages internal and external stakeholders well in his cordial ways. He continuously pushes partners and managed getting Pashupati Nath live, Ramayana for the first time and Mahabharat back on Aradhana.\u00A0</t>
  </si>
  <si>
    <t>Adam  did well in Most of Infra Goals and Expansion Drive Especially Opened 82 New Ols in Sep,also Drive CE ISP Channel Very Well and Achieved 145 in CE ISP nos by Q2 End.\n\n1,He Driving our Expansion Goals in his territory Rajkot and took additional responsibility of Porbandar Area and Opened 40 Ols in Step-up in this District which is traditionally Tough District for us.\n2,He also Nurtured his CE Channel well by Handholding them on the Field to Ensure high Productivity,due to this he able to cross 145 mark in sep which is highest by a Trade ASM in Circle.\n3,He worked on Bulk as well and Cracked deal of Fern Hotel in Sep which he churned from Airtel in spite of competition is having good offering then us but with his positive attitude and negotiation skills he able to WON this.\nHe Showed that how to adapt to Change and shown great Potential in Multitasking which helps him to Deliver Results,\n  \u00A0</t>
  </si>
  <si>
    <t>In last few months we've received more than 25 accounts (25K+ connection) seeking more discounts &amp; deals like box upgrade, FOC replacement &amp; maintenance. Komal collaborated effectively with other teams &amp; drove retention &amp; profitability for these accounts. Her speed, resilience &amp; commitment to achieve results have made a significant impact by reducing the long payback periods. With complex negotiations we have been able to retain more than 90% connections i.e. 23.5K (Approx.). She took the ownership to drive the Binge+ box experience. Listened 100+ calls to understand the pain points related to Binge+ box &amp; aligned Tech team on common theme across like slow box reboot, Remote issues, 3rd Party OTT apps delay, operating remote &amp; complex guide &amp; UI/UX. The technical team is currently developing a temporary solution &amp; and a more seamless experience for users in the long term. I sincerely appreciate Komal\u2019s dedication &amp; hard work for her contribution to this challenging yet crucial part.</t>
  </si>
  <si>
    <t>Ajay has been owning the technical responsibilities of LG, Samsung, Android SmartTV and Fire TV projects. In addition to that he came forward to take additional responsibility of leading the Binge Security Audit and helping fix the identified vulnerabilities. He has started to contribute to Binge Zero Defect and Personalization tracks as well. These are examples of some of the additional responsibilities he has proactively owned over and above the delivery of Binge large screen projects.</t>
  </si>
  <si>
    <t>Mohit has been leading the Binge QA track along with the Binge White-label apps related testing responsibilities efficiently helping deliver quality releases in India and internationally. Keep up the good work, Mohit.</t>
  </si>
  <si>
    <t>Appreciating Manender for regress testing of new STB platform Nysa HD software as this is based on new MediaTek chipset 5711 &amp; low-cost STB project. He faced many challenges in validation E2E functionality of\u00A0Nysa STB. He focused during testing and evaluated test requirements to validate software in correct configuration. As result, he identified many critical issues during testing i.e approx. 80 blocker bugs like - satellite migration issue, loader voltage issues, software download issues etc. Due to his efforts, we received bug fixes timely, before product launch in market. The installation of Nysa has been started in field without major escalations.\nManender also contributed key role in testing another low-cost STB project Ganga which is under development and raised around 40 issues.\u00A0</t>
  </si>
  <si>
    <t>Anwar handled the Irdeto new HD zapper project \u2018Nysa\u2019 project management End to End, which is a new HD zapper STB model, very efficiently. \u2018Nysa\u2019 STB is much smaller in size in comparison to Irdeto Navya series achieving substantial cost savings. First time features of 3.5mm AV out jack &amp; USB based Common Interface for interoperability has been incorporated in Nysa. He has coordinated very well with internal teams and external partners for the new STB Hardware development &amp; software deliveries, testing, bug prioritisation and completed all prerequisites for the start of Mass production and launch software on-air, in June 2024. Good job, Anwar, keep it up!</t>
  </si>
  <si>
    <t>Rahul is great team player and always go getter as per circle requirement. Hygiene score KPI which is related to process was concern for the circle. Rather it was -Ve at most of the partner level. He took independent charge of hygiene score &amp; collaborated with all the ASMS to set an aim of 30% at circle level. Accordingly, Rahul took the ownership and analyzed each Process gaps ASMS wise / Partner wise. He Prioritized the gaps like Happy calling NC - OCS/ NON OCS / IW cost / FR cancellations etc and started regular VCs with defaulters CCOS along with sharing Improvement trend dashboard. He ensured each ASMS and CCOS are accountable for the decided targets. With his accountability - April circle score reached 29.6% / May 36% and June 31% which is highest among all the circle in central region. His ownership / Collaboration with all this Peers helped circle to grow at extra mile in this KPI and still standing strong. Kudos !!</t>
  </si>
  <si>
    <t>Lokesh has been a key contributor in the Get help NLP testing and had led the entire testing lifecycle reflecting customer first mindset. During the testing journey he formulated appropriate and customized testing approach on the NLP Modules - the spread of utterances length and breadth from the product type, account type, overlapping scenarios, edge cases. He challenged design concepts using these testing use cases - which is commendable. My heartfelt appreciation for his invaluable contribution in Chatbot &amp; NLP product/solution testing deliveries \n\nYour tireless efforts in identifying and reporting issues and collaborating with our team has made a significant impact on the post go live experience of NLP as well. Your expertise has been crucial to the project success Lokesh, Keep it up!!!!\n</t>
  </si>
  <si>
    <t>Vishnu has done good work in Q1 - AMJ in Dealer expansion and appointed 119 New Dealers, TSK Active achieved 100% &amp; Dealer Stocking 100%</t>
  </si>
  <si>
    <t xml:space="preserve"> Pankaj\u00A0has done good work in AMJ in Dealer expansion and appointed 142 New Dealers, TSK achieved 100% &amp; Dealer Stocking 102%.</t>
  </si>
  <si>
    <t>Divya joined the content team in June'24, however, fully took over the Anime Launch &amp; worked independently. She also spearheaded the launch of Sony Liv, which was both time sensitive &amp; business critical. She was instrumental in helping contract closure in 10 days to see the platform live. She demonstrated thoroughness and rigor across all deliverables &amp; led both projects from the front.\u00A0</t>
  </si>
  <si>
    <t>SEO was a critical and a first time initiative for Binge. The concept of SEO was very technical and Anirudh did outstandingly well to understand the technicalities of SEO and define the SEO roadmap and requirements in the context of Binge . He demonstrated a digital first mindset by finding efficient automation to reduce operational overhead. Collaborated with various teams to deliver the project on time.</t>
  </si>
  <si>
    <t>The Oracle patch implemented in June every year involves many upgradations/ changes leading to dropping of existing customizations leading to system errors. Abhinav meticulously planned out the patch implementation in June\u201923 that involved working with IT &amp; the implementation partners to assess changes, impact, test scripts. Subsequently he planned out robust testing of each process with all RHRs in multiple combined sessions to record observations &amp; rectify any issues that were seen during testing. He was ably supported by Soumya, Lalit &amp; the RHRs during this exercise.\u00A0The outcome of this exercise was that no employee faced any errors post the patch implementation saving bandwidth that goes into rectifying system processes. The sessions organized with the RHRs also acted as a refresher for Oracle processes for the larger team and was appreciated by the RHRs. Kudos to Abhinav for planning this patch implementation perfectly!</t>
  </si>
  <si>
    <t>Nikhil has been instrumental in building the CESIP channel from ground up. He has not only onboarded some high-quality partners (currently working with top CD brands like Samsung/ Sony / LG &amp; Panasonic) but has also been able to extract business from them thereby increasing overall activations from his territory.\n\nHe practices a strong funnel building process wherein he is able to generate good leads via portals like Just Dial, CD company websites, google search, local dealer route visit etc.\n\nRegular gate meetings and rigorous follow-ups with the partner and installer along with assisting the installers during their installation calls personally has led to significant increase in the business and he has been successful in scaling up the CESIP activations to 225+ activations every month.\n\n\n</t>
  </si>
  <si>
    <t>Has been instrumental in driving the DSR by sharing regular reports and relevant data points highlighting gaps and opportunities. Regular follow-ups with ASM and DSR has improved the overall circle DSR performance with 125% achievement and has led to higher participation in Bandhan program and ever highest TSK active dealer base in the circle in l2Y.\n   \u00A0\n125% Achievement in POS delivery, timely execution and deployment along with acceptance in PRM. \n   \u00A0\n Rigorous follow-ups and daily reports along with visits have ensured 100% ach of ISD productivity norms.\n   \u00A0\n \n  \u00A0</t>
  </si>
  <si>
    <t xml:space="preserve">  Radha Krishna Jha\n DSR\u00A0Preformance 125% through Regular sending reports to ASM , DSR , Dist.\n   \u00A0\n in Guidence of CSM &amp; Coordination with Partner &amp;\u00A0ASM 125%\u00A0Achv. POS Delivery, Execution, Acceptence in PRM execution\n   \u00A0\n ISD Productivy increased to 100%, Thrugh Daily Reports, calling to DSRs, one to one performance Review\n   \u00A0\n Smoothly running DSR, DIST , ASM's Circle contest, resulted in highest DSRs qualification , &amp;\u00A0Increased TSK\u00A0Achv.\n  </t>
  </si>
  <si>
    <t>Narayanan has played a significant role in supporting the publishing of the promotional requirements for services - segments/ rails / banners. This involvement has been instrumental in achieving the services' objective of adding 100,000 Gross Adds. Furthermore, he has efficiently managed the BAU activities of the app, ensuring the accurate scheduling and accessibility of all activities on the platform. Narayanan has demonstrated his capabilities in effectively managing and executing accurately all promotions for Netflix, Binge, Services, Recharge, or any other linear content.</t>
  </si>
  <si>
    <t>Design partner had asked for a 10% rate card increase for this FY. Neha worked on detailed resource utilization analysis for last 5 years and recommended a new business model to SCM which was agreed and resulted in\u00A0no increase in rate card, annual savings of Rs. 40 lakh and 20% more service hours on the DTH side.</t>
  </si>
  <si>
    <t>Ashish had handled the statutory audit for the year in a smooth manner and has also been able to do stakeholder management (auditor) in terms of clarifying the audit queries thereby minimising the observations. His contribution along with other teammates helped closure as per timelines as well as smoothen the entire Board meeting process. There were couple of areas which needed deeper analytics and workings, but his flawless approach in managing them was well accepted. Also put in extra efforts in getting the audited financials signed at the request of Board member and set an example of excellent co-ordination and ownership in executing the same.</t>
  </si>
  <si>
    <t>Thanks, Prakash, for the excellent contribution done towards creating a cost story for the past 5years. Lots of efforts put in and as well iterations done to support the insights derived from the trendline. The story line as presented to Leadership and GLT team helped draw clear line of actions on cost and revenue, which the organisation has been working on. These insights would definitely help save some cost and improve the bottom line for the year.</t>
  </si>
  <si>
    <t xml:space="preserve">Vishal has been instrumental in driving 5 MN project He is handling the biggest location and liaised with each and every member involved in the process and ensured seamless delivery with highest  Annual pack penetration  of 91 % .He liaised with each and every member involved in the process and ensured seamless delivery with the location assigned. He has demonstrated exemplary performance while coordinating across stakeholders and partner team to target outliers. </t>
  </si>
  <si>
    <t>Appreciate Sachin for his efforts in testing till deployment of new low cast IVY HD STB formal build on Live platform in short project timeline. During testing he faced many challenges in validation E2E functionality of IVY STB. He\u00A0identified many blocker issues during STB loader validation like loader SATCR issue, loader voltage issues, SWDL issue etc.\u00A0As a result, issues have been fixed before field deployment. Sachin also has taken initiative and tested many STB software in last quarter in hotel setup and raised many issues which helped team to fix those and have stable software.</t>
  </si>
  <si>
    <t>\u201CSince Mega Winback Campaign has Started, Eshter has been on top of all the required MIS and Analytics as per Stake holders requirement. She logs in every day early to ensure that the One view dashboard is published as 1st priority report in the morning. Reports were shared on all day including Weekdays and Holidays.\n\nShe was able to cater to all new Campaigns reports immediately the next day. (Campaigns like Phase1 Follow-up, OB&amp;Whatsapp, Phase2 Act-Deact). Accommodating Non Compliance Sales and Recon Sales was an additional activity which Esther took it seamlessly.\n\nReports are Published with 0% Error.\n\nAlong with this, she was also able to automate few other ADHOC reports in to BAU where the stake holders got the weekly information about the campaign such as weekly trend, Slab wise Conversions and so on. She has also ensured to train the other team members to have the knowledge of Mega Winback Campaign as Back-up plan.\u201D</t>
  </si>
  <si>
    <t xml:space="preserve">In Q1 there were some organizational critical projects which were impactful and Losang was in thick of things in executing them seamlessly. There was project profitability under which each market facing plan was to be assessed from profitability lense and price &amp; packaging revision was done to achieve the desirable paybacks. This required meticulous planning for each market and execution as it would impact market facing products and communication. Along with that under Project Reset a unique approach was taken to optimize all packs by rationalising content and executing price hike along with the same. This was a unique approach through which we were able to achieve rationalizing impact and also salvage the estimated revenue loss by reducing NCF discounts, both being done together. Losang ensured that each aspect of both activities was meticulously planned and executed. He took complete ownership, while coordinating with the multiple stakeholders in order to deliver both the activities </t>
  </si>
  <si>
    <t>Abhiresh has shown exceptional contribution in Discovery+ onboarding, ingestion automation and cross function collaboration with product, content and business to make this Partner Live on Binge Platform within projected timeline.</t>
  </si>
  <si>
    <t>The individual is nominated for two competencies: \u201CPut Customer First\u201D and \u201CDeliver Results\u201D. \n\nPut Customer First : - New Repair Centre (RC) was to be setup at Bangalore as old was going to be closed. The timeline was very short. He had done site survey of the new location, met the RC In-charge, determined the best location for dish installation by checking isolation of TI (Terrestrial Interference) and guided the vendor about cable layout for Quattro &amp; dCSS LNB signals.  \n\nDeliver Results: - A complex Signal network was required to be designed to connect 4500+ STBs using different types of signals (Universal, SatCR, dCSS). Previously multiple dishes were installed to achieve this. He designed the network in such a way that different types of signals (Universal, SatCR, dCSS) were provided to the STBs by single dish. Also, he omitted the re-work of modifying 2500 splitters by introducing \u2018T\u2019 connectors which saved time and money.</t>
  </si>
  <si>
    <t xml:space="preserve">Rewarding Lenin with Job Well Done for the below contributions\n1 Lenin singlehandedly created the templates and reports for Mega WBK campaigns and ensured all stakeholders were educated on the same\n2 He also ensured data was sent on time and accurately on all days irrespective of multiple sub campaigns under Mega WBK   \n3 Ensured that partners were briefed on the reports and calculation methodology for their planning and driving performance   \n4 Also ensured the other reports were not overlooked but stuck to the priority list shared with respective stakeholders. Reports as per P1/P2/P3&amp;P4 were sent as per agreed timelines </t>
  </si>
  <si>
    <t xml:space="preserve"> Achieving 160% achievement of target and growth over last year in the tough market is highlight of Q1 performance. Demonstrated exceptional rigor in chasing target and delivering results!</t>
  </si>
  <si>
    <t>Pragya was a critical part of the content analytics charter for the TV Team, in Q4. She demonstrated thoroughness and effectively drove all deal modelling &amp; viewership exercises that were pivotal for deal closure. Pragya has displayed great rigor in taking on added work this quarter which helped us deliver against the AOP.</t>
  </si>
  <si>
    <t>Akash has done a commendable job and has collaborated efficiently across internal and external stakeholders in running the biggest partnership portfolio of 14 partners (10 Binge, Netflix &amp; 3 TVoD) within a short span of joining the Binge team. He rose to the occasion, double hatted and took on to the challenge on end-to-end planning and execution of new apps such as Animax, Distro TV(200+ Live chs)  along with successfully planning and executing 360 promotions for the biggest property  The Kapil Sharma show on Netflix. &lt;br/&gt;&lt;br/&gt;The OTT app launches involved liaising with product, tech &amp; partner for challenges on technical front as these partner integrations were first of its kind hence needed instantaneous intervention/ creative solutions and judicious hand holding to meet the launch timeline. Akash took ownership,  understood the blockers and very confidently solved issues such as Content ingestion with DL-Cloud tech and Binge Ops, meta data errors on content catalogue, Channel tile/ logo issues by live channels.&lt;br/&gt;&lt;br/&gt;All this efforts and timely launches resulted into great consumer wins with Distro TV  Live TV content being most consumed on Binge and TKSS fuelling up the subscription numbers on Netflix.</t>
  </si>
  <si>
    <t>Mohsin has done good Job in Q3 on infra expansion. He has aligned the partners for new dealer and active dealer in his territory. He has achieved the 123% TSK active target in Q3. Well, Done Mohsin    Q3 TSK TGT 1244\u00A0 Q3 Ach\u00A01536  Ach%\u00A0 123%</t>
  </si>
  <si>
    <t>Congratulation Deepak Sonar for awesome Job done in Distribution parameter through New Dealer and TSK Active Dealer in H2 with Month-on-month Growth and Ever Highest Achievement in the month of March 2024. Keep it up Champ!</t>
  </si>
  <si>
    <t>Congratulation Vijay Pandey for awesome Job done in Distribution parameter through New Dealer and TSK Active Dealer in H2 with Month-on-month Growth and Ever Highest Achievement in the month of March 2024. Keep it up Champ!</t>
  </si>
  <si>
    <t>Congratulations Shriram for Achieving New Distribution Milestone of TSK Active Dealer with Month-on-Month Growth in H2 and to reach ever Highest in the month of March. Keep it up Champ!</t>
  </si>
  <si>
    <t>Dear Haris,  In Q4 you have converted 172 connections and managed to retain more than 15 hotels from churning due to increase in Minimum recharge value. Total you have converted 138 Hotels (61%) to Tata Play in Idukki district with 5182\u00A0connections. The district is full of tourists and their demands to hotels are high which leads to hotel calling up Tata Play for lot of queries. You have managed to ensure each query is handled with care and resolved.  Competition team is also pitching hard and we have got more than 5000 connections in the Idukki district overall. Thanks to your dedication and effort.</t>
  </si>
  <si>
    <t>Deliver Result Vikas has done good Job in Q3 on TSK active he has achieved his target 110% in TSK active with 34 % growth over Q2 and it's impacted on his Activation also. he has achieved his activations target 117% in Q3 with 34% growth over Q2. Good Job Vikas</t>
  </si>
  <si>
    <t>I would like to nominate ASM Devashish Maisnam\u2019s name for Job Well Done categoryWhen the going gets tough, the tough get going. Our Warrior ASM from Manipur Devashish Maisnam has exactly proved that. Manipur is under complete siege from almost a year now with very high threat to life and property. In such a scenario, Devashish has never shied away from the task at hand. Be it delivering the materials to ISP or Dealer points, collecting the defective boxes or at times accompanying the installer to some customer's house in the riot hit areas, Devashish has always gone beyond the call of duty. He deserves accolades for demonstrating exemplary courage at this hour of crisis. Acquisition in Manipur increase due to internet curb, at that time he escorted the material delivery vehicle himself and get the delivery done, in spite of restrictions of movement. he used his expertise and get all the activations done on time with very minimum customer escalations.</t>
  </si>
  <si>
    <t>Sneha helped craft a winning proposition for the launch of Tamil Classics service, leveraging the continuing legacy of Tamil cinema legends. The concept resonated with the target audience, resulting in a highly successful launch week with 17,000 new subscribers, with 69% driven by missed calls she brought alive the campaign through fresh initiatives:A music composition celebrating the return of the legends, sparked excitement and nostalgiaScrap book visual treatment conceptualised and carried across collaterals helped differentiate the campaignShort promos featuring iconic movie scenes offered intriguing glimpses into the vast library of content, piquing viewers' interest To sustain engagement, a 3-month free trial was promoted across various channels, including digital performance marketing and trade</t>
  </si>
  <si>
    <t>Akshaya has shown great initiative to onboard the new social media agency before the year end. Not only did he ensure a smooth onboarding in terms of contract closure but also ensured that the agency has a thorough understanding of the brand voice and objectives. His efforts are already showing results in terms of the engagement that we are getting on the platform.</t>
  </si>
  <si>
    <t>Saumya designed the new NPS survey form with emojis, color symbolism &amp; legends. She saw it through from Design to UAT to Go live by collaborating with stakeholders across Research, Product, Tech &amp; IT. We saw an increase of 5-8 points across all 3 digital NPS touch points because of this new UI UX.</t>
  </si>
  <si>
    <t>Abhishek has played an important role in completing numerous tasks to ensure that any partner or app is released with no or minimal content issues. He worked on Content QC for many partners, most notably APV, where he identified issues and resolved them with a minimum TAT. He has always offered to collaborate with other teams and assist them with content testing while also helps Ops team in enhancing their experience with the CMS. His understanding of business flow is great; he not only verified no blockers were left while completing end-to-end content testing, but also the issues to be fixed at the partner level working together during the partner integration, where he developed a good partnership with the partners and others. He has always focused on the customer experience, keeping their app usability in mind while using the Binge OTT app.\u00A0It is really admirable how commitment and I truly value your steadfast assistance and commitment.Continue to develop and do amazing work!\u00A0</t>
  </si>
  <si>
    <t>Manvith has done outstanding work on launching Binge on LG and Samsung TV devices. Manvith's contributions have been instrumental in the success and innovation demonstrated throughout this initiative.His innovative approach and meticulous attention to detail have not only met but exceeded expectations. He played a pivotal role in negotiating favourable user journeys with OTT partners, improving product design, and ensuring we launch the product well in time. The product experience was well received by internal employees and also liked by end consumers.Moreover, Manvith's ability to collaborate effectively with cross-functional teams and stakeholders has been commendable. His leadership in navigating challenges and his proactive approach to problem-solving have been invaluable to the project's success.</t>
  </si>
  <si>
    <t>Akash Nag has shown and exception work collaboration in FY 2023-24 Q4. few of his achievements during this quarter includesAround 6 new analysisidentification of incorrect Bulk data for ServicesMissing WO's Type in the IT dumpMultiple Conversions for the same leads sent in In-Home campaign. Converted Call log but no conversion in SiebelCalls Outside Prescribed Window &amp; Delay in tagging of OB calls.Identification of more than 9 attempts done for subscribers and multiple leads for the same campaigns304 ADHOC for this fiscal year and 80 of them are in Q4. 80% of New reports and ADHOC requirement are completed on the same dayCreation and automation of 13 new Outbound campaigns and the same has been delivered within 24 to 48 Hrs of Campaign Launch. 8 Reports are Automated via SSIS. This helped in simplifying the data loading into our SQL DBs. A few Critical Campaigns like 1) Binge Plus Lite 99 - Q4, 2) Retention Binge Plus pack - Q4, 3) Kerala Retention - Q4Creation of Sop'</t>
  </si>
  <si>
    <t>Cheril has been a strong pillar on Binge business. Cheril led various customer lifecycle management driven engagement and retention initiatives such as Notification on the Binge+ box, converting Fire TV stick base to Binge+ box, driving consumption and usage on large screen devices using channels like push notification, email and WhatsApp. She has crafted various onboarding campaigns for Binge customers across Binge+, FTV, Smart TV and Fiber and has also ensured seamless GTM for new app launches on Binge. Binge was introduced on Smart TVs in FY 24 and a lot of awareness campaigns have been meticulously planned and driven by Cheril. She has worked cross functionally across teams and managed things largely by herselfAs part of role enhancement, Cheril will now be taking care of engagement and retention across devices on Binge. Wish her good luck in her new role\u00A0</t>
  </si>
  <si>
    <t>Ravinder has done good job by automating and securing RMN related dumps from manual sending to directly from IT to Calling partner.earlier we were sending files containing subscriber\u2019s mobiles numbers to calling partner manually. in which there was security and data privacy risk.Post this automation IT will place file into sFTP from where it will load to IVR of calling partner and IVR will directly dial to subscriber and connect to agent.By this flow no exposure of mobile numbers at any place to any person and end to end encryption is in place.He coordinated well with IT, IVR team, CO and Calling partner to complete this requirement.</t>
  </si>
  <si>
    <t>Srinivas has done good job in Binge and CO related reports/ dashboard. Since currently Binge is on top priority hence there are multiple initiatives, process and tracking going on at multiple levels.He worked hard towards designing and building multiple and complex reports and many Ad hoc and on demand reports, analysis and dump requirements. Moreover, he coordinated well with IT for getting multiple data and automations in place.</t>
  </si>
  <si>
    <t>Romal has displayed a great proficiency in finalisation of the Audit for the year ended 2023-24 along with other responsibilities in hand. Post the IPO filing, company initiated the quarterly limited review audit process and Romal has been a critical resource in preparing and sharing the draft standalone and consolidated financials within 10days from the quarter close. This has also helped him further strengthen his processes around audit finalisations. He showcased commitment and attention to detail and thoroughness for financials, efficiently co-ordinated with internal stakeholders for data and explanations, reviewed critical documents while ensuring compliance with regulatory and accounting standards. His support on financial preparation has helped company to close the audit within the defined timeline ie 10th April which was short, critical and also important.</t>
  </si>
  <si>
    <t>Lolakshi has done excellent work with shared service Agney A R Chawara &amp; Associates and done lots of Automation &amp; process improvement and reduced the payout by 20 % ie 15.40 lacs per year with effect from 1st August 2024</t>
  </si>
  <si>
    <t>Nishant led the Unified BOT project from BE end and coordinated with various stakeholders from different functions/partner end. He not only ensured to update the leadership on project status on a regular basis, but also managed the project delivery with in the estimated duration.\u00A0This project required a lot of followup with both Oriserve and S360 partner teams and the flow stepup with the help of IT \u2013 Nishant ensured a smooth transition from Oriserve to S360 without any major issue or delay.\u00A0This project will not only improve the subscriber experience, but also helped us in saving 30 Lac/year :\u00A0Experience Impact:Single chatbot partner for both TPMA and TP BingeLesser lead time for development with a single partnerUniform customer experience on chatbot for both TPMA and TP BingeFuture perspective \u2013 One chatbot for all TP Binge (DTH and Binge bot)\u00A0Cost Impact:With migration to Unified bot we have a cost saving of 30 lakhs per annum which is budgeted under IT cost centre.</t>
  </si>
  <si>
    <t>Champa has led the \u201CMaking custiomer smile contest 2024\u201D end to end from the CO end. Her efforts in coordinating with all the Ops stakeholders have helped us in maintaining our rank throughout the contest. Her ideas to create digital banners, updating information on TV screens, and taking video bytes have motivated the partner team to contrinute more. She took this contest over and above her assigned responsibilities and ensured her active participation.\u00A0She managed an internal contest for Unique participation% and also rewarded best stories which further motivated the team. She also coordinated with FS team on their performance and story submission for overall Unique participation% arcoss Tataplay as Org.\u00A0Resultant, We were able to close the contest at 3rd Rank in 2024 as compared to 8th Rank in 2023 out of 50+ Tata group companies.Achieved 100% unique participation from CO team10K+ stories were submitted by the team as compared to 1k last yearOne of the FS stories has also wo</t>
  </si>
  <si>
    <t>He has set his own goal and creating new benchmark for himself with high level performance. he has delivered 6.74% in Q3 and maintain top 5 position in his group Android conversion during Q3.He engaged the partner's team by ensuring timely distribution of incentive and daily tracking yielding results, He become No.1 in All India chart all 3 months and delivered 58.75% in LIVE TV during Jan to March 23.</t>
  </si>
  <si>
    <t>He has set his own goal and creating new benchmark with high level performance. New partner assigned to him, and he engaged the partner, motivate are drive the team by ensuring timely distribution of incentive and daily tracking yielding results, He become in top 2 in All India chart all 3 months in Android by achieving 6.72% in Q3 and also in Live TV, he has score is 51% during Oct to Dec 23</t>
  </si>
  <si>
    <t>Amey was instrumental in successful pilot launch of Next Best Action at IB desk. NBA\u00A0ML models were recalibrated and re-deployed for better conversions. Lot of effort were\u00A0also put in to increase total opportunity available at IB desk to make sure that every\u00A0subscriber had relevant offer. Post implementation of the solution, thorough deep dive\u00A0analysis was done to identify if there is any further scope of improvement in the\u00A0existing framework.\u00A0Amey has closely worked with external partners and internal stakeholders for the success of\u00A0the project. He has excellent attitude towards work, always self-motivated and makes sure\u00A0that he gets into the minutest details of the project.\u00A0We hope he continues to enjoy the work with same zeal and passion. Keep up the good work and good luck for upcoming projects.</t>
  </si>
  <si>
    <t>Sneha helped craft a winning proposition for the launch of Tamil Classics service, leveraging the continuing legacy of Tamil cinema legends. The concept resonated with the target audience, resulting in a highly successful launch week with 17,000 new subscribers, with 69% driven by missed calls \nshe brought alive the campaign through fresh initiatives:\nA music composition celebrating the return of the legends, sparked excitement and nostalgia\nScrap book visual treatment conceptualised and carried across collaterals helped differentiate the campaign\nShort promos featuring iconic movie scenes offered intriguing glimpses into the vast library of content, piquing viewers' interest \nTo sustain engagement, a 3-month free trial was promoted across various channels, including digital performance marketing and trade</t>
  </si>
  <si>
    <t>Akshaya has shown great initiative to onboard the new social media agency before the year end. Not only did he ensure a smooth onboarding in terms of contract closure but also ensured that the agency has a thorough understanding of the brand voice and objectives. \nHis efforts are already showing results in terms of the engagement that we are getting on the platform.</t>
  </si>
  <si>
    <t>Abhishek has played an important role in completing numerous tasks to ensure that any partner or app is released with no or minimal content issues. He worked on Content QC for many partners, most notably APV, where he identified issues and resolved them with a minimum TAT. He has always offered to collaborate with other teams and assist them with content testing while also helps Ops team in enhancing their experience with the CMS. His understanding of business flow is great; he not only verified no blockers were left while completing end-to-end content testing, but also the issues to be fixed at the partner level working together during the partner integration, where he developed a good partnership with the partners and others. He has always focused on the customer experience, keeping their app usability in mind while using the Binge OTT app.\u00A0\nIt is really admirable how commitment and I truly value your steadfast assistance and commitment.\nContinue to develop and do amazing work!\u00A0</t>
  </si>
  <si>
    <t>Manvith has done outstanding work on launching Binge on LG and Samsung TV devices. Manvith's contributions have been instrumental in the success and innovation demonstrated throughout this initiative.\n\nHis innovative approach and meticulous attention to detail have not only met but exceeded expectations. He played a pivotal role in negotiating favourable user journeys with OTT partners, improving product design, and ensuring we launch the product well in time. The product experience was well received by internal employees and also liked by end consumers.\n\nMoreover, Manvith's ability to collaborate effectively with cross-functional teams and stakeholders has been commendable. His leadership in navigating challenges and his proactive approach to problem-solving have been invaluable to the project's success.</t>
  </si>
  <si>
    <t>Amey was instrumental in successful pilot launch of Next Best Action at IB desk. NBA\u00A0ML models were recalibrated and re-deployed for better conversions. Lot of effort were\u00A0also put in to increase total opportunity available at IB desk to make sure that every\u00A0subscriber had relevant offer. Post implementation of the solution, thorough deep dive\u00A0analysis was done to identify if there is any further scope of improvement in the\u00A0existing framework.\u00A0Amey has closely worked with external partners and internal stakeholders for the success of\u00A0the project. He has excellent attitude towards work, always self-motivated and makes sure\u00A0that he gets into the minutest details of the project.\u00A0\nWe hope he continues to enjoy the work with same zeal and passion. Keep up the good work and good luck for upcoming projects.\n</t>
  </si>
  <si>
    <t>Cheril has been a strong pillar on Binge business. Cheril led various customer lifecycle management driven engagement and retention initiatives such as Notification on the Binge+ box, converting Fire TV stick base to Binge+ box, driving consumption and usage on large screen devices using channels like push notification, email and WhatsApp. She has crafted various onboarding campaigns for Binge customers across Binge+, FTV, Smart TV and Fiber and has also ensured seamless GTM for new app launches on Binge. Binge was introduced on Smart TVs in FY 24 and a lot of awareness campaigns have been meticulously planned and driven by Cheril. She has worked cross functionally across teams and managed things largely by herself\n\nAs part of role enhancement, Cheril will now be taking care of engagement and retention across devices on Binge. Wish her good luck in her new role\u00A0</t>
  </si>
  <si>
    <t xml:space="preserve">Vinanthini  has done a commendable job with the delivery of critical projects on the website like Pause and Resume,  Amazon Prime Video, Binge 199 and 149 pack inclusions and Free Trial 199 pack.   She has taken ownership of the quality and collaborated with various vendor teams for development and QA and ensured a smooth and successful project delivery. Her consistent performance and diligent efforts have contributed to our team's success. </t>
  </si>
  <si>
    <t>Vaibhav has been instrumental to identify opportunities for automation within daily operational processes and implemented changes successfully. Post such changes, all the manual interventions are avoided and being monitored effectively. It is also benefited as time saving and error less operations.\nWell done!</t>
  </si>
  <si>
    <t>12 critical databases were running on 11gR2 or 12c version. Both the versions are out of support. Swamy SC as a project Manager for this upgrade worked with 12 different application teams. He ensured that the application side of functional testing and load testing is completed throughly, mock upgrades are conducted and only then production DB upgrade is performed.\n\nThe project was completed without even a single issue reported and this upgrade has saved 1.5 cr for Tata Play which otherwise would have to be spend for 'Extended Support'</t>
  </si>
  <si>
    <t>Tata Play did not have EDR solution deployed. EDR is a solution for any InfoSec risk on the endpoint. Given this gap, Rajat took onto him to evaluate and rollout EDR across the enterprise. In 2 months included through evaluation he rolled out EDR across 7k endpoints.</t>
  </si>
  <si>
    <t>Pooja's collaborative spirit with agencies, Commercial, and Content teams, persistence and meticulously planned communication improvements, contributed to the growth in TPMA's business objectives.\nHighlights:\nApp Engagement:\u00A0Increased engagement through communication developed for contextual/topical notifications, regional news, carousel notifications, in-app GIF notifications &amp; real-time match updates. This helped bring in 5lk additional MAUs and an 8 BPS growth in overall CTRs vs LY\nContent Viewing:\u00A0Leveraged content love to design a relatable consumer driven campaign that drives app usage for content viewing\nNew User Onboarding:\u00A0Demonstrating an understanding of the new user journey, developed marketing communication collaterals to simplify and guide users on benefits of using the app\nUACe Performance Campaign:\u00A0Developed static and animated videos for Google UACe campaigns to drive in-app recharges. Achieved a 48% reduction in CPR &amp; a 114% increase in recharges compared to plan</t>
  </si>
  <si>
    <t>He enabled hardware monitoring on Synamedia headend and helped in maintaining infra to run MCR software 24x7.</t>
  </si>
  <si>
    <t>Ajay has led the partner integrations on Tata Play Binge LG and Samsung platforms from the front and have suggested many innovative ideas and solutions during the overall development and release of the products.</t>
  </si>
  <si>
    <t>Yogapriya has been instrumental is driving a complex project of Next Best Action which uses ML model to recommend the best suited product for each &amp; every subscriber on the platform. This required her to go beyond her vertical and include offerings from other teams; Tata Play services, Netflix and box upgrade. This vast project involved getting cross functional teams together: business, CO, IT, Data modelling and campaign management teams. In this project, for every subscriber there is one product mapped basis propensity model and when this subscriber calls at Inbound the agent gets to see the best recommended offer with a curated crisp script which talks about product benefit and how its best suited. From design working with multiple teams, to executing it at 3 centres &amp; 200 agents to streamlining multiple processes and reporting, she has worked extensively with multiple teams to get this live. It\u2019s the right way to upsell and forward looking solution which will get scaled up across v</t>
  </si>
  <si>
    <t>Imran handled the Synamedia CR 800 project management, which is a bundle of\u00A09 different feature enhancements like 3 additional language in EPG, 1500 service capability in STB, subscriber channel indication and other marketing CRs. He has coordinated well with internal (testlab, product, EPG, Head End)  and external (Synamedia) stake holders for feature delivery, testing, bug prioritization and completed required prerequisite for the software upgrade for customers.\nGood job, Imran, keep it up!</t>
  </si>
  <si>
    <t>Testing of Binge partner contents across platforms takes 6 to 8 hours a day and it\u2019s a manual activity hence QC team was looking for a tool to automate the playback of the partner contents. Also, readymade framework is not available in the market due to unique features of our product hence it needs to be inbuilt. Binu took this as challenge, analyzed lots of materials through online/offline modes and understood how to automate the playback of Binge partner contents through new framework. A new tool was created from scratch to playback the partner contents on the binge through Android mobiles/tab and website (portal). 6 to 8 hours of manual testing is avoided by using this automation tool. All the 30+ partner contents on Binge are automated and the time taken to play the partner contents are captured as result in excel format. Failures are captured with images and saved in easily readable format. This framework has opened way to automate other Tata Play products in the coming years.</t>
  </si>
  <si>
    <t xml:space="preserve">Pradeep Tambade played a key role in improving segmentation for the Tata Play mobile app. His work directly contributed to the release of segmentation possibilities for the Binge 99 plan promotions on the app. This segmentation improvement has been instrumental in driving sales, with TPMA selling about 4.5k Binge 99/149 packs monthly.\nThis achievement exemplifies Pradeep's strong ability to Think Digital and Deliver Results, key competencies for success-\nThink Digital: Pradeep's work in segmentation demonstrates a clear understanding of how to leverage digital tools and strategies to achieve business goals. By identifying and implementing segmentation improvements for the Binge 99 plan on the app, he has directly contributed to increased sales through a targeted digital approach.\nDeliver Results: The successful launch of segmentation for the Binge 99 plan and the resulting sales growth are a testament to Pradeep's ability to deliver impactful results.  </t>
  </si>
  <si>
    <t>Asma was instrumental in rolling out Flexi plan for binge product line. The entire project management was done by Asma bringing 10 teams together across various functions and rolling out the changes without even one day slippage in planned schedule. She ran daily stand up calls and ensured that all the stakeholders are fully aligned during the execution. Project went live on 8th Dec as planned and was much appreciated by leadership team</t>
  </si>
  <si>
    <t>Job Well Done</t>
  </si>
  <si>
    <t>Kanchan Kumari</t>
  </si>
  <si>
    <t>Amit Maurya</t>
  </si>
  <si>
    <t>Anitha Joy</t>
  </si>
  <si>
    <t>Mohan A</t>
  </si>
  <si>
    <t>Ankush Jain</t>
  </si>
  <si>
    <t>Nirmal Abraham</t>
  </si>
  <si>
    <t>Bhaskar Mishra</t>
  </si>
  <si>
    <t>Sunil Kumar</t>
  </si>
  <si>
    <t>Ritesh Joshi</t>
  </si>
  <si>
    <t>Amitkumar Patil</t>
  </si>
  <si>
    <t>Kapil Laddha</t>
  </si>
  <si>
    <t>Meghna Tiwari</t>
  </si>
  <si>
    <t>Apurva Panwar</t>
  </si>
  <si>
    <t>Pratik Wadkar</t>
  </si>
  <si>
    <t>Nikhil Gowda M</t>
  </si>
  <si>
    <t>Maulin  Pandya</t>
  </si>
  <si>
    <t>Nupur Patel</t>
  </si>
  <si>
    <t>Sharath K S</t>
  </si>
  <si>
    <t>Dimple Jain</t>
  </si>
  <si>
    <t>Ananthakrishnan J</t>
  </si>
  <si>
    <t>Prabhat Kumar</t>
  </si>
  <si>
    <t>Ishant Gupta</t>
  </si>
  <si>
    <t>Varun Vij</t>
  </si>
  <si>
    <t>Pavan  Kumar Jagannath</t>
  </si>
  <si>
    <t>Shrinidhi DC</t>
  </si>
  <si>
    <t>Prasath Selvaraj</t>
  </si>
  <si>
    <t>Sujith Krishnan</t>
  </si>
  <si>
    <t>Harish Jathan</t>
  </si>
  <si>
    <t>Bhupendra Kumar</t>
  </si>
  <si>
    <t>Rohan Yadav</t>
  </si>
  <si>
    <t>Nidhi Dahiwale</t>
  </si>
  <si>
    <t>Kabita Chetri</t>
  </si>
  <si>
    <t>Crescentshiya Fernandez</t>
  </si>
  <si>
    <t>Sirisha Vuyyuru</t>
  </si>
  <si>
    <t>Rohan Sharma</t>
  </si>
  <si>
    <t>Jaspreet Singh Sagoo</t>
  </si>
  <si>
    <t>Rahul Chugh</t>
  </si>
  <si>
    <t>Hrushikesh Kshatriya</t>
  </si>
  <si>
    <t>Mayank Tiwari</t>
  </si>
  <si>
    <t>Sagar Hajare</t>
  </si>
  <si>
    <t>Atul Marathe</t>
  </si>
  <si>
    <t>Sachin Gaikwad</t>
  </si>
  <si>
    <t>Monish Chadha</t>
  </si>
  <si>
    <t>Sahil Sharma</t>
  </si>
  <si>
    <t>Prakash Chandra Rout</t>
  </si>
  <si>
    <t>Smruti Sourav Pattanaik</t>
  </si>
  <si>
    <t>Saubhagya Ranjan Behera</t>
  </si>
  <si>
    <t>Tapan Kumar Samantaray</t>
  </si>
  <si>
    <t>Subrat Mishra</t>
  </si>
  <si>
    <t>Amit Kumar Mohanty</t>
  </si>
  <si>
    <t>Balwant Singh Bora</t>
  </si>
  <si>
    <t>Dipak Badakh</t>
  </si>
  <si>
    <t>Mukesh Pandey</t>
  </si>
  <si>
    <t>Yeluri V Ashok Kumar</t>
  </si>
  <si>
    <t>Mohan Khetwani</t>
  </si>
  <si>
    <t>Gurpreet Kaur</t>
  </si>
  <si>
    <t>Geeta Thakur</t>
  </si>
  <si>
    <t>Chakirala Sai Tripura</t>
  </si>
  <si>
    <t>Arpit Mutha</t>
  </si>
  <si>
    <t>Bhuvaneshwaran S</t>
  </si>
  <si>
    <t>Abhinav Aggarwal</t>
  </si>
  <si>
    <t>Bharti Samant</t>
  </si>
  <si>
    <t>Rochelle R Rajguru</t>
  </si>
  <si>
    <t>Abhishek Toppo</t>
  </si>
  <si>
    <t>Rinku Negi</t>
  </si>
  <si>
    <t>V. Aanand</t>
  </si>
  <si>
    <t>Thomas George</t>
  </si>
  <si>
    <t>Rajneesh Kumar</t>
  </si>
  <si>
    <t>Rahul Puri</t>
  </si>
  <si>
    <t>Anil Dalvi</t>
  </si>
  <si>
    <t>Aditya Shah</t>
  </si>
  <si>
    <t>Deepak Nadgouda</t>
  </si>
  <si>
    <t>Abhiney Kharbanda</t>
  </si>
  <si>
    <t>Sarbojit Sarkar</t>
  </si>
  <si>
    <t>Saurav Kumar</t>
  </si>
  <si>
    <t>SAYANTANI  GUPTA</t>
  </si>
  <si>
    <t>Sony RIO was a very complex and a unique project which involved various teams within commercial function. The project helped rationalise subscribers content and also impact monthly charges. It was a complex project which involved making changes packaging and meeting regulatory compliances within timelines. Post execution the task was to roll it back as well with speed and efficiency as business objectives were achieved. This team worked very closely and their collective efforts demonstrated successful collaboration, ownership, speed and innovation with a focus on not just business KPIs but also on customer experience</t>
  </si>
  <si>
    <t xml:space="preserve">Sunil is number one in overall Ranking in first six Month . Bhaskar is number 1 in Building Infra in his respective area across Circle </t>
  </si>
  <si>
    <t>TATA Play was migrating to a new SIEM tool, however, due to the TBXG Cyber Assessment, the DTH team started a little late. With just ~10 days remaining before the existing SOC contract expired, Ritesh and Swamy took charge of the situation and successfully onboarded all major log sources within the tight timelines by collaborating with multiple teams and putting in long hours to ensure a smooth transition.</t>
  </si>
  <si>
    <t>We launched a first of a kind partnership with Amazon Prime Video for Binge customers, offering Prime Lite as part of a 199(INR) best of 6 bundle. This strategic move aimed to launch a powerful &amp; unique proposition for consumers to choose their favourite OTTs on a very aggressive price point. This ensured that we have a strong market pull for driving acquisition &amp; thus aspire for 1 Mn Sub-base. It involved collaboration across teams to implement the proposition across multiple touchpoints, including both front-end and back-end product development creating customer experience &amp; pack journeys. A robust marketing campaigns was launched with an ad-film along with tentpole Content (Mirzapur &amp; Panchayat) across Digital &amp; Ch 100. This created a high impact launch, achieving ~200K gross additions within the first couple of months which is the highest for Binge.</t>
  </si>
  <si>
    <t>Team AI Evangelists:\nProject AI Literacy (PAL) has been taken up by a team, AI Evangelists comprising of Ishant, Dimple, Varun, Prabhat &amp; Anantha. The project aims to ensure that by the end of 52-week period each of the Finance team member is familiar with the new age Tech tools and their impact on them both professionally &amp; personally. \nAs part of this project already 10 modules have been published. Also the team has carried out multiple interactive sessions that have been well received. There is an overwhelming response and a change has set in. \nThe team sourced the course and extent of this project by referring to CBSE X syllabus of AI subject. They have referred to various materials across the internet sources, using GenAI tools to create the modules that are easy to read with pop culture references incl. Bollywood.\u00A0</t>
  </si>
  <si>
    <t>Recognizing the team with Intra Function Award for the below contributions towards 5Million Mega Winback Campaign.\n1. From day one, 5mn reports were expected by 9am and hence team had to login early shifts for churning the data and sharing the same on time.\n2. Few new campaigns under the same Mega WBK (Follow-up Phase 1, OB&amp;WA Follow-up, Act/Deact Follow-up Phase 2 were introduced at regular intervals which increased the query run time &amp; team worked together in optimizing the same using online techniques \n3. A new dashboard was introduced which is being sent to CEO on a daily basis by 9am, timeline was never missed &amp; teams across functions worked on the same for seamless delivery. (Lenin to update dials &amp; Conversions, Sujith to share FTE count, Srinidhi to share cost on a daily basis, Pavan Jagan's contribution towards CR's &amp; Billing Closure), this report is sent on all days including Weekends and Holidays.  \n4.Error free &amp; timely delivery of reports helped in campaign success.</t>
  </si>
  <si>
    <t>I would like to nominate Anand, Shoaib, and Vinod for the Intra-Functional Team Award for their exceptional performance in Q1. Their collaboration and dedication have led to outstanding results, significantly contributing to our overall success. Key Achievements: *Exceeded CESIP Target: The team achieved more than 125% of the CESIP appointment target, showcasing their dedication and strategic execution. *Strategic Partner Appointments: Their successful appointment of CESIP partners is crucial for our business, as TV installers play a vital role in convincing customers to choose Tata Play. *APD Business Growth: With the new CESIP partners onboard, they are now poised to initiate and ensure growth in the APD business. Their teamwork, strategic thinking, and commitment have been exemplary. I strongly recommend this team for the Intra-Functional Team Award to recognize their significant contributions and encourage their continued success. Congratulations to all.</t>
  </si>
  <si>
    <t>First time since the time of inception of Tata Play, Customs Audit covering all the import and export transactions for the last 5 years i.e. from 2018 to 2023 happened this year. This was a premise-based audit which continued for the 2 months period through multiple meetings and engagements with Auditors, submission of series of relevant documents asked by auditors and ended with 2 full days visit by 3 authorities from customs audit department in our corporate office. Bhupendra Kumar and Harish Jathan have handled end to end documentation, liaising with cross functional stakeholders, solving of all the queries raised by auditors and finished the audit with clean report without any major observations. Being the audit happening for the first time, it was a difficult task to handle complicated queries and situations raised by Auditors. But Bhupendra and Harish have made best use of their knowledge and experience to handle these situations effectively and resolved all open queries timely.</t>
  </si>
  <si>
    <t>With a new satellite being commissioned the team was tasked to create impact and deliver ROI on the satellite cost. In the last 3 months of the fiscal, the team was persistent and demonstrated rigour in securing partnerships thus delivering the highest carriage collections seen across the last 5 years amounting to 60 Crs in revenue in 3 months. This contributed significantly to overall revenue for Tata Play.</t>
  </si>
  <si>
    <t>The team streamlined the planning &amp; execution for implementing SEO on Binge, it was the first of its kind project with no in house expertise and required every team member to go above and beyond to get it LIVE . Right from identifying keywords to website design ,technical and programming aspects of the website, the team ensured that the Binge website was made SEO friendly for organic ranking on Google search and will give long term benefits of organic marketing.</t>
  </si>
  <si>
    <t>Inbound team had taken an arduous task of achieving NPS of 70 this year compared to 57 last year. This required a lot of brainstorming, project mapping, cross functional stake holder management, process changes, introducing new monitoring mechanism etc. Every individual had taken a specific region and PI\u2019s to improve upon from April to December. The overall project was divided into Six Sigma and 360-degree feedback learning to be incorporated into practice. NPS has moved from 57 last to 71 in December with YTD NPS being at 70 which is best ever for us and across industries. The entire team and every individual have demonstrated a rare passion to achieve the goals with excellent call to action. Not only the scores were improved drastically but also NPS is almost insular now to process changes and exhibiting a process level stability. A great foot to achieve with astounding teamwork. Keep it up team!\u00A0</t>
  </si>
  <si>
    <t>This Award Goes to each ASM of Team Marathwada for all their hard work in Delivering Result in Q4 &amp; Hitting Hat Trick of West Region Award too with Highest TSK Active Dealer Achievement in the month of March 2024. Congratulations Team &amp; Keep it up!</t>
  </si>
  <si>
    <t>Good Job Done Team! you guys have adopted the change and action on task and delivered 100% result within timeline.Task was TSK active Target 2150 by Dec 2023. &amp; Achievement was 2154 &amp; given Growth over July is 65%. which the highest in Pune district.your contribution is more than 100%      ASM Name\u00A0        Q3 Tgt       Q3 Ach\u00A0     Ach%\u00A0 Sachin Gaikwad        1237          1477        119%   Vikas Desai               1168          1286         110%   Mohsin Tamboli         1244          1536         123%</t>
  </si>
  <si>
    <t>Monish and Sahil have contributed very well in success of Sales and Revenue Performance for CO OB function. with 9% reduction in cost, we have 10% growth in Conversions and Gross Revenue. We will be doing 5X ROI with 180 CR revenue from OB CO Team. Their contribution is highly commendable with keeping Compliance intact. Commercial team has shared accolades for their contribution. Congratulations to both of them for their good work for FY 23-24.</t>
  </si>
  <si>
    <t>Excellent job for achieving more than 80% ISP Installer contribution for BMP contribution with in 21 days of the month. Across ASMs has contributed  and strong activity to the field level &amp; sense of urgency has been showing.The similar trend showing in Recharge as well , every ASM now contributing to over all circle numbers and as a Circle we are now contributing highest numbers for both BMP and Recharges on many days to region..This is the step stone for big success for coming days, with this engagement level we  as a team can achieve more such success..</t>
  </si>
  <si>
    <t>As A Team All managed MDU migration load efficiently within timelines. They prepared well in advance manpower and started following up daily plan vs Achievement. They coordinated well with ODU teams in handling all institutional subscribers along with VIP subscriber with least escalation and minimum break down time with MDU migration hand in hand West having Highest MDU base of 23803 buildings, still we able to Migrate all subs as per given timelines.</t>
  </si>
  <si>
    <t>We took a bold target of doing 100,000 Gross adds of Tata Play Services through TPMA at the start of the year. The number then was 30K. The team took this as a challenge. Collaboratively, they devised strategies on how to achieve it and achieved the targets in March. A true example of collaboration, strategic thinking and execution excellence.</t>
  </si>
  <si>
    <t>The BE Team worked very hard for CD 6.0 of Binge. The exercise was first project and was highly appreciated by Samba Sir and Harit Sir too. Based on the same actions are being taken. What is important to note that the Final presentation that had to be done ib December 2023 was preponed to 22nd November 2023 based on a decision in Factbook which was held around 17th Nov 2023. The BE Team gathered together and turned it around to deliver the Final presentation on 22nd November 2023 which was on the basis of 500 Calls of Customers analysed for the outcome of Pain Points to be addressed. Samba Sir also send an email to the Finance Team appreciating this effort and also stating that such process of fast Turn around should be noted and imbibed by each individual.</t>
  </si>
  <si>
    <t>Intra Functional Team Award</t>
  </si>
  <si>
    <t>Points</t>
  </si>
  <si>
    <t>Rajeev Singh</t>
  </si>
  <si>
    <t>Ajay Singh</t>
  </si>
  <si>
    <t>Md Ahmed</t>
  </si>
  <si>
    <t>Mahesh Kumar T Dandin</t>
  </si>
  <si>
    <t>Ashutosh  Joshi</t>
  </si>
  <si>
    <t>Naveen Rawat</t>
  </si>
  <si>
    <t>Vignesh T</t>
  </si>
  <si>
    <t>Gaurav Kumar</t>
  </si>
  <si>
    <t>Sandeep Kumar Gupta</t>
  </si>
  <si>
    <t>Jitendra Singh</t>
  </si>
  <si>
    <t>Vaishnavi Nair</t>
  </si>
  <si>
    <t>Manprit Singh</t>
  </si>
  <si>
    <t>Pradeep  Kumar</t>
  </si>
  <si>
    <t>Sagar S</t>
  </si>
  <si>
    <t>Amit Dhawan</t>
  </si>
  <si>
    <t>Naved Khan</t>
  </si>
  <si>
    <t>Sandra Machado</t>
  </si>
  <si>
    <t>Abhay Kumar Sah</t>
  </si>
  <si>
    <t>Premsagar Gariganti</t>
  </si>
  <si>
    <t>Sanjeev .</t>
  </si>
  <si>
    <t>Gaurav Sahai</t>
  </si>
  <si>
    <t>Kaushlendra Kushwaha</t>
  </si>
  <si>
    <t>Rahul Sharma</t>
  </si>
  <si>
    <t>Amit Tiwari</t>
  </si>
  <si>
    <t>Vikas Singh Charak</t>
  </si>
  <si>
    <t>Leena V. Patel</t>
  </si>
  <si>
    <t>Amitabh Das</t>
  </si>
  <si>
    <t>Vivekananda M Prasad</t>
  </si>
  <si>
    <t>Kiran Kumar Mahto B.</t>
  </si>
  <si>
    <t>Subham Samaddar</t>
  </si>
  <si>
    <t>Meghana Nagaraj</t>
  </si>
  <si>
    <t>Somesh Singh</t>
  </si>
  <si>
    <t>Gulnas Parween</t>
  </si>
  <si>
    <t>Mahesh Puthukattil</t>
  </si>
  <si>
    <t>Briju Mohan</t>
  </si>
  <si>
    <t>Vinitha Kompella</t>
  </si>
  <si>
    <t>Krishnendu Dasgupta</t>
  </si>
  <si>
    <t>Launch of Tata Play Superhit Serials At all levels, this was a project launched well and doing well despite very many challenges. It has been, at idea level, well thought out and well researched product after much debate between extension of classic TV vs standalone product. Example of good partner negotiation wherein for the first time, star agreed to create launch promos and create conceptual promos every month. Star also created special 1 hours edits of all shows despite the large cost. Overall, product idea, partner negotiations, new experiments in GTM, new formats of slate promos, appreciation by subscribers for bringing this product and great numbers makes this a superhit product of the year. All teams involved has put in wholehearted efforts to make this happen.</t>
  </si>
  <si>
    <t>The project involved changing the existing Prime Video journey and implementing a new activation journey for Prime Video with all eligible Binge packs. This required altering all backend and Frontend statuses and stages for Amazon Prime Video.\n- end-to-end testing in UAT and Production environments.\n- 185 test cases prepared and executed in a single day in coordination with teams, identifying over 50+ issues.\n- Multiple teams coordinated on daily basis to resolve open issues, ensuring successful closing.\n- Prime Video rigorous testing with all eligible Binge packs as per business requirement and brought the integration successfully in live production.\n- Simultaneously performed regression testing for the Binge TV app and ad-hoc testing as well.</t>
  </si>
  <si>
    <t>In the month of May\u201924, we embarked on an ambitious initiative aimed at re-activating and ringfencing customers from the deep deactive bucket during the high opportunity T20 world cup season. We targeted 5 million subscribers from the D30 to D365 bucket with active days less than 240 in the past 12 months.  By leveraging a multi-channel approach\u2014 which includes Outbound, Inbound, SMS, WhatsApp, OBD. \u2014we will have successfully retained and Winback more than 110K subs subscribers by the end of this activity.  Cross functional teams were involved in planning, developing infrastructure, hiring and training of close to over 3000 resources, with a effective outcome of more than 110,000 conversions coming back with long term commitment (6month/12 month). The success of our Mega Winback Initiative underscores the importance of a multi-faceted approach, Speed and effective cross-functional collaboration. Push through Outbound, Inbound, WhatsApp, SMS, OBD led to a healthy conversion and returns.</t>
  </si>
  <si>
    <t>Synamedia CY23 Bundle testing &amp; download completion\nConsisting\u00A0of 9 different feature enhancements like 3 additional language in EPG, 1500 service capability in STB, subscriber channel indication and other marketing CRs for 18 field STB models. This required\u00A0arranging software deliveries, rigorous testing of multiple software releases in coordination with relevant configurations setup from the Headend team, getting issues fixed , conducting trial &amp; target zip code based download for every STB model each day.\nResult achieved : successful software upgrade completion without major escalations from field.\n\u00A0</t>
  </si>
  <si>
    <t>Launch of targeted ads on Star channels Team collaborated to Launch an industry-first paid ad innovation Q1\u2013 Targeted ads on Star GEC and Sports contributing to the gross revenue of Rs. 1.6 Cr (Gross) activating brands like Apple, River soft, Amazon prime, Amazon Fresh, Gemini Edible oils, Rupay &amp; Torrent pharmaceutical</t>
  </si>
  <si>
    <t>The Delinking of Binge from DTH on the Binge+ STB was a complex project that brought together business, product and execution teams across platforms, to collaborate on a common goal and delivering under strict timelines. The objective was to empower customers with the flexibility to pay for Linear TV or OTT or both using Tata Play wallet. From a business perspective, this was an opportunity to bring back many of our lost customers who wanted to consume only Binge on their Binge+ box. A solution was needed to achieve these rules without impacting other adjacent DTH workflows, UX definition across the different customer touchpoints on different platforms like the Binge+ box and TPMA &amp; finally in the testing &amp; sign off of one of the most detailed set of use cases.The impact of this project post go-live has been a healthy \u2013 with 10% adoption of this feature by customers, with minimal revenue impact on DTH side, reflecting the customer value in these changing times.\u00A0</t>
  </si>
  <si>
    <t>In Orissa Sales &amp;  team service team jointly executed big &amp; complex projects(IFFCO) where more than 1200 connections being given with in time line with out any escalations.The smooth execution of big projects enable team motivations and given boost to market which fetches more similar project like this..This is showing a great example of collaborative approach team working with  one single objectives of best of customer satisfaction and win over competition.</t>
  </si>
  <si>
    <t>This recognition for the team that has worked together on putting up signages for Project Ravi and Versova across locations with agility. The cross functional team between Comms, Procurement and Trade Marketing worked as team to ensure newly opened outlets are given visibility support in quick time. The team set up a network of agencies and vendors with a monitoring system to ensure deliverables moved on time and were tracked.</t>
  </si>
  <si>
    <t>INR 585.0</t>
  </si>
  <si>
    <t>INR 1250.0</t>
  </si>
  <si>
    <t>INR 430.0</t>
  </si>
  <si>
    <t>INR 830.0</t>
  </si>
  <si>
    <t>INR 525.0</t>
  </si>
  <si>
    <t>INR 2500.0</t>
  </si>
  <si>
    <t>INR 2000.0</t>
  </si>
  <si>
    <t>Cross Functional Team Award</t>
  </si>
  <si>
    <t>S Waseem Ulla</t>
  </si>
  <si>
    <t>Wilson Dsouza</t>
  </si>
  <si>
    <t>Avishek Bose</t>
  </si>
  <si>
    <t>Harsh Aggarwal</t>
  </si>
  <si>
    <t>Amit Singh</t>
  </si>
  <si>
    <t>Rakesh Tiwary</t>
  </si>
  <si>
    <t>P. Gopal Rao</t>
  </si>
  <si>
    <t>Pankaj Satpudke</t>
  </si>
  <si>
    <t>Manik Mittal</t>
  </si>
  <si>
    <t>Gopal Dey</t>
  </si>
  <si>
    <t>Deepti Yadav</t>
  </si>
  <si>
    <t>Rabindra Agarwal</t>
  </si>
  <si>
    <t>Jaipal Singh Bhandari</t>
  </si>
  <si>
    <t>Kamal Kishore Sharma</t>
  </si>
  <si>
    <t>Rinkesh Pulekar</t>
  </si>
  <si>
    <t>Thanuja M.M.</t>
  </si>
  <si>
    <t>Rohit Jaggi</t>
  </si>
  <si>
    <t>Kavita Rohan</t>
  </si>
  <si>
    <t>Pracheer Pranay</t>
  </si>
  <si>
    <t>Satish Kumar K P</t>
  </si>
  <si>
    <t>Vijay Kumar Patel</t>
  </si>
  <si>
    <t>Neeraj Kumawat</t>
  </si>
  <si>
    <t>Ravi Bindal</t>
  </si>
  <si>
    <t>Nitin Bhati</t>
  </si>
  <si>
    <t>Rahul Saxena</t>
  </si>
  <si>
    <t>Kirti Prakash Gupta</t>
  </si>
  <si>
    <t>Kaushal Rai</t>
  </si>
  <si>
    <t>Gaurav Batra</t>
  </si>
  <si>
    <t>Azam Naseem</t>
  </si>
  <si>
    <t>Alok Kumar</t>
  </si>
  <si>
    <t>Akhilesh Sharma</t>
  </si>
  <si>
    <t>Dilip Kumar Singh</t>
  </si>
  <si>
    <t>S. Nithyanand Murthy</t>
  </si>
  <si>
    <t>Sangram Singh Poonia</t>
  </si>
  <si>
    <t>Yogesh Sharma</t>
  </si>
  <si>
    <t>Eram .</t>
  </si>
  <si>
    <t>Sachin Joshi</t>
  </si>
  <si>
    <t>Paras Deshpande</t>
  </si>
  <si>
    <t>Avinash Kesherwani</t>
  </si>
  <si>
    <t>Arup Maitra</t>
  </si>
  <si>
    <t>Sandhya Mulchandani</t>
  </si>
  <si>
    <t>Ashutosh Sharma</t>
  </si>
  <si>
    <t>Rishav Sarmah</t>
  </si>
  <si>
    <t>Debopam Ghosh</t>
  </si>
  <si>
    <t>Aparna Choraria</t>
  </si>
  <si>
    <t>Pawan Chandra</t>
  </si>
  <si>
    <t>Yasar Ali Khan</t>
  </si>
  <si>
    <t>Vikrant Singh</t>
  </si>
  <si>
    <t>Vidya .</t>
  </si>
  <si>
    <t>Vasantha Kumar G.</t>
  </si>
  <si>
    <t>Umashree C N</t>
  </si>
  <si>
    <t>Srinivasan Thiagarajan</t>
  </si>
  <si>
    <t>Sajid G M</t>
  </si>
  <si>
    <t>Sagar Rane</t>
  </si>
  <si>
    <t>Roopa S. Hiremath</t>
  </si>
  <si>
    <t>R Prabha</t>
  </si>
  <si>
    <t>Prasad Maruti Nayak</t>
  </si>
  <si>
    <t>Prajapati Minaxi K.</t>
  </si>
  <si>
    <t>Naveen Chandra Joshi</t>
  </si>
  <si>
    <t>Mary  Violet</t>
  </si>
  <si>
    <t>R. Malarvizhi</t>
  </si>
  <si>
    <t>Mahesh N.</t>
  </si>
  <si>
    <t>Khadeer Ansari</t>
  </si>
  <si>
    <t>R. Jayaprakash</t>
  </si>
  <si>
    <t>Ivan Philip</t>
  </si>
  <si>
    <t>Itishree Yadav</t>
  </si>
  <si>
    <t>Harsh  Gaur</t>
  </si>
  <si>
    <t>Gnana Shekar Reddy</t>
  </si>
  <si>
    <t>Feroz Ghaus</t>
  </si>
  <si>
    <t>Drishya Chaturvedi</t>
  </si>
  <si>
    <t>Dinesh Kumar Gurumoorthy</t>
  </si>
  <si>
    <t>Deevanshu Aggarwal</t>
  </si>
  <si>
    <t>Ch.S.V.R. Kumar</t>
  </si>
  <si>
    <t>Ashutosh  Kumar</t>
  </si>
  <si>
    <t>Ashok Kumar Thakur</t>
  </si>
  <si>
    <t>Ashish Jain</t>
  </si>
  <si>
    <t>Arpajit Adhikary</t>
  </si>
  <si>
    <t>Aftab Khan</t>
  </si>
  <si>
    <t>Bhavyashree SN</t>
  </si>
  <si>
    <t>Beera Venkata Sailesh</t>
  </si>
  <si>
    <t>Yakkanti Hari Srinivasa Reddy</t>
  </si>
  <si>
    <t>Gaurav Yadav</t>
  </si>
  <si>
    <t>Rajesh Sonawane</t>
  </si>
  <si>
    <t>Gurvinder Singh</t>
  </si>
  <si>
    <t>Sameer Vekhande</t>
  </si>
  <si>
    <t>Bhagavaldas P.K.</t>
  </si>
  <si>
    <t>Shashikala K.</t>
  </si>
  <si>
    <t>Gaurav Nanda</t>
  </si>
  <si>
    <t>Sapthagiri N</t>
  </si>
  <si>
    <t>Bhupendra Singh Shekhawat</t>
  </si>
  <si>
    <t>Dharmendra Sharma</t>
  </si>
  <si>
    <t>Seema Kumari</t>
  </si>
  <si>
    <t>Neha Shetty</t>
  </si>
  <si>
    <t>Rabi Ghosh</t>
  </si>
  <si>
    <t>Atul Singh</t>
  </si>
  <si>
    <t>Rajendra Bahadur Singh</t>
  </si>
  <si>
    <t>Abhishek Kumar</t>
  </si>
  <si>
    <t>K. Kiran Kumar</t>
  </si>
  <si>
    <t>Amit Gupta</t>
  </si>
  <si>
    <t>Puneet Sharma</t>
  </si>
  <si>
    <t>Bhawneesh Chhabra</t>
  </si>
  <si>
    <t>Pradip Said</t>
  </si>
  <si>
    <t>Rajesh Iyer</t>
  </si>
  <si>
    <t>Shivam Soni</t>
  </si>
  <si>
    <t>Samit Mitra</t>
  </si>
  <si>
    <t>Mohan .</t>
  </si>
  <si>
    <t>Ujjal Kakati</t>
  </si>
  <si>
    <t>Sanjay Gotimukul</t>
  </si>
  <si>
    <t>Rohit Kharbanda</t>
  </si>
  <si>
    <t>Priya Jain</t>
  </si>
  <si>
    <t>Neeraj Sharma</t>
  </si>
  <si>
    <t>Harinath Kotwal</t>
  </si>
  <si>
    <t>Abhilash M N</t>
  </si>
  <si>
    <t>Pankaj Joshi</t>
  </si>
  <si>
    <t>Ishita .</t>
  </si>
  <si>
    <t>Joydeep Roy</t>
  </si>
  <si>
    <t>Lakshya Dhar Nath</t>
  </si>
  <si>
    <t>Rohit Gupta</t>
  </si>
  <si>
    <t>Shrikant Patra</t>
  </si>
  <si>
    <t>Chanmeet Singh</t>
  </si>
  <si>
    <t>Gireesha V.</t>
  </si>
  <si>
    <t>Rahul Bhalla</t>
  </si>
  <si>
    <t>Arunava Nandy</t>
  </si>
  <si>
    <t>Ritesh Kumar</t>
  </si>
  <si>
    <t>Mitesh Sharma</t>
  </si>
  <si>
    <t>Rajesh D. Khedekar</t>
  </si>
  <si>
    <t>Shraddha Sachan</t>
  </si>
  <si>
    <t>Gurdeep Singh Bhuie</t>
  </si>
  <si>
    <t>Akshay Kumar Dubey</t>
  </si>
  <si>
    <t>Biswajit Mukherjee</t>
  </si>
  <si>
    <t>Rathish Govindan</t>
  </si>
  <si>
    <t>Reena Raut</t>
  </si>
  <si>
    <t>Big Stage</t>
  </si>
  <si>
    <t>Atul Pawar</t>
  </si>
  <si>
    <t>Nirmal Kumar</t>
  </si>
  <si>
    <t>Chitiz Rai</t>
  </si>
  <si>
    <t>Parikshit Marwah</t>
  </si>
  <si>
    <t>Sandeep Mann</t>
  </si>
  <si>
    <t>Arun Sapra</t>
  </si>
  <si>
    <t>Anirudh Das</t>
  </si>
  <si>
    <t>Surajit Deb</t>
  </si>
  <si>
    <t>Anshuman .</t>
  </si>
  <si>
    <t>Shivam Gaur</t>
  </si>
  <si>
    <t>Masroor Jafar Siddiqui</t>
  </si>
  <si>
    <t>Asheesh Kumar</t>
  </si>
  <si>
    <t>Sumit Bhatia</t>
  </si>
  <si>
    <t>Sandeep Sharma</t>
  </si>
  <si>
    <t>Pratiksha Mainkar</t>
  </si>
  <si>
    <t>Abhaya Kumar Mishra</t>
  </si>
  <si>
    <t>Piyush  Gupta</t>
  </si>
  <si>
    <t>Gurpreet Singh</t>
  </si>
  <si>
    <t>Rajaneesh Chaubey</t>
  </si>
  <si>
    <t>Mahendra Singh Jadaun</t>
  </si>
  <si>
    <t>Brij Mohan Singh</t>
  </si>
  <si>
    <t>Chirag Gauba</t>
  </si>
  <si>
    <t>Abhijeet Bandgar</t>
  </si>
  <si>
    <t>Shikha Sandhu</t>
  </si>
  <si>
    <t>Donthamsetti Venkata Subbarao</t>
  </si>
  <si>
    <t>Ansari Ali</t>
  </si>
  <si>
    <t>Bhupender Singh Rawat</t>
  </si>
  <si>
    <t>Aditya Kumar Mohanty</t>
  </si>
  <si>
    <t>Vinod K.S.</t>
  </si>
  <si>
    <t>Amit Trivedi</t>
  </si>
  <si>
    <t>Chinmoy Talukdar</t>
  </si>
  <si>
    <t>Anamika Chaudhuri</t>
  </si>
  <si>
    <t>Rajesh Puri</t>
  </si>
  <si>
    <t>Gagan Preet Dua</t>
  </si>
  <si>
    <t>Manish Sharma</t>
  </si>
  <si>
    <t>Arpit Maan</t>
  </si>
  <si>
    <t>Bajul Gogoi</t>
  </si>
  <si>
    <t>Mohit Mittal</t>
  </si>
  <si>
    <t>Suresh Babu Seshachalam</t>
  </si>
  <si>
    <t>Charles Carvalho</t>
  </si>
  <si>
    <t>Kuldeep Singh</t>
  </si>
  <si>
    <t>Shankar Chaudhary</t>
  </si>
  <si>
    <t>Mayank Agrawal</t>
  </si>
  <si>
    <t>Hitesh Chopra</t>
  </si>
  <si>
    <t>Rajeev Pathak</t>
  </si>
  <si>
    <t>Shibankar Sen</t>
  </si>
  <si>
    <t>Pinaki Kumar</t>
  </si>
  <si>
    <t>Tridib Sharma</t>
  </si>
  <si>
    <t>Vishal Sharma</t>
  </si>
  <si>
    <t>Deepa Khare</t>
  </si>
  <si>
    <t>Kamaljeet Singh</t>
  </si>
  <si>
    <t>Waseem has been very helpful with CRM related requirements and with BE&lt;&gt;SSD weekly connects.\nHis swift action in terms of processing the call log creation requests is very helpful for last min project changes.\nBE&lt;&gt;SSD cadence tracker maintained by him is very useful for us and it is helping us in driving many projects. Siebel release related connects are another example where his coordination is well appreciated by the entire BE team.\n\nThanks a lot, Waseem</t>
  </si>
  <si>
    <t xml:space="preserve">Good effort in securing business of new client "ABG- Indriya" with a decent deal volume by combo deal structure of landing channel100 + S&amp;S for the month of Oct-Nov'24. Hence our overall new client revenue contribution weightage has also increased in Q3. </t>
  </si>
  <si>
    <t>Avishek has delivered well in the key input parameters like new dealer appointment and highway town coverage in his territory and has also become the Winner of Trail Blazer Contest in the month of Oct 24. This is not done in a month alone, but this is a result of hard work done for new outlet opening and dealer engagement over a period of time which has given him the result in incremental stocking dealers and TSK. Good job Avishek and keep up the good work in coming months too.\n</t>
  </si>
  <si>
    <t>Meghna Tiwari - Sharath has been exceptional support and has helped consistently to keep track with our work on Binge.\\nWith his help and his efforts for seamless coordination within his team, he has contributed immensely to the smooth functioning of our OTT aggregator platform. His dedication and collaborative spirit make him an indispensable part of our success.\\nThanks Sharath!</t>
  </si>
  <si>
    <t>Rishikesh Patil - Sheeja played a crucial role in the month of September by collaborating and helping Content team with a high number of de-packaging and re-packaging requests which helped us recover 50% of the outstanding amounts from the partners. Her quick support played a very important role to help us set context with the partners to avoid late payments. Thank you Sheeja for all the support!\\n</t>
  </si>
  <si>
    <t>Anshul Nuwal - Regarding redesign of framework of sending out the communication for Service Request's status updates, there was a requirement of converting a master table of more than 80k unique records to another table which will have only 3 to 4 k unique records as per new architecture. Waseem understood the new framework and requirement very quickly and returned with updated master table within a day with almost 0 discrepancies. Kudos to Waseem for showing this support which helped IT to finish the task quickly in timely manner.</t>
  </si>
  <si>
    <t>Anirudh Das - Shout-out to Nagesh for taking ownership of marketing campaign deployments on TPMA properties - Be it a late-night request for midnight release or a last-minute ad-hoc email, Nagesh consistently delivers the ask with speed and accuracy. Thank you for your support Nagesh!</t>
  </si>
  <si>
    <t>Rishikesh Patil - Mayur played an important role in the month of September by collaborating and helping Content team with a high number of de-packaging and re-packaging requests which helped us recover 50% of the outstanding amounts from the partners. His quick support played a very important role to help us set context with the partners to avoid late payments. Thank you Mayur for all the support!\\n</t>
  </si>
  <si>
    <t>Rishikesh Patil - Losang played an important role in the month of September by collaborating and helping Content team with a high number of de-packaging and re-packaging requests which helped us recover 50% of the outstanding amounts from the partners. His quick support played a very important role to help us set context with the partners to avoid late payments. Thank you Losang for all the support!\\n</t>
  </si>
  <si>
    <t>Parth Shah - Harsh is the go-to person for Tech issues related to my Binge partners. He is good at coordinating &amp; prioritizing across his team, specifically for urgent issues related to content ingestion failure, playback issues and metadata problems. His ownership and prompt action are much appreciated.</t>
  </si>
  <si>
    <t>Parth Shah - Chien has been very helpful in project managing across Binge partners and helping co-ordinate &amp; align team members to resolve issues. Her collaboration and ownership on closing items like Shorts TV ingestion, PTC Play DRM issues, Hallmark API etc. is much appreciated.</t>
  </si>
  <si>
    <t>Meghna Tiwari &amp; Rabiya Sidiqa - Abhishek is a brilliant self-starter, he ensures the seamless functioning of our Binge app, consistently solving issues with initiative and precision.\\nHis excellent people management skills foster collaboration across teams, contributing significantly to our success. \\nHis dedication, leadership, and positive influence make him a true inspiration and an invaluable team member.\nAbhishek provided valuable assistance during the CMS/TA deployment process. I commend his efforts during the TA modifications, where he exhibited strong ownership skills. He played a crucial role in loading the updated schedules and banks into the system. I sincerely appreciate the time and energy he has devoted to this task and the successful completion of it. Thank you for your dedication and ongoing support.</t>
  </si>
  <si>
    <t>Dear Amit I appreciate your collaboration at Partner end to take desire project wos completion vai motivation at ISP Staff level  In Sep Month you were 1.9% and Oct you finish to double 7 %  with own positive new ideas implementations     \n\nKeep such new ideas implementation to get new results</t>
  </si>
  <si>
    <t>Dear Rakesh I appreciate your collaboration at Partner end to take desire project wos completion vai motivation at ISP Staff level  In Sep Month you were 4% and Oct you finish to double 8.7%  with own positive new ideas implementations     \n\nKeep such momentum to take new and positive results</t>
  </si>
  <si>
    <t>Dear Gopal\n\nI appreciate you taken as challenge yourself to take your Name in West region TOP ASM in BMP\n\nIn Sep Month you were 10% and Oct you finish  15 %  get you in West Region TOP ASM \n\nYou show very good SPEED to reach to desire % so keep it up such to get new activity\n</t>
  </si>
  <si>
    <t>Dear Pankaj  I appreciate your collaboration at Partner end to take desire project wos completion vai motivation at ISP Staff level  In Sep Month you were 5% and Oct you finish to double 9.6%  with own positive new ideas implementations     \n\nKeep positive momentum at Partner level to get positive result</t>
  </si>
  <si>
    <t xml:space="preserve">Dear Manik\n\nI appreciate your Dedication and partner end motivation activity wherein In Oct Month you taken Binge mobile conversion as Challenge to get you as West Region Top ASM.\n\nIn Oct Month you were 8% and Nov you finish to double 16% to remain  West Region Top 5 ASM\n\nYou taken Challenge as Ownership and made Delivery and keep same momentum </t>
  </si>
  <si>
    <t>Gopal has taken ownership of the business and delivered well in the key input parameters in the month of October. This is not done in a month alone, but this is a result of inputs like new outlet opening, CEISP engagement and KRO engagement over a period of time which has given him the outcome during this season time. Good job Gopal and keep up the good work in coming months too</t>
  </si>
  <si>
    <t xml:space="preserve">Thanks for the prompt support &amp; collaboration in getting the invoices cleared in Zycus portal which has helped in running the critical operations smoothly </t>
  </si>
  <si>
    <t>Ajay helped resolve the issue on Sony Liv on the Diwali evening despite prior personal commitments. He exhibited ownership and collaborated with the Liv team to arrive at a solution and fixed the issue along with the help of the backend team from TTN. A big shoutout to Ajay. :)\n</t>
  </si>
  <si>
    <t>Rabindra has taken ownership of the Business and came out as top performer in the month of October. This was not done in a month, the result is due to months of inputs like new outlet opening, CEISP appointment and KRO engagement which has given him the edge during festive times. Good job and keep it up Rabindra</t>
  </si>
  <si>
    <t xml:space="preserve">Self-initiative support given for Store old assets and accessories scrap </t>
  </si>
  <si>
    <t>Excellent work in Store STBs reconciliation &amp; scrap management.</t>
  </si>
  <si>
    <t>Lakshya Lohumi - Rinkesh has been a key driver in programming of the largest acquisition channel for Binge. All the key titles were promoted swiftly and with speed on Ch100, even on weekends!!! He has always been understanding and ready to lend his support during crucial times for binge business. Onwards and upwards!!!</t>
  </si>
  <si>
    <t>Lakshya Lohumi - Vinod has recently join the binge team and has been able to adjust to the binge ecosystem so well. His understanding and clarity coupled with his go-getter attitude has helped us in the launch and programming of CH100 with ease on weekdays and weekends as well!! Really grateful for all the support received during critical launches :)</t>
  </si>
  <si>
    <t>Rohit Mishra - Velu has been a great support in execution of multiple packaging changes in a quick succession. These are namely RIO rollback with simultaneous pricing revision to protect revenues, launch of new acquisition, renewal and winback LDP packs post-RIO (with higher price and higher content) and increase in HD box prices of 2 major states to improve acquisition quality. Thank you and keep up the good work, Velu!</t>
  </si>
  <si>
    <t>Gurpreet Singh - HI Thanu \\nThank you for your effort and time on the NEF guidelines and SR Types and Tagging</t>
  </si>
  <si>
    <t>Amitabh Das - Thanks a lot Lenin for the continuous support you have provided by sharing your expertise and knowledge with us. \\nWe count on you, and you have always delivered more than what we expected.\\nThank you for being such a team player. We wouldn\\u2019t be the same without you!</t>
  </si>
  <si>
    <t>Piyush Gupta - Your positive attitude , Collaboration and dedication make all the difference, and for that, I am genuinely grateful. With this coordination we can achieve milestones in Sales &amp; Service...Keep this coordination always on. Thanks</t>
  </si>
  <si>
    <t>Pankaj Joshi - I really appreciate your continuous efforts for implementation of CLM tools for Onboarding Channel Partners.\\n\\u00A0\\nIn last 6 months, you have co-ordinated very well with all Regional MIS, Finance, Legal &amp; CLM teams for timely implementation of CLM tools.\\n\\u00A0\\nReally appreciate your commitment &amp; dedication towards work! Keep up the good work!</t>
  </si>
  <si>
    <t>Pratiksha Mainkar - Pracheer was able to quickly turn around the logistics for an important review in Delhi. He managed multiple stakeholders and constraints to make the review a success. There were no gaps in the planning process and the execution was smooth with all things going as per plan. He had meagre four days to make this happen, well done Pracheer! Keep up the good work.</t>
  </si>
  <si>
    <t>Sandeep Sharma - Thanks Satish,\\nFor Solving all critical issues and clearing all the pending work.</t>
  </si>
  <si>
    <t>Asheesh Kumar - Organized the audio details of all the channels which have multiple language tracks. Demonstrate the technical certainty of the audio configuration of Broadcaster as well as on our platform in order to avoid any mismatch audio language issue. It will help us to provide the configuration data record as and when required.</t>
  </si>
  <si>
    <t>Shivam Gaur, Masroor Jafar Siddiqui &amp; Sumit Bhatia - Radha, You are always very supportive for productivity of Circle and you are always available to help which shows your dedication towards the business.\\nVery Well Done ..... \nRadha Have done good work and takes ownership of the work given to him beside his own domain also. He work on the things which are not in his KPI but supportive for Circle business. He calls top dealer for quality promoter for productivity. He helps promoter having difficulty in attandance and onboarding. He shares individual report like New dealer creation report with data whose billing or latlong capture is pending. He provides any help which we need if we are in market like detail of DSR wise activating ols et. Over all he is dedicated to circle business productivity.\\n Radha has always supporting in Data Points, Boosting My DSR to Achieve Bandhan Programme &amp; Bandhan Booster, he is just one call away for any help required me for Business Success.</t>
  </si>
  <si>
    <t>Prasanna Kumar Singh - Veerendra, Your consistency and approach is appreciated. Maintaining performance on top level and above that consistent contribution to new dealer appointment is a key achievement. You also won new dealer contest and that shows your high level of ownership.</t>
  </si>
  <si>
    <t>Prasanna Kumar Singh - Vijay, Your ownership to deliver result is appreciated. You were consistent in delivering all the required KPIs and also carried your zeal to deliver additional initiatives well. You maintained above par results on all KPIs and initiatives.</t>
  </si>
  <si>
    <t>Amanjeet Singh Suri - "Neeraj done Good work on Dealer Expansion"' \\n</t>
  </si>
  <si>
    <t>Amanjeet Singh Suri - "Pankaj make extra effort on Dealer Expansion - Good Job" \\n</t>
  </si>
  <si>
    <t>Amanjeet Singh Suri - "Ravi done Good work on Dealer Expansion"</t>
  </si>
  <si>
    <t>Amanjeet Singh Suri - "Nitin done Good work on Dealer Expansion in New &amp; old Territory"</t>
  </si>
  <si>
    <t>Amanjeet Singh Suri - "Vishnu done Good work on Dealer Expansion" \\n</t>
  </si>
  <si>
    <t>Amanjeet Singh Suri - "Vivek make Superb effort &amp; gone to extra mile on Dealer Expansion - Good Job" \\n\\n</t>
  </si>
  <si>
    <t>Amanjeet Singh Suri - Rahul extra &amp; Speedy effort in winning Hotel of 75 connections in Sawai Madhopur. Good Effort Rahul</t>
  </si>
  <si>
    <t>Prasanna Kumar Singh - Your effort to contribute and maintain top position in new dealer contest is recognized. You have owned organization expansion drive which would help in overall business. You have topped in north region and that is testimony of your ownership .</t>
  </si>
  <si>
    <t>Prasanna Kumar Singh - Even after transfer from Prayag raj territory, you owned to complete the huge order of more than 500 connections. Apart from working in your territory, you ensured to coordinate with all stakeholders and delivered these 500+ connections well in time with utmost precision.</t>
  </si>
  <si>
    <t>Sandeep Sharma - Thanks Kamal,\\n\\nFor your support and Guidance to do the work properly and time frame.\\n</t>
  </si>
  <si>
    <t>Kapil Laddha - The Rings of Power S2 was a key release from Prime Video. However, we were facing issues on getting it published. Harsh really helped us take the issue on priority and collaborated with TTN, Ops and Partner to get it delivered to us at the earliest for us to publish the content and start promotions.\\n\\nAppreciate your support!!</t>
  </si>
  <si>
    <t>Piyush Gupta - Your positive attitude , Collaboration and dedication make all the difference, happy for your coordination and execution speed.\\nThanks</t>
  </si>
  <si>
    <t xml:space="preserve">Piyush Gupta - Your positive attitude , Collaboration and dedication make all the difference, and for that, I am genuinely grateful. With this coordination we can achieve milestones in Sales &amp; Service...Keep this coordination always on. Thanks. </t>
  </si>
  <si>
    <t>Abhaya Kumar Mishra - I appreciate your patience and support as I navigated through unfamiliar territories. \\nThanks a lot for your support in TPL ISD planning. \\nThanks, \\nAbhay Mishra\\n</t>
  </si>
  <si>
    <t>Amanjeet Singh Suri - "Akhilesh make extra effort on Dealer Expansion - Good Job" \\n</t>
  </si>
  <si>
    <t>Rahul Bhalla - Akash, you truly make a difference with your unlimited support. You're quick and on time help in terms of providing the reports and required data for different analysis has been fantastic. Your suggestions / ideas in order to improvise on reports also helps us in terms of watching the output / conversions with different perspectives. We appreciate all your efforts and your quick turn around on requirements.</t>
  </si>
  <si>
    <t>Fantastic job on securing Phillips Airfryer bulk ad booking for Ch 100, delivering over 35% of October revenue in one go! This is exactly the kind of ad sales deal that sets the tone for successful festive season. Your ability to drive the results is remarkable. Keep up the excellent work!</t>
  </si>
  <si>
    <t xml:space="preserve">Deepti has been instrumental in handling Zycus related invoices handling, she has been very helpful for guiding us to process the invoice and to raise query in case any invoice has been wrongly uploaded by vendors.\nHer proactive approach for handling finance issues have been exceptional.\nShe collaborates well and demonstrates speed in the helping our tasks resolved. </t>
  </si>
  <si>
    <t xml:space="preserve">Harsh is the go-to person for Tech issues related to my Binge partners. He is good at coordinating &amp; prioritizing across his team, specifically for urgent issues related to content ingestion failure, playback issues and metadata problems. His ownership and prompt action are much appreciated. </t>
  </si>
  <si>
    <t xml:space="preserve">Chien has been very helpful in project managing across Binge partners and helping co-ordinate &amp; align team members to resolve issues. Her collaboration and ownership on closing items like Shorts TV ingestion, PTC Play DRM issues, Hallmark API etc. is much appreciated. </t>
  </si>
  <si>
    <t xml:space="preserve">Nithyanand took ownership whenever we are in trouble with some mistakes done by partners in wrong recharge or wrong package selections. He always helped frontline team even after office hours or in holidays. Thank you very much for all your supports.  </t>
  </si>
  <si>
    <t>Thanks for taking ownership and setting up the Venus room ready for Online training.</t>
  </si>
  <si>
    <t>Yogesh has been very supportive in resolving RA cases &amp; had worked as a strong median for us to move many cases to no debit where partner satisfaction got enhanced</t>
  </si>
  <si>
    <t>Eram has done an exceptional behind the scenes job in collaborating with the Infosec team for the change of Thread Intelligence tools. This tool identifies any misuse / misinformation regarding Tata Play on the internet. The previous tool had various limitations, however she worked closely with the vendors, did a detailed PoC, created the Technology evaluation document along with Infosec team. Now she is closely involved in the migration and handholding implementation of the new tool. \nEram is single handedly handling all the alerts coming from the system and ensuring action by the respective stakeholders, till closure. Each month she apply her expertise in the field, identifies the genuine alerts and actions. Her experience in this field and the last one year learning has helped us procure a better tool. She also ensure due priority and speed of action for closure. Keep up the bar and all success will be yours, Thank you Eram</t>
  </si>
  <si>
    <t>For compression equipment stability we required to replace AVP racks MDU units, Sachin Joshi provided his support for tracing out EATON ATS new MDU units and provided on time which is very helpful.</t>
  </si>
  <si>
    <t>Deepti supported in a quick way for PR, PO related Query\u2019s and supported during verification of Invoices and processing, which is very helpful.</t>
  </si>
  <si>
    <t>I would like to express my gratitude to Ms. Deepti Yadav for her timely assistance in clarifying the Zycus Portal for invoicing processing, addressing the challenges encountered, and ensuring the resolution of outstanding issues.</t>
  </si>
  <si>
    <t>Thanks to Ms. Deepti Yadav for promptly supporting and making understand the Zycus Portal for Invoicing processing, resolving the issues faced &amp; follow up closures.</t>
  </si>
  <si>
    <t>Thanks Paras, for driving the internal AOP which we could share with the stakeholders and so also compare the actual performance with the targets set. Any clarification sought by the user teams were addressed in detail and also having a AOP helped meet other requirements on the reporting front like banking needs, ratings etc else. You drove the entire process from Day1, co-ordinated for inputs, compared the output with the past trends and also helped in furhter refining the assumptions. Thanks once again for taking ownership and the speed at which the entire excercise was completed.</t>
  </si>
  <si>
    <t>Thanks, Avinash, for driving the requirement on working capital and co-ordinating with sales in pushing EVD billing to channel partners. Your daily tracker helped Sales trace the momentum and accelerate their efforts in minimising the gap vs target. For the past 2months we have received good collections despite our APDs being the ever lowest in those 2 months. Keep the good work and look forward to addressing much more challenging tasks in future.</t>
  </si>
  <si>
    <t xml:space="preserve">Thanks, Arup, for co-ordinating with IT and FSD in setting up the process for payment to ISP on a daily basis. We haven't explored this in the past and so also reconciling the payment at the end of every month would have been a challenging task. Although the efforts ensured the process was set and payment could be made, we had to withdraw the option of daily payment at the last moment. Nonetheless, we could experience (part of UAT) a process which was done before. </t>
  </si>
  <si>
    <t>Shout-out to Nagesh for taking ownership of marketing campaign deployments on TPMA properties - Be it a late-night request for midnight release or a last-minute ad-hoc email, Nagesh consistently delivers the ask with speed and accuracy. Thank you for your support Nagesh!</t>
  </si>
  <si>
    <t>Sharath has been exceptional support and has helped consistently to keep track with our work on Binge.\nWith his help and his efforts for seamless coordination within his team, he has contributed immensely to the smooth functioning of our OTT aggregator platform. His dedication and collaborative spirit make him an indispensable part of our success.\nThanks Sharath!</t>
  </si>
  <si>
    <t>Abhishek is a brilliant self-starter, he ensures the seamless functioning of our Binge app, consistently solving issues with initiative and precision.\nHis excellent people management skills foster collaboration across teams, contributing significantly to our success. \nHis dedication, leadership, and positive influence make him a true inspiration and an invaluable team member.</t>
  </si>
  <si>
    <t>Losang played an important role in the month of September by collaborating and helping Content team with a high number of de-packaging and re-packaging requests which helped us recover 50% of the outstanding amounts from the partners. His quick support played a very important role to help us set context with the partners to avoid late payments. Thank you Losang for all the support!\n</t>
  </si>
  <si>
    <t>Mayur played an important role in the month of September by collaborating and helping Content team with a high number of de-packaging and re-packaging requests which helped us recover 50% of the outstanding amounts from the partners. His quick support played a very important role to help us set context with the partners to avoid late payments. Thank you Mayur for all the support!\n</t>
  </si>
  <si>
    <t>Sheeja played a crucial role in the month of September by collaborating and helping Content team with a high number of de-packaging and re-packaging requests which helped us recover 50% of the outstanding amounts from the partners. Her quick support played a very important role to help us set context with the partners to avoid late payments. Thank you Sheeja for all the support!\n</t>
  </si>
  <si>
    <t xml:space="preserve">Rochelle has showcased high ownership and speed in turning around approval for creatives. She has also managed her partner relations very well. \n\nThanks, Rochelle, for the continuous help and support :)  </t>
  </si>
  <si>
    <t xml:space="preserve">Sandhaya - you are always available to help team members.  Your inputs have helped us many times. And also, you have taken corporate sales and retention very well.  Your follow-up are also very good. Your efforts are greatly appreciated </t>
  </si>
  <si>
    <t xml:space="preserve">Ashu - you are always available for all.   You give what is require with no time.  All team members appreciate your working style and coordination. Your dedication and expertise have significantly helped other in achieving their daily work and targets.  </t>
  </si>
  <si>
    <t>Karan has demonstrated speed &amp; high ownership in turning around creatives for digital campaigns. \nThanks Karan for the prompt continuous support &amp; collaboration.</t>
  </si>
  <si>
    <t xml:space="preserve">Drastically improved in  Work order HARD CLOSED for the month of  SEP 2024 with your Sincere and Positives Approach for entire E4 Circle. \nReally Awesomes performance !!!!!! </t>
  </si>
  <si>
    <t xml:space="preserve">Regarding redesign of framework of sending out the communication for Service Request's status updates, there was a requirement of converting a master table of more than 80k unique records to another table which will have only 3 to 4 k unique records as per new architecture. Waseem understood the new framework and requirement very quickly and returned with updated master table within a day with almost 0 discrepancies. Kudos to Waseem for showing this support which helped IT to finish the task quickly in timely manner. </t>
  </si>
  <si>
    <t>Debopam has once again spearheaded 3k Dhamaka Ad campaign creatives deliverables on time and in full. The enthusiasm and drive shown has been much appreciated to ensure that campaign is LIVE as per the tight timelines with speed to execution. Coordination with the agency partners and sales team has been successfully demonstrated. Keep up the good work!</t>
  </si>
  <si>
    <t>Mitalee showed exceptional dedication and ownership towards the Msales, Mservices and PRM projects.\nIt's a very big project. There are various challenges in terms of managing the timelines, requirement clarity and dependencies. She has delivered the project drops on time.\u00A0\u00A0</t>
  </si>
  <si>
    <t xml:space="preserve">Pushpendra has not only delivered on his KPIs but also has participated in all the initiatives taken time to time. Pushpendra has almost secured his place in top 3 in region in Stocking Champion contest. He has been delivering achieving his new dealer appointment target even before this contest. He aligned his distributors to maximize EVD billing in last 3 days. His ownership and speed of delivery is appreciated. </t>
  </si>
  <si>
    <t xml:space="preserve">Pushpendra has not only delivered on his KPIs but also has participated in all the initiatives taken time to time. Pushpendra has almost secured his place in top 3 in region in Stocking Champion contest. He has been delivering achieving his new dealer appointment target even before this contest. He aligned his distributors to maximize EVD billing in last 3 days. His ownership and speed of delivery is appreciated.  </t>
  </si>
  <si>
    <t xml:space="preserve">Aparna has done an exceptional job securing contracts with global partners like Amazon Prime and Apple Tv+, ensuring timely launch on Binge. She is driven and been highly supportive /flexible, diligent and consistently delivered win - win solutions to finalize the agreements on schedule. Thanka Aparna once again.. Appreciate your efforts. </t>
  </si>
  <si>
    <t>Abhishek provided valuable assistance during the CMS/TA deployment process. I commend his efforts during the TA modifications, where he exhibited strong ownership skills. He played a crucial role in loading the updated schedules and banks into the system. I sincerely appreciate the time and energy he has devoted to this task and the successful completion of it. Thank you for your dedication and ongoing support.</t>
  </si>
  <si>
    <t>Nikhil Sinha have been Instrumental in shaping CEISP business in his Territory Month on Month. Have ensured 100% activation target in August &amp; September and clocking 335 Activation in August and 422 Activation in September which is highest in the Region among Trade and Non-Trade ASM. Even he has ensured 100% Target achievement in terms of Partner Appointment. \nLooking forward to continuing the same momentum in CEISP vertical in the coming month, wishing him luck for the future!!!</t>
  </si>
  <si>
    <t>Rahul extra &amp; Speedy effort in winning Hotel of 75 connections in Sawai Madhopur. Good Effort Rahul</t>
  </si>
  <si>
    <t xml:space="preserve">  "Nitin done Good work on Dealer Expansion in New &amp; old Territory" </t>
  </si>
  <si>
    <t xml:space="preserve">  "Ravi done Good work on Dealer Expansion" </t>
  </si>
  <si>
    <t xml:space="preserve"> "Vivek make Superb effort &amp; gone to extra mile on Dealer Expansion - Good Job" \n\n</t>
  </si>
  <si>
    <t xml:space="preserve">  "Pankaj make extra effort on Dealer Expansion - Good Job" \n  </t>
  </si>
  <si>
    <t xml:space="preserve">  "Akhilesh make extra effort on Dealer Expansion - Good Job" \n  </t>
  </si>
  <si>
    <t xml:space="preserve">  "Vishnu done Good work on Dealer Expansion" \n  </t>
  </si>
  <si>
    <t xml:space="preserve">  "Neeraj done Good work on Dealer Expansion"' \n  </t>
  </si>
  <si>
    <t xml:space="preserve">Even after transfer from Prayag raj territory, you owned to complete the huge order of more than 500 connections. Apart from working in your territory, you ensured to coordinate with all stakeholders and delivered these 500+ connections well in time with utmost precision. </t>
  </si>
  <si>
    <t xml:space="preserve">Vijay - Your ownership to deliver result is appreciated. You were consistent in delivering all the required KPIs and also carried your zeal to deliver additional initiatives well. You maintained above par results on all KPIs and initiatives. </t>
  </si>
  <si>
    <t xml:space="preserve">Your effort to contribute and maintain top position in new dealer contest is recognized. You have owned organization expansion drive which would help in overall business. You have topped in north region and that is testimony of your ownership . </t>
  </si>
  <si>
    <t xml:space="preserve">Veerendra - Your consistency and approach is appreciated. Maintaining performance on top level and above that consistent contribution to new dealer appointment is a key achievement. You also won new dealer contest and that shows your high level of ownership. </t>
  </si>
  <si>
    <t>Radha, You are always very supportive for productivity of Circle and you are always available to help which shows your dedication towards the business.\nVery Well Done .....</t>
  </si>
  <si>
    <t>Radha Have done good work and takes ownership of the work given to him beside his own domain also. He work on the things which are not in his KPI but supportive for Circle business. He calls top dealer for quality promoter for productivity. He helps promoter having difficulty in attandance and onboarding. He shares individual report like New dealer creation report with data whose billing or latlong capture is pending. He provides any help which we need if we are in market like detail of DSR wise activating ols et.\n\nOver all he is dedicated to circle business productivity.\n</t>
  </si>
  <si>
    <t>Organized the audio details of all the channels which have multiple language tracks. Demonstrate the technical certainty of the audio configuration of Broadcaster as well as on our platform in order to avoid any mismatch audio language issue. It will help us to provide the configuration data record as and when required.</t>
  </si>
  <si>
    <t>Radha has always supporting in Data Points, Boosting My DSR  to Achieve Bandhan Programme &amp; Bandhan Booster, he is just one call away for any help required me for Business Success</t>
  </si>
  <si>
    <t>Pavan Kumar Garg - Pawan, you have taken ownership and collaborated with your peers and delivered single digit critical WO and out of Top 15 Circle.\\nKeep the momentum up!!!</t>
  </si>
  <si>
    <t>K R Champa - Yasar Ali Khan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</si>
  <si>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Vikas Soni - Waseem has been very supportive when it comes to capturing and working on new requirements.\\nUnder R57, he has worked on more than 10 requirements including a few critical ones - SR scheduler, SR closeloop SMS, Core group desk creation, Open order auto cancellation, Account reactivation RPA.\\nThese initiatives are certainly going to reduce the cost to serve.\\nThanks, Waseem.</t>
  </si>
  <si>
    <t>Bhupendra Kumar - I would like to take this opportunity to thank you and appreciate your commitment to clean up the market Defective inventory, which has resulted in achieving the KPI (DSO) at 12 days in Bihar after a year time. The joint effort was instrumental in achieving this objective.</t>
  </si>
  <si>
    <t>K R Champa - Vidya we are proud to have you as a part of the TATAPLAY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</si>
  <si>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Velu C - I wanted to extend my heartfelt thanks to each of you for your diligent work in testing all the PCF parts of the Sony RIO activities, Binge and all BAU PCF's and CR's . Your attention to detail and commitment to ensuring everything functions perfectly have been crucial to the success of this project.\\nYour efforts have helped us move forward with confidence, knowing that we\\u2019ve thoroughly tested every aspect. I truly appreciate the time and energy you\\u2019ve dedicated to this task.\\nThank you for your hard work and continued support.</t>
  </si>
  <si>
    <t>Divya Shenoy - Usha went out of her way to help overcome the issues with regard to KBC live event on Sony Liv. The solution was discussed, tried and tested over two days before the event went Live. Usha worked odd hours ensure that the content is pulled in and made available for seamless subscriber experience.</t>
  </si>
  <si>
    <t>Velu C - I wanted extend my sincere appreciation for your dedicated work on the validations involved in our finance Go-ahead process for the price hike and RIO data.\\nYour contribution has been instrumental, and I am truly grateful for your unwavering commitment to excellence.\\u00A0\\nThank you for your continued hard work and for always delivering top-quality results.</t>
  </si>
  <si>
    <t>K R Champa - Umashree we are proud to have you as a part of the TATAPLAY family as you have contributed to our success in making the customers smile. You have helped us achieve the level of customer experience we would like to provide on each call.\\nThis is a token of appreciation for the good job done for the contest "Making Customer Smile".\\nLooking forward to having many more such smiles on our way towards every milestone.</t>
  </si>
  <si>
    <t>Nitin Gupta - Appreciate the efforts done and taking ownership to complete the technology office at fast pace and build a wonderful office as per the expectations of the company.</t>
  </si>
  <si>
    <t>Divya Shenoy - Sharath went out of her way to help overcome the issues with regard to KBC live event on Sony Liv. The solution was discussed, tried and tested over two days before the event went Live. Usha worked odd hours ensure that the content is pulled in and made available for seamless subscriber experience.</t>
  </si>
  <si>
    <t>Sandeep Sharma - Hi Satish,\\n\\nThanks For Updating and solving the issues.\\nAlways you are in supporting and positive attitude.\\nThanks \\n\\n</t>
  </si>
  <si>
    <t>K R Champa - Sajid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</si>
  <si>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Pavan Kumar Garg - You have taken ownership and delivered 200% your FTD target. keep the momentum up!!!</t>
  </si>
  <si>
    <t>Leena V. Patel - I would really like to appreciate for all the support we get from Roopa for all NVSD related data. She has been helpful on closing Fact book data on timely basis.</t>
  </si>
  <si>
    <t>Velu C - I wanted to take this opportunity to thank you for your continuous support in processing Sony RIO and managing the Price Hike changes. Your collaborative efforts and willingness to share insights have been crucial in ensuring our collective success and getting the job done right every time is something I truly value. your support has been invaluable, and we look forward to continuing our collaboration and achieving even greater things together. Appreciate all the efforts you have put in coordinating with teams and getting the data processed early hours of the day without impacting regular activities.</t>
  </si>
  <si>
    <t>Velu C &amp; Mayur Wadulkar - I wanted to extend my heartfelt thanks to each of you for your diligent work in testing all the PCF parts of the Sony RIO activities, Binge and all BAU PCF's and CR's . Your attention to detail and commitment to ensuring everything functions perfectly have been crucial to the success of this project. Your efforts have helped us move forward with confidence, knowing that we\\u2019ve thoroughly tested every aspect. I truly appreciate the time and energy you\\u2019ve dedicated to this task. Thank you for your hard work and continued support.  \n\nI would like to extend my heartfelt appreciation to Rabindra for his outstanding work in closing the highly critical and significant Sony RIO change-related PCFs within the allotted timeline, and impressively, ahead of schedule. His exceptional resilience and dedication were evident as he successfully closed 64 LDP packs with remarkable timeliness.</t>
  </si>
  <si>
    <t>K R Champa - Prabha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</si>
  <si>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Sheeja P.A. - I would like to express my deep appreciation for Prasad's exceptional work on the Sony de-packaging activity. Despite its complexity and time-consuming nature, Prasad's outstanding coding expertise transformed a task that would have taken us hours into one completed in mere minutes. Additionally, he developed the channel-based blocking functionality in just half a day, addressing a high-priority need. His swift and effective solution was crucial in enabling us to block Sony channels on TPMA. Prasad's remarkable skills and dedication have been invaluable to our team.</t>
  </si>
  <si>
    <t>Leena V. Patel - I would really like to appreciate Minaxi for sharing all Partner related data within a very short notice time. Pls keep up the good work Minaxi.</t>
  </si>
  <si>
    <t>Mahendra Singh Jadaun - For de-cluttering and reorganizing services on Video wall at MCR which will help in prompt confirmation of simulcast and geo-based tagging events and will also be affective in identifying spare ports for additional services.</t>
  </si>
  <si>
    <t>Sneha Mohan - Working with Nandeetha on Netflix Partnership has been great!\\nShe always has great ideas, plans well and is collaborative. She constantly finds opportunities to upsell and push the limits.\\nShe is open to experiments and together we have managed newer formats of leveraging content to overall increase uptakes. From data, to collaboration, she is a supportive and understanding colleague who I enjoy working with!\\n</t>
  </si>
  <si>
    <t>Ashish Jain - I would like to appreciate your continuous &amp; sincere efforts for closure of old pending F&amp;F partners. You took ownership and ensured necessary collaboration with all the stack holders (SCM / Legal / FIN) and take lead for closure of such accounts. This helped organization to clear years long pending cases including receivable or change their status as payable. \\n\\nI appreciate all your steady efforts and dedication.</t>
  </si>
  <si>
    <t>K R Champa - Mary Violet we are proud to have you as a part of the TATAPLAY family as you have contributed to our success in making the customers smile. You have helped us achieve the level of customer experience we would like to provide on each call.\\nThis is a token of appreciation for the good job done for the contest "Making Customer Smile".\\nLooking forward to having many more such smiles on our way towards every milestone.</t>
  </si>
  <si>
    <t>Deepak Subhash Sonar &amp; Chandan Kumar Sharma - Thanks For Support Inshop Branding.\nWe really appreciate your support by providing attractive digital creatives which helped us get additional business and communicate more effectively.</t>
  </si>
  <si>
    <t>Ashish Jain - I would like to appreciate your eagerness and efficacy to collect / arrange information from multiple stake holders. You have put forth exceptional efforts during the last quarter on multiple pending finance issues. Resulting as, our count of long pending issue being continuously &amp; sharply decline for south region.\\nI would specifically mention the long pending full and final settlement cases that count was maximum at south region however your steady effort along with other circle team helps to bring down these number sizably.\\n\\nI appreciate your speed, data collection and collaboration skills.</t>
  </si>
  <si>
    <t>Velu C - I wanted to extend my heartfelt thanks to each of you for your diligent work in owning the testing of all the PCF parts of the Sony RIO activities,Binge and all BAU PCF's and CR's . Your attention to detail and commitment to ensuring everything functions perfectly have been crucial to the success of this project.\\nYour efforts have helped us move forward with confidence, knowing that we\\u2019ve thoroughly tested every aspect. I truly appreciate the time and energy you\\u2019ve dedicated to this task.\\nThank you for your hard work and continued support.</t>
  </si>
  <si>
    <t>Velu C - Thank you Losang, for all your contributions to our recent discussions on pricing and RIO packaging strategies. Your insights were not only comprehensive but also incredibly practical, helping us refine our approach to meet both market demands and business goals. Your input has been instrumental. Appreciate all your efforts and Support.</t>
  </si>
  <si>
    <t>Velu C - I wanted to extend my heartfelt thanks to each of you for your diligent work in testing all the PCF parts of the Sony RIO activities,Binge and all BAU PCF's and CR's . Your attention to detail and commitment to ensuring everything functions perfectly have been crucial to the success of this project.\\nYour efforts have helped us move forward with confidence, knowing that we\\u2019ve thoroughly tested every aspect. I truly appreciate the time and energy you\\u2019ve dedicated to this task.\\nThank you for your hard work and continued support.</t>
  </si>
  <si>
    <t>K R Champa - We are proud to have you as a part of the TATAPLAY family as you have contributed to our success in making the customers smile. You have helped us achieve the level of customer experience we would like to provide on each interaction. This is a token of appreciation for the good job done for the contest "Making Customer Smile". Looking forward to having many more such smiles on our way towards every milestone.</t>
  </si>
  <si>
    <t>Velu C - I wanted extend my sincere appreciation for your dedicated work on the validations involved in our revenue assurance process for the price hike and RIO data.\\nYour contribution has been instrumental, and I am truly grateful for your unwavering commitment to excellence.\\u00A0\\nThank you for your continued hard work and for always delivering top-quality results.</t>
  </si>
  <si>
    <t xml:space="preserve">Velu C &amp; Yakkanti Hari Srinivasa Reddy - I wanted to express my sincere appreciation for the incredible support you and your team have provided in sharing the data for Sony RIO and the price hike changes. Your teams coordination and alignment with the CABER activities. The dedication, precision, and collaborative effort from your team have been pivotal in ensuring everything was executed flawlessly. Please convey our gratitude to the entire team. Your teams support has been crucial, and I\\u2019m looking forward to our continued success together.   \n\nAppreciate Jana for ensuing BI data delivery during weekends by way of collaborating with all resources to help in Sony price update deployments. Excellent job. </t>
  </si>
  <si>
    <t>Ananthakrishnan J - Ivan did an incredible job organizing a fantastic pool event. It was seamless, well-coordinated, and fun! The collaboration and effort put into making it a success really shone through. Thank you, Ivan!</t>
  </si>
  <si>
    <t>K R Champa - Itishree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</si>
  <si>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Abhinav Aggarwal - Harsh has been silently but very proactively been working on TPMA. Getting specials rails banners changed for all highlights, initiatives on Smart Games after we shared insights for it on TPMA &amp; many other things. We see you &amp; appreciate the work you are doing! Best wishes &amp; hoping more from you!</t>
  </si>
  <si>
    <t>Velu C - I wanted extend my sincere appreciation for your dedicated work on the validations involved in our revenue assurance process and the finance Go-ahead for the price hike and RIO data.\\nYour contribution has been instrumental, and I am truly grateful for your unwavering commitment to excellence.\\u00A0\\nThank you for your continued hard work and for always delivering top-quality results.</t>
  </si>
  <si>
    <t>Velu C - I wanted to express my sincere appreciation for the incredible support you and your team have provided in configuring the RIO, Price hike changes and the New pack configurations. Your team's coordination and alignment with the CABER activities early hours every day have been nothing short of exemplary.\\nThe dedication, precision, and collaborative effort from your team have been pivotal in ensuring everything was executed flawlessly.\\n\\nPlease extend my thanks to everyone on your team and i look forward to continuing our successful collaboration.</t>
  </si>
  <si>
    <t>Rahul Chugh - Hi Dinesh, Thank you for helping to amend the pack change request while managing 5MN project. You and your team has not only responded to our requests but also cross checked the valid request which has helped us to make corrections at our end. We really appreciate the speedy response. Thanks.</t>
  </si>
  <si>
    <t>Deep Dayal Gupta - Deevanshu has promptly helped in setting up GPU instances on MLOps and followed up with the partner teams. Much appreciated.</t>
  </si>
  <si>
    <t>Inderpreet Singh -In May\\u201924, we embarked on an ambitious initiative aimed at re-activating &amp; ringfencing customers from the deep deactive bucket during the high opportunity season. We targeted 5 million subscribers from deep deactive bucket with active days less than 240 in the past 12 months.Cross functional teams were involved in planning, developing infrastructure, hiring &amp; training of close to over 3000 resources, with outcome of more than 110K subs subscribers by the end of this activity, coming back with long term commitment(6/12 month). Surya played a very crucial role in streamlining the execution for implementing of Mega Winback initiative. Surya took the ownership right from beginning &amp; ensured that the execution of defined strategy happens across 12 locations &amp; 16 Centre's Pan India. Surya\\u2019s contribution has been instrumental in the success and has demonstrated collaboration &amp; Speed throughout this initiative. His meticulous attention to detail has been commendable</t>
  </si>
  <si>
    <t>Mayur Wadulkar - I would like to appreciate Ashutosh for his outstanding work in closing the M-sales UAT of Sony RIO related PCFs as well as Campaign CRs. Also, Ashutosh has helped us doing the sanity check in the midnight so that there is no miss in the market in daytime. His dedication is evident in his willingness to stretch his working hours. This commitment to excellence is truly commendable.</t>
  </si>
  <si>
    <t>Srinivasan Thiagarajan - "Ashok has to helped arranging the logistics to pick the materials from LRP which was very critical and time sensitive and ensured it complete within the timeline"</t>
  </si>
  <si>
    <t>Monalisa Boruah - I would like to appreciate Ashish for his continues support and follow-up for helping me in closing the old Pending F&amp;F of E4. \\n\\nkeep up the good work.</t>
  </si>
  <si>
    <t>Anshul Nuwal - Arpajit has taken full ownership of EAI 2 Gateway Implementation project. he has co-ordinated well with partner team and helped the project to take a shape and get it deployed on PROD with good speed.</t>
  </si>
  <si>
    <t>Mayur Wadulkar - I would like to extend my heartfelt appreciation to Aftab for his outstanding work in closing the highly critical and significant Sony RIO-related campaign &amp; What's App CRs within the allotted timeline. His dedication is evident in his willingness to stretch his working hours to ensure the CRs were signed off promptly. This commitment to excellence is truly commendable.</t>
  </si>
  <si>
    <t>Thanks Kamal,\n\nFor your support and Guidance to do the work properly and time frame.\n</t>
  </si>
  <si>
    <t>Thanks Satish,\nFor Solving all critical issues and clearing all the pending work.</t>
  </si>
  <si>
    <t xml:space="preserve">Pracheer was able to quickly turn around the logistics for an important review in Delhi. He managed multiple stakeholders and constraints to make the review a success. There were no gaps in the planning process and the execution was smooth with all things going as per plan. He had meagre four days to make this happen, well done Pracheer! Keep up the good work. </t>
  </si>
  <si>
    <t>I really appreciate your continuous efforts for implementation of CLM tools for Onboarding Channel Partners.\n\u00A0\nIn last 6 months, you have co-ordinated very well with all Regional MIS, Finance, Legal &amp; CLM teams for timely implementation of CLM tools.\n\u00A0\nReally appreciate your commitment &amp; dedication towards work! Keep up the good work!</t>
  </si>
  <si>
    <t xml:space="preserve">Akash, you truly make a difference with your unlimited support. You're quick and on time help in terms of providing the reports and required data for different analysis has been fantastic. Your suggestions / ideas in order to improvise on reports also helps us in terms of watching the output / conversions with different perspectives. We appreciate all your efforts and your quick turn around on requirements.        </t>
  </si>
  <si>
    <t>I appreciate your patience and support as I navigated through unfamiliar territories. \nThanks a lot for your support in TPL ISD planning. \nThanks, \nAbhay Mishra\n</t>
  </si>
  <si>
    <t>Thanks for all your support, prompt response, speed , execution and collaboration....You always helps me out when i got stuck somewhere..\n</t>
  </si>
  <si>
    <t>Your positive attitude , Collaboration and dedication make all the difference, happy for your coordination  and execution speed.\nThanks</t>
  </si>
  <si>
    <t>Your positive attitude , Collaboration and dedication make all the difference, and for that, I am genuinely grateful. With this coordination we can achieve milestones in Sales &amp; Service...Keep this coordination always on. Thanks</t>
  </si>
  <si>
    <t>Thank you Ashutosh for your contributions New packs testing on Msales and the box price changes for UP and Bihar \nYour support has been crucial, appreciate all your efforts and Support and I\u2019m looking forward to our continued success together</t>
  </si>
  <si>
    <t>Suraj has done a commendable job of doing end-to-end testing of new CIP journey of Apple TV on Binge Plus platform. He was new for UAT environment testing but still took full ownership of UAT readiness and tested end to end subscription journey of Apple TV App on all Binge+ packs. He has played a pivotal role in pre-prod testing as well and during go live of new Apple TV CIP journey in production environment. He has exhibited anchor competencies like ownership and grow partnership which helped in meeting business timelines.\nKeep progressing and keep up the great work Suraj!</t>
  </si>
  <si>
    <t>Thanks a lot Lenin for the continuous support you have provided by sharing your expertise and knowledge with us. \nWe count on you, and you have always delivered more than what we expected.\nThank you for being such a team player. We wouldn\u2019t be the same without you!</t>
  </si>
  <si>
    <t>Pawan,\n\nYou have again delivered single digit critical wo for Mumbai Circle with your collaboration.\n\nGood Job done!!!</t>
  </si>
  <si>
    <t xml:space="preserve">HI Thanu \nThank you for your effort and time on the NEF guidelines and SR Types and Tagging </t>
  </si>
  <si>
    <t>Pawan, \n\nGood to see again you have achieved single digit critical wo for Mumbai Circle.\n\nKeep it up momentum high!!!</t>
  </si>
  <si>
    <t>Sailesh has provided swift support for Cloud infra setup for EAI 2 project. As EAI 2 project is built from scratch and has very complex architecture, so there were lot of iteration in architecture. And Sailesh and team made sure that whatever changes are needed in cloud infra, were done well in time with minimal impact on Development activities. Kudos for support.</t>
  </si>
  <si>
    <t>The Rings of Power S2 was a key release from Prime Video. However, we were facing issues on getting it published. Harsh really helped us take the issue on priority and collaborated with TTN, Ops and Partner to get it delivered to us at the earliest for us to publish the content and start promotions.\n\nAppreciate your support!!</t>
  </si>
  <si>
    <t>Pawan,\n\nYou have taken ownership and delivered single digit critical wo for Mumbai circle in today report.\n\nGood, keep the up!!!</t>
  </si>
  <si>
    <t>Velu has been a great support in execution of multiple packaging changes in a quick succession. These are namely RIO rollback with simultaneous pricing revision to protect revenues, launch of new acquisition, renewal and winback LDP packs post-RIO (with higher price and higher content) and increase in HD box prices of 2 major states to improve acquisition quality. Thank you and keep up the good work, Velu!</t>
  </si>
  <si>
    <t>Vinod has recently join the binge team and has been able to adjust to the binge ecosystem so well. His understanding and clarity coupled with his go-getter attitude has helped us in the launch and programming of CH100 with ease on weekdays and weekends as well!! Really grateful for all the support received during critical launches :)</t>
  </si>
  <si>
    <t>Rinkesh has been a key driver in programming of the largest acquisition channel for Binge. All the key titles were promoted swiftly and with speed on Ch100, even on weekends!!! He has always been understanding and ready to lend his support during crucial times for binge business. Onwards and upwards!!!</t>
  </si>
  <si>
    <t xml:space="preserve">Kaniz has been actively involved in IB LDP Pack penetration by increasing the campaigns at IB. When 5M campaign started at OB same was introduced at IB WBK and Mass desk. This was the first time LDP campaign was introduced for active customers which helped in pack penetration .Kaniz was instrumental in launching UPP at IB . \nOverall LDP Nos has shown positive improvement month on month Cross functional coordination was instrumental and key to success. Because of all these initiatives LDP penetration at IB has shown close to 2X improvement (from 4.85 in April has gone up to close to 10 % in August 2024).    </t>
  </si>
  <si>
    <t>Pankaj done Good work in New Dealer expansion in July &amp; August.</t>
  </si>
  <si>
    <t>Vishnu done good work on new Dealer Expansion in July &amp; August.</t>
  </si>
  <si>
    <t>Vivek done Good work on New Dealer Expansion in July &amp; August.</t>
  </si>
  <si>
    <t>Neeraj done Good work on New Dealer expansion in Ravi 2.0 in July &amp; August.</t>
  </si>
  <si>
    <t>Ravi done good work on Dealer expansion in July &amp; August.</t>
  </si>
  <si>
    <t>Akhilesh done Good work on Dealer Expansion in July &amp; August.</t>
  </si>
  <si>
    <t>You have taken ownership and delivered 200% your FTD target. keep the momentum up!!!</t>
  </si>
  <si>
    <t>Pawan, you have taken ownership and collaborated with your peers and delivered single digit critical WO and out of Top 15 Circle.\nKeep the momentum up!!!</t>
  </si>
  <si>
    <t>Deevanshu has promptly helped in setting up GPU instances on MLOps and followed up with the partner teams. Much appreciated.</t>
  </si>
  <si>
    <t>Thank you Losang, for all your contributions to our recent discussions on pricing and RIO packaging strategies. Your insights were not only comprehensive but also incredibly practical, helping us refine our approach to meet both market demands and business goals. Your input has been instrumental. Appreciate all your efforts and Support</t>
  </si>
  <si>
    <t>Hi Dinesh, Thank you for helping to amend the pack change request while managing 5MN project. You and your team has not only responded to our requests but also cross checked the valid request which has helped us to make corrections at our end. We really appreciate the speedy response. Thanks</t>
  </si>
  <si>
    <t>I wanted extend my sincere appreciation for your dedicated work on the validations involved in our finance Go-ahead process for the price hike and RIO data.\nYour contribution has been instrumental, and I am truly grateful for your unwavering commitment to excellence.\u00A0\nThank you for your continued hard work and for always delivering top-quality results.</t>
  </si>
  <si>
    <t>I wanted extend my sincere appreciation for your dedicated work on the validations involved in our revenue assurance process for the price hike and RIO data.\nYour contribution has been instrumental, and I am truly grateful for your unwavering commitment to excellence.\u00A0\nThank you for your continued hard work and for always delivering top-quality results.</t>
  </si>
  <si>
    <t>I wanted extend my sincere appreciation for your dedicated work on the validations involved in our revenue assurance process and the finance Go-ahead for the price hike and RIO data.\nYour contribution has been instrumental, and I am truly grateful for your unwavering commitment to excellence.\u00A0\nThank you for your continued hard work and for always delivering top-quality results.</t>
  </si>
  <si>
    <t>I wanted to extend my heartfelt thanks to each of you for your diligent work in testing all the PCF parts of the Sony RIO activities, Binge and all BAU PCF's and CR's . Your attention to detail and commitment to ensuring everything functions perfectly have been crucial to the success of this project.\nYour efforts have helped us move forward with confidence, knowing that we\u2019ve thoroughly tested every aspect. I truly appreciate the time and energy you\u2019ve dedicated to this task.\nThank you for your hard work and continued support.</t>
  </si>
  <si>
    <t>I wanted to extend my heartfelt thanks to each of you for your diligent work in owning the testing of all the PCF parts of the Sony RIO activities,Binge and all BAU PCF's and CR's . Your attention to detail and commitment to ensuring everything functions perfectly have been crucial to the success of this project.\nYour efforts have helped us move forward with confidence, knowing that we\u2019ve thoroughly tested every aspect. I truly appreciate the time and energy you\u2019ve dedicated to this task.\nThank you for your hard work and continued support.</t>
  </si>
  <si>
    <t>I wanted to extend my heartfelt thanks to each of you for your diligent work in testing all the PCF parts of the Sony RIO activities,Binge and all BAU PCF's and CR's . Your attention to detail and commitment to ensuring everything functions perfectly have been crucial to the success of this project.\nYour efforts have helped us move forward with confidence, knowing that we\u2019ve thoroughly tested every aspect. I truly appreciate the time and energy you\u2019ve dedicated to this task.\nThank you for your hard work and continued support.</t>
  </si>
  <si>
    <t>I wanted to express my sincere appreciation for the incredible support you and your team have provided in sharing the data for Sony RIO and the price hike changes and Your teams coordination and alignment with the CABER activities. \nThe dedication, precision, and collaborative effort from your team have been pivotal in ensuring everything was executed flawlessly.\n\nPlease convey our gratitude to the entire team. Your teams support has been crucial, and I\u2019m looking forward to our continued success together.</t>
  </si>
  <si>
    <t>I wanted to express my sincere appreciation for the incredible support you and your team have provided in sharing the data for Sony RIO and the price hike changes. Your teams coordination and alignment with the CABER activities. The dedication, precision, and collaborative effort from your team have been pivotal in ensuring everything was executed flawlessly.\n\nPlease convey our gratitude to the entire team. Your teams support has been crucial, and I\u2019m looking forward to our continued success together.</t>
  </si>
  <si>
    <t>I wanted to express my sincere appreciation for the incredible support you and your team have provided in configuring the RIO, Price hike changes and the New pack configurations. Your team's coordination and alignment with the CABER activities early hours every day have been nothing short of exemplary.\nThe dedication, precision, and collaborative effort from your team have been pivotal in ensuring everything was executed flawlessly.\n\nPlease extend my thanks to everyone on your team and i look forward to continuing our successful collaboration.</t>
  </si>
  <si>
    <t xml:space="preserve">I wanted to take this opportunity to thank you for your continuous support in processing Sony RIO and managing the Price Hike changes.  Your collaborative efforts and willingness to share insights have been crucial in ensuring our collective success and getting the job done right every time is something I truly value. your support has been invaluable, and we look forward to continuing our collaboration and achieving even greater things together. Appreciate all the efforts you have put in coordinating with teams and getting the data processed early hours of the day without impacting regular activities. </t>
  </si>
  <si>
    <t>Thanks For Support Inshop Branding.</t>
  </si>
  <si>
    <t>"Devender went out of the way to arrange transports for the pick of the high value materials from LRP which was very critical when we faced issue of vehicles due to issue of curbs in Delhi and also validating the stocks from received from the vendor for final closure promptly in time.\n</t>
  </si>
  <si>
    <t xml:space="preserve">"Ashok has to helped arranging the logistics to pick the materials from LRP which was very critical and time sensitive and ensured it complete within the timeline"  </t>
  </si>
  <si>
    <t>We really appreciate your support by providing attractive digital creatives which helped us get additional business and communicate more effectively</t>
  </si>
  <si>
    <t xml:space="preserve">Sharath went out of her way to help overcome the issues with regard to KBC live event on Sony Liv. The solution was discussed, tried and tested over two days before the event went Live. Usha worked odd hours ensure that the content is pulled in and made available for seamless subscriber experience. </t>
  </si>
  <si>
    <t xml:space="preserve">Usha went out of her way to help overcome the issues with regard to KBC live event on Sony Liv. The solution was discussed, tried and tested over two days before the event went Live. Usha worked odd hours ensure that the content is pulled in and made available for seamless subscriber experience. </t>
  </si>
  <si>
    <t>Pradeepkumar Velayudhan - Thanks Prakash for partnering with Ashish and for the support extended in creating a 4year story line on the overall financials and cost. This presentation outlined the specific actionable to be taken this year towards ensuring better EBITDA. The slides were self explanatory with details for each of the cost lines. Your expertise in creating an understanding of financial trend and requesting further data points to cross check the same was quite helpful. Well done!</t>
  </si>
  <si>
    <t>Pradeepkumar Velayudhan - Thanks Gaurav for partnering with Ashish and for the support extended in creating a 4year story line on the overall financials and cost and drawing insights into specific actionable to be taken this year towards ensuring better EBITDA. The slides were self explanatory with details for each of the cost lines .Well done. The pace with which you could plot the expectations on the presentation was quite appreciative. We could complete this activity due to your POWER BI skill along with deep understanding of financial trends.</t>
  </si>
  <si>
    <t>Rochelle R Rajguru - Thank you Nagesh. During Elections, you helped in showcasing the banners to proper segments. You find out the areas of scope and work out on the misses. One late evening we also needed Bigg Boss (All languages) Creatives and promos urgently, without wasting any time you were upfront and shared the assets and supported us. I would like to thank you once again Nagesh for your continuous efforts.</t>
  </si>
  <si>
    <t>Rochelle R Rajguru - I would like to thank and appreciate Akshaya for supporting us quickly in Partner Collaboration during Mother's Day. Within 3 days Akshaya managed to get the posts ready by the agency. Thank you once again Akshaya for overcoming all the roadblocks and making this happen.</t>
  </si>
  <si>
    <t>Pradeep Kumar - Appreciating Manender for deployment of Nysa HD Formal build on Live platform as this is new MediaTek chipset 5711 &amp; low-cost STB for us and faced lot of challenges to validate E2E functionality of Nysa STB. You focused on identifying the basic types of test requirement. As resulted, identified many critical bugs (approx. 80 blocker bugs) like satellite migration issue, loader voltage issues, SWDL issues etc. timely same have been fixed before launched the product in market. As we are Committed in bringing a Valuable and error free product to the Tata play portfolio. Good Manender keep it up.\\u00A0</t>
  </si>
  <si>
    <t>Rochelle R Rajguru - I wish to extend my sincere appreciation to Neha for her remarkable efficiency in providing the Terms and Conditions (TnCs) on our website amidst the World Cup Binge contest on Hotstar. Despite her unwellness, she managed to ensure their completion within the designated timeframe. Within a mere half-hour, the TnCs were successfully displayed on our website, allowing us to proceed with the contest. Thank you, Neha, for your prompt response and dedication to this task.</t>
  </si>
  <si>
    <t>Apurva Panwar - Pranshul has recently assumed the responsibility of driving Binge on TPMA. Wanted to take a moment to recognize and appreciate his efforts and commitment towards driving Binge via TPMA channel through various interventions like slotting for Binge assets on TPMA along with other LOBs, ensuring that there is a balance maintained with other teams, scheduling push and in app campaigns with full rigor. With all these efforts and dedication, we were able to achieve ever highest gross adds from TPMA on Binge in June'24. Wishing him all the very best for a great run on driving OTT via TPMA</t>
  </si>
  <si>
    <t>Bharti Samant - We wanted to express sincere appreciation for Kaustubh's invaluable contribution for the successful launch of Tata Play Anime Local. \\nHis knowledge, dedication, hard work and quick TAT played a key role in successful launch of this new service.\\n</t>
  </si>
  <si>
    <t>Manoj Jadhav - Chandan is having very good knowledge regarding competition data. Always give speedy and accurate information regarding the competitor updates. Thanks for your support to trade Marketing team.</t>
  </si>
  <si>
    <t>Manoj Jadhav - I take this opportunity to highlight that the Rajesh is good team player and always ready to help everyone. Taken ownership of given task and completed in time. Thanks for your support in collecting and analysing west region data.</t>
  </si>
  <si>
    <t>Bhupender Singh Rawat - Hi Gurvinder, Thanks for your support on Isilon H700 storage configuration setup help on time.\\nBecause of your timely support and list that you have prepared were time saver on the switch over activity. Kudos!</t>
  </si>
  <si>
    <t>Anshul Nuwal - Deep is always going an extra mile for configuring the Whatsapp campaigns and activating the flows on Whatsapp. There are many instances when Deep has helped team members with quick turnaround time for the Whatsapp flows improving the user journeys.</t>
  </si>
  <si>
    <t>Pradip Said - Dear Sameer Sir,\\n Great Support received from you to resolve the customer issue. I appreciated your support. Thank you So much.</t>
  </si>
  <si>
    <t>Aftab Khan - Deeptha you have been extremely helpful by supporting the team for Social CRM UAT / Prod Testing since its launch. you have been instrumental from giving the walkthrough of the CR, aligning the partners, Testcases review, Defect discussion and till the sign off. Thanks for all the extended support and the dedication you have shown towards the social CRM project.</t>
  </si>
  <si>
    <t>Aftab Khan - Mahesh has been instrumental in helping the team wherever its required. he has always shown the positive side and given inputs in various UAT CRs. thank you so much for all the good work you are doing it.</t>
  </si>
  <si>
    <t>Mayur Wadulkar - Dear Rabindra, I wanted to extend my heartfelt appreciation for the outstanding work you have done in closing the UAT for all 34 packs (LDP, Renewal, and Monthly). Your dedication and effort have truly been exceptional.\\n You have gone above and beyond to achieve our organizational goal of delivering the packs within the set timelines. Your hard work, meticulous attention to detail, and commitment to excellence have not only ensured the project's success but have also set a new benchmark for the team.\\n Thank you for your remarkable contributions. Your efforts are highly valued and have made a significant impact.</t>
  </si>
  <si>
    <t>Shikha Sandhu - Vaibhav did great job and helping in creating crucial audit document.\\u00A0Each team member brings a unique set of skills and perspectives; together, we are an unstoppable force. Thank you for showcasing the power of diversity and collaboration. Your positive attitudes and optimism have been contagious, making even the most challenging tasks manageable. Thank you for bringing a ray of sunshine to the workplace every day.</t>
  </si>
  <si>
    <t>Rohit Mishra - Thank you Premsagar, for the quick turnaround in replacing the promos of Binge+ upgrade by revising the schedules of all the geographical segments of Ch100, despite getting the request late in the evening, to avoid miscommunication to customers.</t>
  </si>
  <si>
    <t>Lakshya Lohumi - Mohan has been extremely helpful in helping us deliver great numbers on OSD slate for Binge. He is always very meticulous and delivers results with a lot of speed and efficiency. Really grateful for his quick turn-around even on weekend to deliver key titles promotions on various OSDs for Binge, this also led to one of the highest missed call numbers we have seen on any Binge OSD. He is one of the few people I have worked with who take initiatives on their own and helps in driving the business! Onwards and Upwards!</t>
  </si>
  <si>
    <t>Lakshya Lohumi - Sasi has been relentless in helping us solve issues on Clever tap. He is quick to find solution to any problems we provide. After he has taken the hold of CT, the extraction of data and simultaneously the running of campaigns has been very efficient. He is very hardworking, is a great initiative taker, delivers solutions in the timeframe and is very thorough with his work. Wishing him best in fixing the CT issues completely!</t>
  </si>
  <si>
    <t>Ratan Kumar Vishwakarma - Dadakhalandar has played an instrumental role in testing 149/199 Tick-Tick/Zero Apps plan. His understanding of business flow is tremendous, he not only ensured no major bugs are left while doing end-to-end integration testing but has also ensured customer experience is enhanced with the new packs and zero apps feature with 149/199 plan giving flexibility to the customer to choose their own preferred partner OTT apps.\\nThe commitment you show towards our goals is truly admirable. I truly appreciate your unwavering support and dedication.\\nKeep progressing and keep up the great work Sayyad!</t>
  </si>
  <si>
    <t>Ratan Kumar Vishwakarma - Mayank has done exemplary job of end-to-end testing of 149/199 Tick-Tick plan and Zero Apps pack for Binge Plus on both UAT and production environment. This was a major change on Binge Plus platform giving flexibility to the customer of choosing their preferred OTT partner Apps with 149 and 199 monthly plans. Testing zero apps 149/199 plan was not an easy task as multiple cross-functional teams like Manage Apps, TTN, Binge, IT backend etc. were involved and Mayank took the ownership and coordinated with all these support teams and ensured all the blocker issues are fixed before final deployment on production for all the Binge Plus customers.\\nHis willingness to take on new challenges is commendable. Mayank you\\u2019ve become an indispensable asset to our team. Great job, keep up the excellent work!</t>
  </si>
  <si>
    <t>Rohit Mishra - As part of a major packaging change activity, scheduled to go live on 1st Aug'24, subscriber marketing team configured 64 new LDP packs (acquisition, winback and renewal). Harsh is the SPOC from RA for checking if all the inputs (whether for pack itself, or of the broadcaster packs/channels being used in it) are correct. Harsh has been vigilant and collaborative to seek out clarifications on any discrepancy and has got some corrections made where required, before the packs move into IT configurations. Thank you for your support, Harsh!</t>
  </si>
  <si>
    <t>Srini has done a wonderful job in closing the LRP conflict and get released the valuable material from there promptly.</t>
  </si>
  <si>
    <t>Vikas Soni - Hi Bhagaval Das, thanks for your extended efforts and ownership while driving the Making customer smile contest for the IB partners. You have coordinated with all partners end to end and ensured continuous improvement in our ranking, and also coverage% of the contest.\nWith your help, we were able to successfully close the contest at 3rd rank out of 50+ Tata group companies with 10K+ stories this year.\nOur next target is to have a winning story in the next contest duration; let's gear up for the same!\nAgain, appreciation all the hard work you have put in. Thank you.</t>
  </si>
  <si>
    <t>Vikas Soni - Hi Shashi, thanks for your extended efforts and ownership while driving the Making customer smile contest for the IB partners. You have coordinated with all partners end to end and ensured continuous improvement in our ranking, and also coverage% of the contest.\nWith your help, we were able to successfully close the contest at 3rd rank out of 50+ Tata group companies with 10K+ stories this year.\nOur next target is to have a winning story in the next contest duration; let's gear up for the same!\nAgain, appreciation all the hard work you have put in. Thank you.</t>
  </si>
  <si>
    <t>Vivek Kumar Shukla - My SSO id was locked. Satish reactivated it in 1 day. Thank you !</t>
  </si>
  <si>
    <t>Bhuvaneshwaran S &amp; Apurva Panwar-Rabiya has been instrumental in helping us leverage segmentation capabilities for TPMA. As a result, segmented CTR% on app has drastically improved. Almost all assets on app are segmented. She was instrumental in helping execute around 30 segments for APV launch. She helped us identify sharper segments for linear upselling which has contributed to pack add revenue increment.\nI am glad to take a moment and appreciate Rabiya's efforts in driving Binge via TPMA. In the month of May and June, around Prime launch we have done several experiments to drive Binge via TPMA channel. Many new segments were created across assets, and it meant a lot more complexity at ops and scheduling end. Rabiya's commitment towards her work and end to end ownership is commendable. We saw really good growth in Binge gross adds from TPMA in May and June and with all such efforts, rigor and experimentation, we did ever highest gross adds on Binge from TPMA channel in June'24.</t>
  </si>
  <si>
    <t>Vikas Soni - Hi Ahmed, thanks for your extended efforts and ownership while driving the Making customer smile contest for the IB partners. You have coordinated with all partners end to end and ensured continuous improvement in our ranking, and also coverage% of the contest.\nWith your help, we were able to successfully close the contest at 3rd rank out of 50+ Tata group companies with 10K+ stories this year.\nOur next target is to have a winning story in the next contest duration; let's gear up for the same!\nAgain, appreciation all the hard work you have put in. Thank you.</t>
  </si>
  <si>
    <t>Abhijeet Bandgar - Manoj, I Appreciate your Prompt Reply about every work requirement for us &amp; also your Innovative creatives helps US for driving the business. \nThanks for Support</t>
  </si>
  <si>
    <t>Chirag Gauba - Radha Krishna Jha has been always a great support. He always helped me in various trade marketing stuff throughout my time at Tata Play.</t>
  </si>
  <si>
    <t>Joydeep Roy - Excellent support Yogesh on RA front. Your regular interactions, follow ups &amp; guidance helped field for faster closure of RA cases and drastic reduction in hard closure.</t>
  </si>
  <si>
    <t>Paurav S Choubal - Manju is extremely efficient and prompt. Many friends and family reach out to me for support wrt their Tata Play connection and when redirected to Manju, he ensures Tata Play provided prompt and correct support to them and I keep receiving positive feedback from everyone. This kind of service is what differentiates us in the market and makes us the leaders!</t>
  </si>
  <si>
    <t>Komal Sahu - Mitalee was responsible for developing the UI/UX for the recharge page in the new product launch of Flexi-APV. Initially, the project aimed to create a single journey for the offer; however, the design approved by the business differed from the existing UI/UX. She proactively updated the UI/UX for all three currently active offers to align with the new design approved by the UI/UX team. Although further modifications could have delayed the launch, she successfully prepared the new screens just in time of the launch. We extend our gratitude to Mitalee for going beyond the brief and ensuring a consistent customer experience across all touch points.</t>
  </si>
  <si>
    <t>Appreciate the efforts done and taking ownership to complete the technology office at fast pace and build a wonderful office as per the expectations of the company</t>
  </si>
  <si>
    <t>Hi Satish,\n\nThanks For Updating and solving the issues.\nAlways you are in supporting and positive attitude.\nThanks \n\n</t>
  </si>
  <si>
    <t>Ivan did an incredible job organizing a fantastic pool event. It was seamless, well-coordinated, and fun! The collaboration and effort put into making it a success really shone through. Thank you, Ivan!</t>
  </si>
  <si>
    <t>Ankita has very worked very collaboratively with all the teams for Superhit Serials launch &amp; has helped train a new partner for promotions. She was on her toes throughout, with great enthusiasm &amp; was very prompt in giving feedbacks, chasing all the internal &amp; external stakeholders and trying to close everything in time. This was her 1st launch &amp; she has aced it with grace. Thanks Ankita for all the support that was required with such a challenging partner. This gives us confidence to partner with new players in the market &amp; get them associated to Tata Play.</t>
  </si>
  <si>
    <t xml:space="preserve">Harsh has been silently but very proactively been working on TPMA. Getting specials rails banners changed for all highlights, initiatives on Smart Games after we shared insights for it on TPMA &amp; many other things. We see you &amp; appreciate the work you are doing! Best wishes &amp; hoping more from you! </t>
  </si>
  <si>
    <t>I would really like to appreciate Minaxi for sharing all Partner related data within a very short notice time. Pls keep up the good work Minaxi</t>
  </si>
  <si>
    <t xml:space="preserve">I would really like to appreciate for all the support we get from Roopa for all NVSD related data. She has been helpful on closing Fact book data on timely basis. </t>
  </si>
  <si>
    <t>I would like to appreciate your eagerness and efficacy to collect / arrange information from multiple stake holders. You have put forth exceptional efforts during the last quarter on multiple pending finance issues. Resulting as, our count of long pending issue being continuously &amp; sharply decline for south region.\nI would specifically mention the long pending full and final settlement cases that count was maximum at south region however your steady effort along with other circle team helps to bring down these number sizably.\n\nI appreciate your speed, data collection and collaboration skills.</t>
  </si>
  <si>
    <t>Gaurav planned a seamless Townhall exercise for the North region involving multiple teams. While there were challenges in venue selection owing to the timing \u2013 he was able to quickly identify and finalize this with help from Chanmeet &amp; Atul. His detailing led to ensuring a seamless experience for the larger team.\u00A0</t>
  </si>
  <si>
    <t>Working with Nandeetha on Netflix Partnership has been great!\nShe always has great ideas, plans well and is collaborative. She constantly finds opportunities to upsell and push the limits.\nShe is open to experiments and together we have managed newer formats of leveraging content to overall increase uptakes. From data, to collaboration, she is a supportive and understanding colleague who I enjoy working with!\n</t>
  </si>
  <si>
    <t xml:space="preserve">I would like to appreciate your continuous &amp; sincere efforts for closure of old pending F&amp;F partners. You took ownership and ensured necessary collaboration with all the stack holders (SCM / Legal / FIN) and take lead for closure of such accounts. This helped organization to clear years long pending cases including receivable or change their status as payable. \n\nI appreciate all your steady efforts and dedication. </t>
  </si>
  <si>
    <t>In May\u201924, we embarked on an ambitious initiative aimed at re-activating &amp; ringfencing customers from the deep deactive bucket during the high opportunity season. We targeted 5 million subscribers from deep deactive bucket with active days less than 240 in the past 12 months. \nCross functional teams were involved in planning, developing infrastructure, hiring &amp; training of close to over 3000 resources, with outcome of more than 110K subs subscribers by the end of this activity, coming back with long term commitment (6/12 month). Surya played a very crucial role in streamlining the execution for implementing of Mega Winback initiative. Surya took the ownership right from beginning &amp; ensured that the execution of defined strategy happens across 12 locations &amp; 16 Centre's Pan India. Surya\u2019s contribution has been instrumental in the success and has demonstrated collaboration &amp; Speed throughout this initiative. His meticulous attention to detail has been commendable.</t>
  </si>
  <si>
    <t>Waseem has been very supportive when it comes to capturing and working on new requirements.\nUnder R57, he has worked on more than 10 requirements including a few critical ones - SR scheduler, SR closeloop SMS, Core group desk creation, Open order auto cancellation, Account reactivation RPA.\nThese initiatives are certainly going to reduce the cost to serve.\nThanks, Waseem.</t>
  </si>
  <si>
    <t xml:space="preserve">Appreciate Saptha's help on multiple projects wherever we needed data related support.\nHis prompt support on Repeat caller management process has been very helpful for us in managing the repeat.\nDaily repeat report, screen grab at the time of uploading the files, blocking the chronic callers on D+1 basis --- these activities have been helpful for the process.\n\nHe is also approachable and understands the criticality. \nThanks, Saptha for all the help. </t>
  </si>
  <si>
    <t>Lenin has been a Saviour for us whenever any urgent data or insight is required. Recent few projects like In-home, Care1k, Technical theme dashboards - these had multiple changes as per the leadership's ask; however, Lenin was able to accommodate these changes and deliver it.\n\nAlso appreciate his insight on Inhome process which will help in reducing the cost once implemented.\n\nThank you, Lenin.</t>
  </si>
  <si>
    <t>Brajesh has taken full ownership of TBExG (Cyber Security Assessment) to coordinate with all stakeholders, vendors to respond to Technology in Scope Controls and delivered evidence.</t>
  </si>
  <si>
    <t>Sirmad has been a team player and has put constant efforts to improve the processes between CO&lt;&gt;FS teams. His solution-oriented approach and close coordination with CO/BE team is helping us out in improving various processes like In-home, ETA/IMA Grid, WO closure quality.\nHe takes ownership and arranges prompt support in need of hour - one recent example - when leadership decided to turn of the In-home call routing option in the late night, which Sirmad took as an opportunity and coordinated with the IT team to make it happen.\n\nAppreciate his dedication and support, thanks</t>
  </si>
  <si>
    <t xml:space="preserve"> I would like to express my deep appreciation for Prasad's exceptional work on the Sony de-packaging activity. Despite its complexity and time-consuming nature, Prasad's outstanding coding expertise transformed a task that would have taken us hours into one completed in mere minutes. Additionally, he developed the channel-based blocking functionality in just half a day, addressing a high-priority need. His swift and effective solution was crucial in enabling us to block Sony channels on TPMA. Prasad's remarkable skills and dedication have been invaluable to our team.</t>
  </si>
  <si>
    <t>Yasar Ali Khan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</si>
  <si>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Prabha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</si>
  <si>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Itishree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</si>
  <si>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Sajid we are proud to have you as a part of the TATA 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</si>
  <si>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Vidya we are proud to have you as a part of the TATAPLAY family as you have contributed to our success in making the customers smile. You have helped us achieve the level of customer experience we would like to provide on each interaction.\nThis is a token of appreciation for the good job done for the contest "Making Customer Smile".\nLooking forward to having many more such smiles on our way towards every milestone.</t>
  </si>
  <si>
    <t>Umashree we are proud to have you as a part of the TATAPLAY family as you have contributed to our success in making the customers smile. You have helped us achieve the level of customer experience we would like to provide on each call.\nThis is a token of appreciation for the good job done for the contest "Making Customer Smile".\nLooking forward to having many more such smiles on our way towards every milestone</t>
  </si>
  <si>
    <t>Mary Violet we are proud to have you as a part of the TATAPLAY family as you have contributed to our success in making the customers smile. You have helped us achieve the level of customer experience we would like to provide on each call.\nThis is a token of appreciation for the good job done for the contest "Making Customer Smile".\nLooking forward to having many more such smiles on our way towards every milestone</t>
  </si>
  <si>
    <t>We are proud to have you as a part of the TATAPLAY family as you have contributed to our success in making the customers smile. You have helped us achieve the level of customer experience we would like to provide on each interaction. This is a token of appreciation for the good job done for the contest "Making Customer Smile". Looking forward to having many more such smiles on our way towards every milestone.</t>
  </si>
  <si>
    <t>Arpajit has taken full ownership of EAI 2 Gateway Implementation project. he has co-ordinated well with partner team and helped the project to take a shape and get it deployed on PROD with good speed.</t>
  </si>
  <si>
    <t>I would like to appreciate Ashutosh for his outstanding work in closing the M-sales UAT of Sony RIO related PCFs as well as Campaign CRs. Also, Ashutosh has helped us doing the sanity check in the midnight so that there is no miss in the market in daytime. His dedication is evident in his willingness to stretch his working hours. This commitment to excellence is truly commendable.</t>
  </si>
  <si>
    <t xml:space="preserve">I would like to take this opportunity to thank you and appreciate your commitment to clean up the market Defective inventory, which has resulted in achieving the KPI (DSO) at 12 days in Bihar after a year time.  The joint effort was instrumental in achieving this objective.  </t>
  </si>
  <si>
    <t>For de-cluttering and reorganizing services on Video wall at MCR which will help in prompt confirmation of simulcast and geo-based tagging events and will also be affective in identifying spare ports for additional services.</t>
  </si>
  <si>
    <t xml:space="preserve">Escalation RCA Form is Good Initiative taken by Yogesh Sharma , It will be helpful to  find out  the correct reason of Escalation and Work on </t>
  </si>
  <si>
    <t>I would like to extend my heartfelt appreciation to Aftab for his outstanding work in closing the highly critical and significant Sony RIO-related campaign &amp; What's App CRs within the allotted timeline. His dedication is evident in his willingness to stretch his working hours to ensure the CRs were signed off promptly. This commitment to excellence is truly commendable.</t>
  </si>
  <si>
    <t>I would like to extend my heartfelt appreciation to Rabindra for his outstanding work in closing the highly critical and significant Sony RIO change-related PCFs within the allotted timeline, and impressively, ahead of schedule. His exceptional resilience and dedication were evident as he successfully closed 64 LDP packs with remarkable timeliness.</t>
  </si>
  <si>
    <t>I would like to appreciate Ashish for his continues support and follow-up for helping me in closing the old Pending F&amp;F of E4. \n\nkeep up the good work.</t>
  </si>
  <si>
    <t>Truly appreciate Sasi for his dedication in resolving critical CleverTap profile De-merge issue and very well collaborated with Partners ie; ValueLabs and TCS implementing Webhook integration and User level properties. Amazing Job. Keep it up.</t>
  </si>
  <si>
    <t>Appreciate Jana for ensuing BI data delivery during weekends by way of collaborating with all resources to help in Sony price update deployments. Excellent job.</t>
  </si>
  <si>
    <t xml:space="preserve">Bhupendra is always happy to help, be it sales, marketing or any division. He always spares time to resolve queries of everyone at any time, he is even available in late night or early morning. He is always in reach with not only the team but our distributors as well. Today Bhupendra helped us to get 3 New CEISP onboard that too on last day of the month.  Thank you Bhupendra for being a one stop solution for all of us. \nBest Regards, </t>
  </si>
  <si>
    <t xml:space="preserve">Hi Vikas, I wanted to take a moment to express my sincere gratitude for your collaboration to drive business in vacant territory (Bhavnagar) in sales function as well. Your expertise and willingness to work and help our Sales Partner in any circumstances are really appreciable. \nYour dedication, insights and proactive approach were invaluable, and I genuinely appreciate all the efforts you put in to ensure we achieved our goals.\nThank you once again for your efforts and commitment.  </t>
  </si>
  <si>
    <t>Mitalee was responsible for developing the UI/UX for the recharge page in the new product launch of Flexi-APV. Initially, the project aimed to create a single journey for the offer; however, the design approved by the business differed from the existing UI/UX. She proactively updated the UI/UX for all three currently active offers to align with the new design approved by the UI/UX team. Although further modifications could have delayed the launch, she successfully prepared the new screens just in time of the launch. We extend our gratitude to Mitalee for going beyond the brief and ensuring a consistent customer experience across all touchpoints.</t>
  </si>
  <si>
    <t>Dharmendra did a fantastic job in creating New Ols in Cable dominated markets.He planned clusterwise working with his team and ensure that they expand the infra at right place.As a Result he is most consistent in achieving results in aquisition and infra and getting better MOM.\nHe also Collobrated well with FSD and ensures a Good word of mouth in his Territory for the Brand.\nGood Show Dharmendra in Expansion and Chasing Results.</t>
  </si>
  <si>
    <t>Manju is extremely efficient and prompt. Many friends and family reach out to me for support wrt their Tata Play connection and when redirected to Manju, he ensures Tata Play provided prompt and correct support to them and I keep receiving positive feedback from everyone. This kind of service is what differentiates us in the market and makes us the leaders!</t>
  </si>
  <si>
    <t xml:space="preserve">Excellent support Yogesh on RA front. Your regular interactions, follow ups &amp; guidance helped field for faster closure of RA cases and drastic reduction in hard closure. </t>
  </si>
  <si>
    <t xml:space="preserve">Radha Krishna Jha has been always a great support. He always helped me in various trade marketing stuff throughout my time at Tata Play. </t>
  </si>
  <si>
    <t xml:space="preserve">Manoj \nI Appreciate your Prompt Reply about every work requirement for us \n&amp; also your Innovative creatives helps US for driving the business \nThanks for Support </t>
  </si>
  <si>
    <t>This SPOT is to recognize the incredible work done by Sneha during the recent eventful months for TPMA. Her exceptional speed of execution ensured we had the most content viewing engagement. Sneha drove significant content viewing engagement with timely and relevant notifications, actively participating in strategic decisions on what to promote. Her efficiency in managing asset consumption costs, especially by minimizing rework for GEC promotions, has been invaluable. Thank you, and let's keep this momentum going for even greater success ahead. \uD83C\uDF89</t>
  </si>
  <si>
    <t xml:space="preserve">Hi Bhagaval Das, thanks for your extended efforts and ownership while driving the Making customer smile contest for the IB partners. You have coordinated with all partners end to end and ensured continuous improvement in our ranking, and also coverage% of the contest.\n\nwith your help, we were able to successfully close the contest at 3rd rank out of 50+ Tata group companies with 10K+ stories this year.\n\nOur next target is to have a winning story in the next contest duration; let's gear up for the same!\nAgain, appreciation all the hard work you have put in. Thank you. </t>
  </si>
  <si>
    <t xml:space="preserve">Hi Shashi, thanks for your extended efforts and ownership while driving the Making customer smile contest for the IB partners. You have coordinated with all partners end to end and ensured continuous improvement in our ranking, and also coverage% of the contest.\n\nwith your help, we were able to successfully close the contest at 3rd rank out of 50+ Tata group companies with 10K+ stories this year.\n\nOur next target is to have a winning story in the next contest duration; let's gear up for the same!\nAgain, appreciation all the hard work you have put in. Thank you. </t>
  </si>
  <si>
    <t xml:space="preserve">Hi Ahmed, thanks for your extended efforts and ownership while driving the Making customer smile contest for the IB partners. You have coordinated with all partners end to end and ensured continuous improvement in our ranking, and also coverage% of the contest.\n\nwith your help, we were able to successfully close the contest at 3rd rank out of 50+ Tata group companies with 10K+ stories this year.\n\nOur next target is to have a winning story in the next contest duration; let's gear up for the same!\nAgain, appreciation all the hard work you have put in. Thank you. </t>
  </si>
  <si>
    <t xml:space="preserve">Hi Deepjyoti, thanks for your extended efforts and ownership while driving the Making customer smile contest for the IB partners. You have coordinated with all partners end to end and ensured continuous improvement in our ranking, and also coverage% of the contest.\n\nwith your help, we were able to successfully close the contest at 3rd rank out of 50+ Tata group companies with 10K+ stories this year.\n\nOur next target is to have a winning story in the next contest duration; let's gear up for the same!\nAgain, appreciation all the hard work you have put in. Thank you. </t>
  </si>
  <si>
    <t>My SSO id was locked. Satish reactivated it in 1 day. Thank you !</t>
  </si>
  <si>
    <t xml:space="preserve">Rabiya has been instrumental in helping us leverage segmentation capabilities for TPMA. As a result, segmented CTR% on app has drastically improved. Almost all assets on app are segmented. She was instrumental in helping execute around 30 segments for APV launch. She helped us identify sharper segments for linear upselling which has contributed to pack add revenue increment. </t>
  </si>
  <si>
    <t xml:space="preserve">As part of a major packaging change activity, scheduled to go live on 1st Aug'24, subscriber marketing team configured 64 new LDP packs (acquisition, winback and renewal). Harsh is the SPOC from RA for checking if all the inputs (whether for pack itself, or of the broadcaster packs/channels being used in it) are correct. Harsh has been vigilant and collaborative to seek out clarifications on any discrepancy and has got some corrections made where required, before the packs move into IT configurations. Thank you for your support, Harsh! </t>
  </si>
  <si>
    <t xml:space="preserve">As part of a major packaging change activity, scheduled to go live on 1st Aug'24, we were supposed to configure 64 new LDP packs (acquisition, renewal and winback). Mayur is the point-man from GTM team for the activity, and he not only actively collaborated with Subscriber Marketing, RA and IT teams to meet timelines, but also took ownership of the activity by highlighting missing inputs in the packs, before they moved up to IT and UAT teams. Thank you for your proactive and consistent support, Mayur! </t>
  </si>
  <si>
    <t>This SPOT is to recognize the collaboration shown by Nandeetha to improve Netflix Gross Adds extraction. In an otherwise dull 2 months (Jun - Jul'24) with no notable releases on Netflix, Nandeetha displayed exceptional speed by quickly helping us execute on multiple first time digital experiments. These include intent based retargeting, behavior based micro-segmentation (eg. users watching Kids content, Dubbed Hollywood movies, dubbed South Movies, Anime content) and pitching content on the app as per their preference. Outcomes - We expect to close Jul'24 with one of the highest Netflix Gross Adds on TPMA when all other channels have faced challenges!</t>
  </si>
  <si>
    <t>Dadakhalandar has played an instrumental role in testing 149/199 Tick-Tick/Zero Apps plan. His understanding of business flow is tremendous, he not only ensured no major bugs are left while doing end-to-end integration testing but has also ensured customer experience is enhanced with the new packs and zero apps feature with 149/199 plan giving flexibility to the customer to choose their own preferred partner OTT apps.\nThe commitment you show towards our goals is truly admirable. I truly appreciate your unwavering support and dedication.\nKeep progressing and keep up the great work Sayyad!</t>
  </si>
  <si>
    <t>Mayank has done exemplary job of end-to-end testing of 149/199 Tick-Tick plan and Zero Apps pack for Binge Plus on both UAT and production environment. This was a major change on Binge Plus platform giving flexibility to the customer of choosing their preferred OTT partner Apps with 149 and 199 monthly plans. Testing zero apps 149/199 plan was not an easy task as multiple cross-functional teams like Manage Apps, TTN, Binge, IT backend etc. were involved and Mayank took the ownership and coordinated with all these support teams and ensured all the blocker issues are fixed before final deployment on production for all the Binge Plus customers.\nHis willingness to take on new challenges is commendable. Mayank you\u2019ve become an indispensable asset to our team. Great job, keep up the excellent work!</t>
  </si>
  <si>
    <t>In the context of the Women's Asia Cup 2024, India vs Pakistan, we had challenges concerning creative assets with the broadcaster. However, Ajay emerged as an exceptional source of support and assistance. His collaboration was marked by a remarkable enthusiasm, and he adeptly resolved the issues at hand, leveraging his extensive experience. Ajay's tactful approach in addressing the situation with the broadcaster facilitated a swift resolution, enabling us to secure the creative assets from the partner within a mere 30 minutes. I would like to extend my heartfelt gratitude to Ajay for his invaluable contributions. Kudos to you B.\n\n\n\n\n\nContinue writing\n\n</t>
  </si>
  <si>
    <t xml:space="preserve">Sasi has been relentless in helping us solve issues on Clever tap. He is quick to find solution to any problems we provide. After he has taken the hold of CT, the extraction of data and simultaneously the running of campaigns has been very efficient. He is very hardworking, is a great initiative taker, delivers solutions in the timeframe and is very thorough with his work. Wishing him best in fixing the CT issues completely! </t>
  </si>
  <si>
    <t>Mohan has been extremely helpful in helping us deliver great numbers on OSD slate for Binge. He is always very meticulous and delivers results with a lot of speed and efficiency. Really grateful for his quick turn-around even on weekend to deliver key titles promotions on various OSDs for Binge, this also led to one of the highest missed call numbers we have seen on any Binge OSD. He is one of the few people I have worked with who take initiatives on their own and helps in driving the business! Onwards and Upwards!</t>
  </si>
  <si>
    <t xml:space="preserve">Thank you Premsagar, for the quick turnaround in replacing the promos of Binge+ upgrade by revising the schedules of all the geographical segments of Ch100, despite getting the request late in the evening, to avoid miscommunication to customers. </t>
  </si>
  <si>
    <t xml:space="preserve">Ashma helped in analysing and classifying a huge list of payment error codes across various payment partners because of which we can now give personalized error messages and proper guidance to the subscribers on next steps when their payment fails. </t>
  </si>
  <si>
    <t>Your meticulous attention to detail and quality of work have contributed to the success of our project deliveries, like Binge Delinking, Amazon Prime Integration, Pause and Resume, 149 and 199 Packs. Your ability to understand the flows and identify issues and provide insightful feedback is invaluable. Thank you for your hard work and commitment</t>
  </si>
  <si>
    <t>Manoj Jadhav - Good Job Done Aryan, by implementing tactical schemes for DSR and Customers. It is really impacted on business and get good mileage out of it. It shows team engagement is very necessary. Keep it up.</t>
  </si>
  <si>
    <t>Pratiksha Mainkar - Thank you for your support in stay &amp; conveyance of all campus recruits. We had a seamless onboarding experience!!</t>
  </si>
  <si>
    <t>Pratiksha Mainkar - Thank you for the smooth experience for new joinee's in Delhi office and support extended in on ground logistics.</t>
  </si>
  <si>
    <t>Gurpreet Singh - Thank you Waseem for the quick revert and availability.</t>
  </si>
  <si>
    <t>Pracheer Pranay - Lalit played a crucial and a critical role to help revise offer letters on system internally for campus hires. He showed great vendor management skills and was able to successfully deliver within the timeline. Hence, kudos to him for showcasing CEOs behavior! :)</t>
  </si>
  <si>
    <t>Satish Kumar K P - I am very much happy with the accountability taken by Vaibhav in providing the CA status of the VC numbers provided with quick response, which helped us to run our dispatch activity smoother. once again, I thank to Vaibhav for supporting on time and we expect the same support throughout the journey.</t>
  </si>
  <si>
    <t>Chinmoy Talukdar - Thank you so much for the quick resolution at the premium property of May Fair and solving their long standing grievance and issues.</t>
  </si>
  <si>
    <t xml:space="preserve">   Amit Trivedi &amp; Pratiksha Mainkar - I express my sincere gratitude to Anshul &amp; team, for Implementing the new EV transportation cab facility, new cabs are environment friendly, more comfortable, safe, and reliable. which has made a significant difference in shift person's commute. Thanks again for your commitment to improving the employee experience.\nThank you for the logistics support for campus recruits in Delhi!</t>
  </si>
  <si>
    <t>Vaibhav did great job and helping in creating crucial  audit document.\u00A0Each team member brings a unique set of skills and perspectives; together, we are an unstoppable force. Thank you for showcasing the power of diversity and collaboration. Your positive attitudes and optimism have been contagious, making even the most challenging tasks manageable. Thank you for bringing a ray of sunshine to the workplace every day.</t>
  </si>
  <si>
    <t xml:space="preserve">Appreciating Sachin your efforts in deployment of IVY HD Formal build on Live platform as this has been a limited duration project with challenges (new MediaTek chipset 5711 &amp; low-cost STB)  to validate E2E functionality of IVY STB. You identified many blocker bugs on loader testing like loader SATCR issue, loader voltage issues, SWDL issue etc, however same loader were passed by Synamedia and many issues (60 bugs) on MRS like skip channel, front end issue etc , same have been fixed before launched the product in market. As we are Committed in bringing a Valuable and error free product to the Tata play portfolio. Keep it up Sachin, your contributions are greatly appreciated. </t>
  </si>
  <si>
    <t xml:space="preserve">Ravinder has been instrumental in delivering key data points for OCS (Slot Management System). This data helped in analysis of OCS Functionality (KPI) working. </t>
  </si>
  <si>
    <t>Thank You Mr.Srinivas for your support to make a auto format for QR code capture report,I use to make 8 pivots manually prepare the report,which takes me nearly one hour,with this format,i can able to prepare the report in 5 to 10 mnts maximum,</t>
  </si>
  <si>
    <t xml:space="preserve">The Award is for Sohail's Continuity to Drive New Dealer and TSK Dealer Active Target more than 100% Month on Month...Congratulations buddy Keep Shining! </t>
  </si>
  <si>
    <t>Mayank Strong Comeback on Big Day Performance and hitting Winning Hat Trick in the month of June. Congratulations Mayank Keep it Up!</t>
  </si>
  <si>
    <t>for Having 100% total 13 CESIP Active 5+ with 6 CEISPs doing 25+ Activation in the month of June 2024</t>
  </si>
  <si>
    <t xml:space="preserve">The Award is for Sagar's Continuity to Drive New Dealer and TSK Dealer Active Target more than 100% Month on Month...Congratulations buddy Keep Shining! </t>
  </si>
  <si>
    <t xml:space="preserve">The Award is for Akram's Continuity to Drive New Dealer and TSK Dealer Active Target more than 100% Month on Month...Congratulations buddy Keep Shining! </t>
  </si>
  <si>
    <t xml:space="preserve">The Award is for Vijay's Continuity to Drive New Dealer and TSK Dealer Active Target more than 100% Month on Month...Congratulations buddy Keep Shining! </t>
  </si>
  <si>
    <t xml:space="preserve">The Award is for Shriram's Continuity to Drive New Dealer and TSK Dealer Active Target more than 100% Month on Month...Congratulations buddy Keep Shining! </t>
  </si>
  <si>
    <t xml:space="preserve">The Award is for Deepak's Continuity to Drive New Dealer and TSK Dealer Active Target more than 100% Month on Month...Congratulations buddy Keep Shining! </t>
  </si>
  <si>
    <t>Shubham, this is to recognise the excellent work you have done on the AMS panel migration and maintenance</t>
  </si>
  <si>
    <t>Neha, this is to recognise the excellent work you have done on AMS.</t>
  </si>
  <si>
    <t>Dear Rabindra,\n I wanted to extend my heartfelt appreciation for the outstanding work you have done in closing the UAT for all 34 packs (LDP, Renewal, and Monthly). Your dedication and effort have truly been exceptional.\n You have gone above and beyond to achieve our organizational goal of delivering the packs within the set timelines. Your hard work, meticulous attention to detail, and commitment to excellence have not only ensured the project's success but have also set a new benchmark for the team.\n Thank you for your remarkable contributions. Your efforts are highly valued and have made a significant impact.</t>
  </si>
  <si>
    <t xml:space="preserve">Mahesh has been instrumental in helping the team wherever its required. he has always shown the positive side and given inputs in various UAT CRs. thank you so much for all the good work you are doing it.  </t>
  </si>
  <si>
    <t xml:space="preserve">Deeptha you have been extremely helpful by supporting the team for Social CRM UAT / Prod Testing since its launch. you have been instrumental from giving the walkthrough of the CR, aligning the partners, Testcases review, Defect discussion and till the sign off. Thanks for all the extended support and the dedication you have shown towards the social CRM project.  </t>
  </si>
  <si>
    <t xml:space="preserve">Dear Sameer Sir,\n Great Support received from you to resolve the customer issue. I appreciated your support. Thank you So much. </t>
  </si>
  <si>
    <t xml:space="preserve">Chandan is having very good knowledge regarding competition data. Always give speedy and accurate information regarding the competitor updates. Thanks for your support to trade Marketing team. </t>
  </si>
  <si>
    <t xml:space="preserve">Vijay is having very creative mind and always support trade Marketing team by giving unique themes for big days. having good leadership qualities and good hand on data. Thanks for your help at all the time. </t>
  </si>
  <si>
    <t xml:space="preserve">Samad Is working Very hard on the TSRA Field as well as Dealer Network. Samad had help out to clear the old ODU Stock lying with the TSRA. He also Help Out the Implement the Tata play Binge App Importance across the TSRA Network. By result of which we are able to install the Demo Binge Mobile pack at the Ratnagiri area. i am Expecting Such continued Support Towards the Company Goal by Working Together. </t>
  </si>
  <si>
    <t>I take this opportunity to highlight that the Rajesh is good team player and always ready to help everyone. Taken ownership of given task and completed in time. Thanks for your support in collecting and analysing west region data.</t>
  </si>
  <si>
    <t>Hi Gurvinder, Thanks for your support on Isilon H700 storage configuration setup help on time.\nBecause of your timely support and list that you have prepared were time saver on the switch over activity. Kudos!</t>
  </si>
  <si>
    <t>Deep is always going an extra mile for configuring the Whatsapp campaigns and activating the flows on Whatsapp. There are many instances when Deep has helped team members with quick turnaround time for the Whatsapp flows improving the user journeys.</t>
  </si>
  <si>
    <t xml:space="preserve">Gulnas did 800 + connection in Bhusan Power Steel Jhasuguda. Great Collaboration and ownership to complete the same as per committed timelines. </t>
  </si>
  <si>
    <t>We wanted to express sincere appreciation for Kaustubh's invaluable contribution for the successful launch of Tata Play Anime Local. \nHis knowledge, dedication, hard work and quick TAT played a key role in successful launch of this new service.\n</t>
  </si>
  <si>
    <t>As part of Project Profitability, a major initiative to improve profitability of customers being acquired, we were required to replace or close all LDP acquisition packs with payback &gt; 7 years. Sheeja, along with Mayur, from GTM team led the configuration of the 23 new packs (with higher price) and closure of the older packs (with lower price), took complete ownership of the process and helped launch these products within a week of the request being raised. Thanks for your quick support, Sheeja!</t>
  </si>
  <si>
    <t>As part of Project Profitability, a major initiative to improve profitability of customers being acquired, we were required to replace or close all LDP acquisition packs with payback &gt; 7 years. Mayur, along with Sheeja, from GTM team led the configuration of the 23 new packs (with higher price) and closure of the older packs (with lower price), took complete ownership of the process and helped launch these products within a week of the request being raised. Thanks for your quick support, Mayur!</t>
  </si>
  <si>
    <t>I am glad to take a moment and appreciate Rabiya's efforts in driving Binge via TPMA. In the month of May and June, around Prime launch we have done several experiments to drive Binge via TPMA channel. Many new segments were created across assets, and it meant a lot more complexity at ops and scheduling end. Rabiya's commitment towards her work and end to end ownership is commendable She is always willing to help! We saw really good growth in Binge gross adds from TPMA in May and June and with all such efforts, rigor and experimentation, we did ever highest gross adds on Binge from TPMA channel in June'24</t>
  </si>
  <si>
    <t xml:space="preserve">Pranshul has recently assumed the responsibility of driving Binge on TPMA. Wanted to take a moment to recognize and appreciate his efforts and commitment towards driving Binge via TPMA channel through various interventions like slotting for Binge assets on TPMA along with other LOBs, ensuring that there is a balance maintained with other teams, scheduling push and in app campaigns with full rigor.  With all these efforts and dedication, we were able to achieve ever highest gross adds from TPMA on Binge in June'24. Wishing him all the very best for a great run on driving OTT via TPMA </t>
  </si>
  <si>
    <t>I wish to extend my sincere appreciation to Neha for her remarkable efficiency in providing the Terms and Conditions (TnCs) on our website amidst the World Cup Binge contest on Hotstar. Despite her unwellness, she managed to ensure their completion within the designated timeframe. Within a mere half-hour, the TnCs were successfully displayed on our website, allowing us to proceed with the contest. Thank you, Neha, for your prompt response and dedication to this task.</t>
  </si>
  <si>
    <t>HI Vivek we are so happy with you always, because you handled our Repair centers RF Signal network new set up installation /Other repair centers old\u00A0RF Singal network maintenance both activity related challenges and assisted to us very effective way of collaborations and resolving the issue at hand was commendable. Without you, we couldn't complete or run our centers effectively Signal network on time. Our team is always grateful for your support. all the best and congratulation for great job.</t>
  </si>
  <si>
    <t>Appreciating Manender for deployment of Nysa HD Formal build on Live platform as this is new MediaTek chipset 5711 &amp; low-cost STB for us and faced lot of challenges to validate E2E functionality of Nysa STB. You focused on identifying the basic types of test requirement. As resulted, identified many critical bugs (approx. 80 blocker bugs) like satellite migration issue, loader voltage issues, SWDL issues etc. timely same have been fixed before launched the product in market. As we are Committed in bringing a Valuable and error free product to the Tata play portfolio. Good Manender keep it up.\u00A0</t>
  </si>
  <si>
    <t>Thanks Prakash for partnering with Ashish and for the support extended in creating a 4year story line on the overall financials and cost. This presentation outlined the specific actionable to be taken this year towards ensuring better EBITDA. The slides were self explanatory with details for each of the cost lines. Your expertise in creating an understanding of financial trend and requesting further data points to cross check the same was quite helpful. Well done</t>
  </si>
  <si>
    <t>Thanks Gaurav for partnering with Ashish and for the support extended in creating a 4year story line on the overall financials and cost and drawing insights into specific actionable to be taken this year towards ensuring better EBITDA. The slides were self explanatory with details for each of the cost lines .Well done. The pace with which you could plot the expectations on the presentation was quite appreciative. We could complete this activity due to your POWER BI skill along with deep understanding of financial trends.</t>
  </si>
  <si>
    <t xml:space="preserve">Thanks Ashish for creating a 4year story line on the overall financials and cost and drawing insights into specific actionable to be taken this year towards ensuring better EBITDA. The slides were self explanatory with details for each of the cost lines thereby reducing the effort involvedin explaining each comment / figs on the presentation. Well done. </t>
  </si>
  <si>
    <t>Thank you Nagesh. During Elections, you helped in showcasing the banners to proper segments. You find out the areas of scope and work out on the misses. One late evening we also needed Bigg Boss (All languages) Creatives and promos urgently, without wasting any time you were upfront and shared the assets and supported us.  I would like to thank you once again Nagesh for your continuous efforts.</t>
  </si>
  <si>
    <t>I would like to thank and appreciate Akshaya for supporting us quickly in Partner Collaboration during Mother's Day. Within 3 days Akshaya managed to get the posts ready by the agency. Thank you once again Akshaya for overcoming all the roadblocks and making this happen.</t>
  </si>
  <si>
    <t>I express my sincere gratitude to Anshul &amp; team, for Implementing the new EV transportation cab facility, new cabs are environment friendly, more comfortable, safe, and reliable. which has made a significant difference in shift person's commute.\nthanks again for your commitment to improving the employee experience.</t>
  </si>
  <si>
    <t>Thank you so much for the quick resolution at the premium property of May Fair and solving their long standing grievance and issues</t>
  </si>
  <si>
    <t>I am very much happy with the accountability taken by Vaibhav in providing the CA status of the VC numbers provided with quick response, which helped us to run our dispatch activity smoother. once again, I thank to Vaibhav for supporting on time and we expect the same support throughout the journey.</t>
  </si>
  <si>
    <t>Lalit played a crucial and a critical role to help revise offer letters on system internally for campus hires. He showed great vendor management skills and was able to successfully deliver within the timeline. Hence, kudos to him for showcasing CEOs behavior! :)</t>
  </si>
  <si>
    <t xml:space="preserve">Thank you Waseem for the quick revert and availability </t>
  </si>
  <si>
    <t>Dear Suraj, the efforts you put in to test ATV Binge+ app is highly commendable. Because of your efforts only we could identify a major bug in the TV app where reverse EPG for 5 days were not loading in the Binge Plus STB. This finding not only helped us in fixing the issue on time and meeting business timelines to release tick-tick feature on Binge Plus but also gave us a learning that a small issue can multiply manifolds and can hamper experience of our valued customers. If we would have missed this bug, I'm sure multiple complaints from the newly acquired Binge Plus customers would have landed on the call centers which definitely would have impacted our brand values. Never before have I seen an employee so dedicated, hard-working, and yet still tenacious at the same time. You\u2019re an inspiration to all of us. Kudos!</t>
  </si>
  <si>
    <t>Ratan Kumar Vishwakarma - Priya has done commendable job in doing end-to-end testing of the new partner app Discovery+ on Binge Plus platform. Priya took full ownership of the quality analysis and contributed to the bug-free roll-out of the new partner app. She was responsible for the co-ordination and collaboration with various QA/UAT teams at all internal and external levels. Happy to see our Binge family growing with your hard work. Keep progressing and keep up the great work!</t>
  </si>
  <si>
    <t>Rochelle R Rajguru - I would like to thank you, Aparna, for finding a solution to carry out the contests with terms and conditions in compliance with the Digital Privacy Rights protocols. Your idea enabled us to conduct the contest in a timely manner within the stipulated time frame.</t>
  </si>
  <si>
    <t>Paurav S Choubal - Great work done on stepping up and taking ownership for the Binge FY 24-25 strategy deck from the business side.</t>
  </si>
  <si>
    <t>Chandan Kumar Sharma &amp; Geetesh Fulari - Abdul has done a commendable job on CEISP appointment &amp; even he is working closely with each and every teammates an help them to achieve 100% of New CEISP appointment target.\nAbdul has done remarkable Job by Taking Extra Efforts getting CEISP Circle which helped Circle and each team member achieve 100% of new CEISP target.</t>
  </si>
  <si>
    <t>Chandan Kumar Sharma - I would like to thank you, Manoj for supporting us by giving creative &amp; innovative ideas &amp; whenever there is a festival/ IPL season, you always provide us attractive pamphlets\\u00A0&amp; digital creatives that contain relevant information/Offers which really help us to get additional business.</t>
  </si>
  <si>
    <t>Manoj Jadhav - I would like to thank Sachin for his dedication and taking ownership of every activity driven by trade Marketing team and supporting on ground. Keep up doing good work and expecting same support in future.</t>
  </si>
  <si>
    <t>Anamika Chaudhuri - Great effort Rabi in clearing long pending payout and material issue of 2 TSRA's of Midnapore.</t>
  </si>
  <si>
    <t>Pratiksha Mainkar - Thanks for helping close critical logistics for campus Induction Programme.</t>
  </si>
  <si>
    <t>Sushant Awasthi - The RCU Key press test jig screw got broken with thread part stuck inside the jig thus making it difficult to open and adjust the RCU position for testing on different keys position. Rajendra took ownership to help us in getting this jig operational and repaired the same. He had gone an extra mile and visited local markets to get the specific head type screw required which was not easily available. Your efforts are really appreciable.</t>
  </si>
  <si>
    <t>Priya Jain - Abhishek has shown exceptional ownership skills in multiple joint projects. He has worked on implementing Churn Persona calling desk, CDCB rule changes, Package related Briefings impacting repeat and SR Automation projects. He has been instrumental in execution of multiple projects by collaborating with multiple cross functional stakeholders. Thank You for your contributions.</t>
  </si>
  <si>
    <t xml:space="preserve">Premsagar Gariganti - I wanted to extend my heartfelt appreciation for your invaluable assistance in streamlining our data compilation process using Microsoft Excel automation. As you may know, merging data from 30-40 Excel files into a single file was a daily activity that consumed 40-50 minutes of my time. However, thanks to your proactive approach and expertise in Microsoft Excel, this time-consuming task has been drastically reduced. After a casual conversation with Ankita, she proactively introduced me to the Microsoft Excel Power Query option. This powerful feature allows us to effortlessly merge data from multiple files into a single file within a matter of 3-4 minutes. The efficiency gains achieved through this method are truly remarkable and have significantly improved our daily workflow. Ankita's willingness to share her knowledge and introduce innovative solutions has not only saved us valuable time but has also enhanced our productivity and effectiveness. </t>
  </si>
  <si>
    <t>Binu K. James - I am writing to express my sincere appreciation for the outstanding support that Nikhil has provided for the bmail troubleshooting activity. His dedication and willingness to assist even beyond our regular working hours have been truly commendable. Keep up the great work, Nikhil !!</t>
  </si>
  <si>
    <t>Exemplary contribution for coordination for Installation of Tata Play connection in newly elected Chief minister  Mr. Mohan Maji's residence , there were ,any challenges but in spite of all the adds finally installation done very successfully..\n\nThis act has been appreciated by CEO &amp; CSSO\n\nWell done keep it up\n</t>
  </si>
  <si>
    <t xml:space="preserve">Thank you for the smooth experience for new joinees in Delhi office and support extended in on ground logistics. </t>
  </si>
  <si>
    <t xml:space="preserve">Thank you for the logistics support for campus recruits in Delhi! </t>
  </si>
  <si>
    <t xml:space="preserve">Thank you for your support in stay &amp; conveyance of all campus recruits. We had a seamless onboarding experience!! </t>
  </si>
  <si>
    <t xml:space="preserve">Mansi smoothly and efficiently led the launch of Amazon Prime on Tata Play Binge with a fairly expansive communication strategy that involved creating multiple films and statics for various channels - Ch 100, TPMA, Binge App, Emailers, and Addressable Ads on Star networks. This required coherence between multiple teams and external partners, which she managed extremely tactically, and with ownership. All this was done in her second month in the role! </t>
  </si>
  <si>
    <t>Good Job Done Aryan, by implementing tactical schemes for DSR and Customers. It is really impacted on business and get good mileage out of it. It shows team engagement is very necessary. Keep it up.</t>
  </si>
  <si>
    <t>I am writing to express my sincere appreciation for the outstanding support that Nikhil has provided for the bmail troubleshooting activity. His dedication and willingness to assist even beyond our regular working hours have been truly commendable. Keep up the great work, Nikhil !!</t>
  </si>
  <si>
    <t>Awesome Show by Vijay Pandey to appoint 55 New Dealer and 2 New CESIP in the month of May 2024.</t>
  </si>
  <si>
    <t>Awesome Show by Sagar with 50+ New Dealer and 2 CESIP appointment in the month of May 2024.</t>
  </si>
  <si>
    <t>Awesome Show by Akram with 60+ New Dealer and 2 CESIP Onboarded in the month of May 2024..</t>
  </si>
  <si>
    <t>Awesome Show again in the month of May 2024 to further Grow in TSK and APD with CEISP too, Good Going Keep Shining !</t>
  </si>
  <si>
    <t>Awesome Show by Deepak in May 2024, as taken 3 New Tahsil of Ahmednagar with Nashik District &amp; Grown further all include in APD and TSK Both.</t>
  </si>
  <si>
    <t>I wanted to extend my heartfelt appreciation for your invaluable assistance in streamlining our data compilation process using Microsoft Excel automation.\n\nAs you may know, merging data from 30-40 Excel files into a single file was a daily activity that consumed 40-50 minutes of my time. However, thanks to your proactive approach and expertise in Microsoft Excel, this time-consuming task has been drastically reduced.\n\nAfter a casual conversation with Ankita, she proactively introduced me to the Microsoft Excel Power Query option. This powerful feature allows us to effortlessly merge data from multiple files into a single file within a matter of 3-4 minutes. The efficiency gains achieved through this method are truly remarkable and have significantly improved our daily workflow.\n\nAnkita's willingness to share her knowledge and introduce innovative solutions has not only saved us valuable time but has also enhanced our productivity and effectiveness. I am truly grateful for her proactive</t>
  </si>
  <si>
    <t xml:space="preserve"> Abhishek has shown exceptional ownership skills in multiple joint projects. He has worked on implementing Churn Persona calling desk, CDCB rule changes, Package related Briefings impacting repeat and SR Automation projects. He has been instrumental in execution of multiple projects by collaborating with multiple cross functional stakeholders. Thank You for your contributions.</t>
  </si>
  <si>
    <t>The RCU Key press test jig screw got broken with thread part stuck inside the jig thus making it difficult to open and adjust the RCU position for testing on different keys position. Rajendra took ownership to help us in getting this jig operational and repaired the same. He had gone an extra mile and visited local markets to get the specific head type screw required which was not easily available. Your efforts are really appreciable.</t>
  </si>
  <si>
    <t xml:space="preserve">Thanks for helping close critical logistics for campus Induction Programme. </t>
  </si>
  <si>
    <t>Great effort Rabi in clearing long pending payout and material issue of 2 TSRA's of Midnapore</t>
  </si>
  <si>
    <t xml:space="preserve">I would like to thank Sachin for his dedication and taking ownership of every activity driven by trade Marketing team and supporting on ground. Keep up doing good work and expecting same support in future. </t>
  </si>
  <si>
    <t>I would like to thank you, Manoj for supporting us by giving creative &amp; innovative ideas &amp; whenever there is a festival/ IPL season, you always provide us attractive pamphlets\u00A0&amp; digital creatives that contain relevant information/Offers which really help us to get additional business.\n</t>
  </si>
  <si>
    <t>Abdul has done a commendable job on CEISP appointment &amp; even he is working closely with each and every teammates an help them to achieve 100% of New CEISP appointment target</t>
  </si>
  <si>
    <t>Sasi, I wanted to take a moment to thank you for the great work that you have demonstrated as part of CleverTap. \nIt is a mammoth task; complex and critical components are involved which would certainly take some time to streamline but your dedication and speed have made the difference. Good job.\nWishing you all the very best and counting on to keep same the momentum.</t>
  </si>
  <si>
    <t>Truly appreciate Jana for taking ownership and speed to streamline BI worklist and be able collaborate with business stakeholders in delivering pending pipeline of work. \nCongratulations to you on successfully clearing Power BI certification exam which is added value to the organization by way of applying gained knowledge in our tech solutions.\nWishing you all the very best.</t>
  </si>
  <si>
    <t>Sachin Joshi - Thank you, Kiran, for helping MDU switching activity for Power Load shifting.</t>
  </si>
  <si>
    <t>Pavan Kumar Garg - Amit, you have achieved 100% target in two days drive of BMP, Good Job done, keep the momentum high.</t>
  </si>
  <si>
    <t>Manish Sharma - Well Job done, in a single day MDU installation and all connection activation done. Its great Support where customer is demanding the connection on the spot installation. Keep it up.</t>
  </si>
  <si>
    <t>Manish Sharma - Great Help and support from service team for instant support for activating the connection in minimum time with multiple location.</t>
  </si>
  <si>
    <t>Pavan Kumar Garg - Pradip, You have achieved 100% target in two days drive of BMP, Good Job done, keep the momentum high.</t>
  </si>
  <si>
    <t>Sandra Machado - I reached out to Ankita for installation of new STB connection at my home. We had 2 days left for IPL cricket campaign to start hence I needed the installation to be done asap. Ankita immediately connected with the FSD team and scheduled a appointment with the technician for the installation. The installation was completed within 1 hrs.\nThanks for the quick service received from Ankita and Team.</t>
  </si>
  <si>
    <t>Bhauso D. Chandgude - Thanks, Bhupendra, for your great effort and support to create CEISP code timely.</t>
  </si>
  <si>
    <t>Mayank has done a commendable job of end-to-end integration testing for new partner app Amazon Prime Video on Binge Plus platform. He took full ownership of UAT readiness and tested end to subscription journey of Amazon Prime App on all available and new packs. He has played a pivotal role in go live of new APV App in production environment. He has exhibited anchor competencies like ownership and grow partnership which helped in meeting business timelines. We are happy to see that now Amazon Prime app is part of our Binge family and now Binge Plus customers can avail the same in the new attractive prices of 149, 199 &amp; 349 on Binge Plus along with other partner apps. Keep progressing and keep up the great work Mayank!</t>
  </si>
  <si>
    <t>Despite not being on the same team, Sayyad's collaboration and dedication have been instrumental in our success. Sayyad's proficiency in testing with us to test new features like: De-Link DTH Feature and New CRs, New Plans &amp; New OTT App integrations like: Apple TV, Amazon Prime Video, Discovery+, Distro TV, etc., particularly on the Binge+ Box platform, ensures the quality and robustness of our Binge+ Box. His ability to provide clear explanations of complex features demonstrates his commitment to excellence.\u00A0\u00A0\u00A0\n\nFurthermore, Sayyad's consistent support and availability exemplify his strong teamwork and dedication to our collective goals. Keep going and keep up the great work! Sayyad and We look forward to many more achievements together in the future.</t>
  </si>
  <si>
    <t>Has done remarkable Job by Taking Extra Efforts getting CEISP Circle which helped Circle and each team member achieve 100% of new CEISP target .</t>
  </si>
  <si>
    <t>Umer great job in getting 175 connections installed at NHPC Kishan Ganga . Remote and distant location Umer took the challenge and spent 3 days with ISP team at site to install all 175 boxes at site within record 3 days time . Speed of execution is well appreciated .</t>
  </si>
  <si>
    <t>I would like to appreciate Bhauso Sir for Ownership of appointing new CEISP Partner with Collaboration with ASMs and with me. He taken his all ASMs on VC with me those were unable to complete documentation. and able to submit 5 new partners file in a single day and also billed them TSK and EVD same day. \n\nThis SPOT is for   Ownership - Collaboration and Speed.\nThanks Bhauso Sir</t>
  </si>
  <si>
    <t>Great work done on stepping up and taking ownership for the Binge FY 24-25 strategy deck from the business side</t>
  </si>
  <si>
    <t>I would like to thank you, Aparna, for finding a solution to carry out the contests with terms and conditions in compliance with the Digital Privacy Rights protocols. Your idea enabled us to conduct the contest in a timely manner within the stipulated time frame.</t>
  </si>
  <si>
    <t>Thank you, Paurav, for quickly supporting me during the Nick contest that took place on April 28, 2024, on the Tata Play Mobile App. Your assistance in uploading the terms and conditions on the website in a short span of time was greatly appreciated. I value your consistent contribution of new ideas and innovative approaches to executing contests in a timely manner.</t>
  </si>
  <si>
    <t>Thank you Narayanan for your timely and quick help on Nick contest which took place on 28th April 2024 on Tata Play Mobile App. You were proactive in handling the banners and creatives and geared up for the contest in short span of time. Thank you so much for going out of your way to make the contest live.</t>
  </si>
  <si>
    <t>Rajesh noticed my manual efforts involved in scheduling and programming on the Tata Play Mobile App. He strongly motivated me to engage and collaborate with teams like TBEM and Analytics for Automation on the app. It was his brainchild to bring automation to TPMA and to explore automation for Binge programming in the future. I am grateful to Rajesh for all the efforts, ideas, and help he has provided during his tenure. I will always appreciate it. I look forward to working with you in the future for more learning and guidance. Good luck with your future endeavors. Thank you.</t>
  </si>
  <si>
    <t>Thank you, Rajesh, for collaborating with me. One evening, when I was struggling with Mix Panel data, Rajesh helped me clean the extensive dataset, which contained inaccurately tagged channels and genres. He assisted me in gathering and sharing accurate numbers from the past year. This support enabled me to present the data to my managers comprehensively, for which I was appreciated. Collaborating with Rajesh has enhanced my learning and growth. "Thank you" seems like a small word for all the efforts you have put in. Thank you, Rajesh, for all your efforts on my behalf.</t>
  </si>
  <si>
    <t>Vaibhav has done very commendable job in urgent testing of TV app Ver. 6.0.3-1340. He responded proactively to each request and provided all his support required to test this build. His proactive approach for taking ownership of his responsibilities sets a remarkable example for all to follow. Thank you for all your support and contribution provided to test team.  Well done and keep it up !</t>
  </si>
  <si>
    <t>Priya has done commendable job in doing end-to-end testing of the new partner app Discovery+ on Binge Plus platform. Priya took full ownership of the quality analysis and contributed to the bug-free roll-out of the new partner app. She was responsible for the co-ordination and collaboration with various QA/UAT teams at all internal and external levels. Happy to see our Binge family growing with your hard work.\nKeep progressing and keep up the great work!</t>
  </si>
  <si>
    <t>Suraj has done commendable job in testing GSAT-24 satellite transponder listing update on Tata Play Binge Plus STB. Since we have already gone live with GSAT-24 satellite, this was very crucial to be tested and updated. This will help field service delivery team during Binge Plus installation, now they will have the option to validate signal level of all the major GSAT24 satellite TPs on STB itself and scan QR with correct transponder details.\nKeep going and keep up the great work!</t>
  </si>
  <si>
    <t>Good Work Shivam especially the speed by which he appointed CE ISP is very Commendable. Being a Trade ASM Shivam always done this as during Operation Ravi he is the first who completed all Highway Towns till Jan and now when he has assigned CE ISP Task,he grabbed the opportunity and appointed First CE ISP for Circle and this inspires other Team Member as well.\nWell done Shivam</t>
  </si>
  <si>
    <t>Thanks, Bhupendra, for your great effort and support to create CEISP code timely.</t>
  </si>
  <si>
    <t xml:space="preserve">Thanks, Bhupendra, for your great effort and support to create CEISP code timely. </t>
  </si>
  <si>
    <t>I reached out to Ankita for installation of new STB connection at my home. We had 2 days left for IPL cricket campaign to start hence I needed the installation to be done asap. Ankita immediately connected with the FSD team and scheduled a appointment with the technician for the installation. The installation was completed within 1 hrs.\nThanks for the quick service received from Ankita and Team.</t>
  </si>
  <si>
    <t xml:space="preserve">Samit has helped in stopping non relevant reports such as SD PVR upgrade, Binge on TV or Pack wise OTT Installation.\nHe coordinated well with commercial team, FS BI team and IT team to get agreement to stop process and cancel wo, system changes etc.\nit helped us to keep our work more relevant and increase productivity.\n\nThanks a lot Samit </t>
  </si>
  <si>
    <t>Sandeep, you have achieved 133% target in BIG day yesterday drive of recharge, Good Job done, keep the momentum high.</t>
  </si>
  <si>
    <t>We had a connectivity failure issue with all our production PCs at late hours on 10th April 2024 in Bangalore ITHQ. As Live IPL match was going on and lot of manual schedules to be updated at the end of the match, it was critical for us to re-establish the connectivity with the production systems. We were unable to reach our immediate SPOCs due to the late hours and called Mayur. Immediately Mayur picked up our call responded to reported issue and aligned the required support at late in the night. The connectivity was established under Mayur\u2019s purview, and we could complete our scheduling on time. Thank you, Mayur, for taking the ownership to get the issues resolved on time. You have always been a go to person for us.</t>
  </si>
  <si>
    <t xml:space="preserve">Good Initiative in Data Presentation which helpful in Daily working and PLI calculator. Made Things easy in Knowing the Score on Daily Basis  </t>
  </si>
  <si>
    <t>Great Help and support from service team for instant support for activating the connection in minimum time with multiple location.</t>
  </si>
  <si>
    <t>Well Job done, in a single day MDU installation and all connection activation done. Its great Support where customer is demanding the connection on the spot installation. Keep it up.</t>
  </si>
  <si>
    <t>Niraj, you have achieved 135% target in two days drive of BMP, Good Job done, keep the momentum high.</t>
  </si>
  <si>
    <t>Pradip,\nYou have achieved 100% target in two days drive of BMP, Good Job done, keep the momentum high.</t>
  </si>
  <si>
    <t>Amit, you have achieved 100% target in two days drive of BMP, Good Job done, keep the momentum high.</t>
  </si>
  <si>
    <t>Thanks Mohan for your quick and proactive approach.</t>
  </si>
  <si>
    <t xml:space="preserve">We have gone live with an offer for Tata group companies which entails special benefits on Tata Play products for their customers, starting with Croma. This was a critical project which had to go live asap due to leadership drive. Jeevan has been instrumental in driving the back-end configuration of the offer ensuring that the offer goes live on time smoothly, thanks to not just his domain knowledge, but also due to him taking ownership of the project from IT point of view and guiding the group on the process, despite having other critical requirements at hand. Thanks Jeevan! </t>
  </si>
  <si>
    <t>Ujjal has helped in getting a activation done at Khirmu, a very hard terrain (an army camp in between hills of Arunachal Pradesh without any proper road) without any exception or issues. Thanks to him for getting this done ASAP.</t>
  </si>
  <si>
    <t xml:space="preserve">we needed.8 power points urgently for the movement of STB racks than Gautam took the ownership and completed the work only in one day.  </t>
  </si>
  <si>
    <t>Velu C - A heartfelt thank you Dear Hari for approving and assigning all the critical requirements for CABER and Pack migrations as part of the pricing changes. Your swift action and decisive leadership ensured that the project stayed on track and met its objectives seamlessly. Moreover, I extend my gratitude for your efforts in aligning teams on weekends and late evenings to fetch the data as per the specified logics. You and your teams dedication and commitment to the success of the project were evident in your willingness to go above and beyond, ensuring that everything was in place for processing early in the morning.\\nYour exemplary teamwork, proactive approach, and tireless dedication have been instrumental in the smooth execution of this project. Your leadership has not only ensured its success but has also set a benchmark for collaboration and excellence within our organization.Thank you once again for your outstanding efforts and for consistently delivering results that exceed</t>
  </si>
  <si>
    <t>Kuldeep Singh - Satish is always helpful in sharing the view card status very fast. We always get instant response from Satish for which I am very thankful to him for his immediate support every time.</t>
  </si>
  <si>
    <t>Bhupendra Singh Shekhawat - Thank You Sanjay Sir for Achieving Highway Town coverage.</t>
  </si>
  <si>
    <t>Abhinav Aggarwal - Sahil understands the overall business objectives well &amp; would go ahead to suggest the fine print of those with his great understanding of the OB Cust Ops work on ground zero. He is quick to respond to any challenges that we face &amp; willing to go the extra mile to make sure the work gets done. His proactiveness on smooth execution of day-to-day activities is commendable.</t>
  </si>
  <si>
    <t>Priya Jain - Roopa has been essential in defining the reporting structure &amp; collaborating with IT team for the NBA project. She took ownership of the various Reporting issues raised by the Operations team and shared clear insights, collaborating with other stakeholders to find the root cause of the issues.\nThank you for your immense contribution to the project.</t>
  </si>
  <si>
    <t>Bhupendra Singh Shekhawat - Thank You Rohit Sir for timely submission of new CEISP documents and billing them.</t>
  </si>
  <si>
    <t>Lakshya Lohumi - Rinkesh has been one of the key players in helping us schedule promos across geo segments, aligning the category and reporting for Ch100 for Binge. Regularly titles are released, even on ad hoc basis were also taken live with speed and ease. This has helped us in gaining one of the highest missed calls on Binge platform. Looking forward to such more collaboration!</t>
  </si>
  <si>
    <t>Abhishek Kumar - Priya has shown exceptional collaboration skills in multiple joint projects. She has worked on implementing Repeat impacting line items like CDCB call log correction, Package related Briefings impacting repeat and SR Automation projects. Listing down a few projects where we have collaborated and delivered results. Email Info SR Automation, PFS Support SR Correction, CDCB Guidelines correction, SR Tracking on TPMA, Call Scheduler for NVSD SR Handling and Package Repeat Reduction.</t>
  </si>
  <si>
    <t>Lakshya Lohumi - Prem has been extremely collaborative in helping us schedule the promos on daily basis. A lot of titles that were released on adhoc basis were also taken live by Prem with speed and ease. This has helped us in gaining one of the highest missed calls on Binge platform. Looking forward to such more collaboration!</t>
  </si>
  <si>
    <t>Abhishek Jindal - Partnering and working alongside Pooja on Tata Play Mobile App has been an enriching experience! She continuously pushes everyone around her to improve and elevate the creative vision. She brings lot of fresh ideas as well as gets into last mile execution for every brief which makes her stand out. We have been able to achieve multiple firsts for TPMA in FY24 together and hope to keep up the same in FY25 as well :D</t>
  </si>
  <si>
    <t>Ajay Khurana - Neeraj Support for the UPP recharge one sheeter Specially made for Dealers with OTAF information, Your support will actually help us Thank you !</t>
  </si>
  <si>
    <t>Abhishek Jindal - Narayanan along with the TPMA Ops team has been the backbone for ensuring that everything on TPMA keeps going smoothly! Whether it is daily banner and asset publishing, BAU scheduling, complicated segments request or (a lot of) last minute changes, TPMA is fortunate to have him as a part of the TPMA Ops team. Looking forward to an equally eventful FY25!</t>
  </si>
  <si>
    <t>Amitanshu Shankar - I would like to appreciate Mayur for his incredible support on Price Hike activity, undertaken in Feb24. It was an extremely complicated activity, since broadcasters decided to increase prices and revise pack constructs midway between our planned activity and we needed to go live within a month of the changes being made to achieve revenue targets, for all subs (on packs and ALCs as well). Mayur and GTM team managed all the unplanned changes which came our way, be it from broadcasters or due to competitors and ensured that the activity went live on time, got completed in 9 days and due to this support we managed to achieve the targeted incremental ARPU of 48p per day.</t>
  </si>
  <si>
    <t>Pradeepkumar Velayudhan - Thanks Lolakshi for closing on the audit observations in the same month of audit observations. The GR/IR balances on materials were cleared and highlighted for records and closure purpose. Even though the figs weren't material enough, your ability to drive and close the same made the entire difference. Look forward to continuous monitoring of the same. Thanks once again !!</t>
  </si>
  <si>
    <t>Vikas Soni - Appreciate Lenin's support is completing RECO activity for subscribers with blank primary language. We have completed the RECO for 90 lac subscribers in current FY which not only reduced the language mismatch calls at call centre end, but also was appreciated by finance audit team.\nLenin's prompt support in mapping different data points was a great help as we raised multiple data mapping requirement to him during this RECO.\nThanks a lot, Lenin.</t>
  </si>
  <si>
    <t>Velu C - Thank you Janarthanan for your crucial involvement in approving and assigning the vital requirements for Caber and Pack migrations amidst the pricing adjustments. Their swift decision-making and effective leadership played a pivotal role in ensuring the project's smooth progress and successful realization of its objectives. Furthermore, I am grateful for your efforts in coordinating teams to retrieve data based on specified logics. dedication and willingness to extend beyond regular working hours ensured the availability of data for processing early in the morning. your contributions are highly valued, and your dedication has been truly commendable. Thank you for your outstanding efforts and for consistently delivering results that exceed expectations.</t>
  </si>
  <si>
    <t>Velu C &amp; Abhinav Aggarwal - Thank you Harsh for your diligent efforts in reviewing all the PCFs up to Mark and promptly highlighting the issues to Business and GTM team. Your thorough reviews have helped us identify potential issues early on, allowing us to address them proactively and ensure the smooth progression of our work. \\nHarsh has been very collaborative &amp; precise in assuring compliance of business rules &amp; offers by GTM &amp; IT. He has been proactive in raising issues which has enabled timely IT intervention. Over the last year we\\u2019ve run a lot of discounted experiments on TPMA &amp; done a hygiene check of pack constructs for various services. Having Harsh oversee many of these things with has immensely helped in maintaining high benchmark of revenue assurance practices.</t>
  </si>
  <si>
    <t>Bhupendra Singh Shekhawat - Dear Hari Sir, Thanks for covering all Highway Town.</t>
  </si>
  <si>
    <t>Abhinav Aggarwal - Geeta's presence has always been invaluable. From understanding the meaning of specific metrics &amp; configurations from her to getting urgent data for an action plan I've always been able to reach out to her with ease. With her thorough understanding of the business &amp; not just data, she has been able to help us reach critical RCA whether it be the Showcase addition failures or be it Bollywood Masala pack misconfiguration issue. In both instances her experience with data &amp; in depth understanding of the enterprise systems helped us crack the problem. Your dedication &amp; commitment to the work you do is appreciated Geeta. Thank you!</t>
  </si>
  <si>
    <t>Pradeepkumar Velayudhan - Thanks Gaurav for helping with the MDU analysis. Despite data issues, you could create a meaningful story line explaining the current business scenario of MDU activations. The deck also helped in closing the audit observations. MDU team has also recognised the efforts and the insights provided and are looking forward to further data analytics to have enough controls around the same. This has also resulted closely monitoring the future activations and also opened up\u00A0thoughts on physical audits. Thanks once again, look forward to collaborating &amp; working with you on different project. \\nThanks Gaurav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t>
  </si>
  <si>
    <t>Ajay Khurana - Good Job done as you helped Marketing Team to Visit Customer homes to take feedback and valuable insights for us to become better !</t>
  </si>
  <si>
    <t>Mahesh Puthukattil - Thanks for your support to me and Team for the Creatives and Artwork. This has helped in timely execution of POS Material in the market.\nMany a times same is post office hours and on week-ends and really value the prompt help extended by yourselves.</t>
  </si>
  <si>
    <t>Ajay Khurana - Bhupendra Support is really helped me to open CEISP code timely for the Circle, Thank You Bhupi !</t>
  </si>
  <si>
    <t>Bhupendra Singh Shekhawat - Thank You Bhauso Sir for timely submission of New CEIP Documents and also billing too them.</t>
  </si>
  <si>
    <t>Rohit Mishra - Amitabh is a great colleague to work with. He is quick, responsive, extremely courteous and always on top of things, be it driving BAU activities like work order completion of Helpline sales (~65% in Mar24, for COD orders) or his support on Tata Group offer with respect to agent allocation and training support. Thanks, Amitabh!</t>
  </si>
  <si>
    <t>Vikas Soni &amp; Mohit Mittal - Appreciate Abhishek's end to end coordination during RECO activity for subscribers with blank primary language. We have completed the RECO for 90 lac subscribers in current FY, which not only reduced the language mismatch calls at call centre end, but also was appreciated by finance audit team. Abhishek coordinated with multiple stakeholders from cross functional teams and got executed 90 lac subscribers, which was a tough task when we looked at it initially. We were able to improve our pace during multiple phases of this activity and were able to execute 45 lac subs within less than one month's time during last phase. Good work Abhishek! \nWe need some rack trays to be cut and paint, ask Abhishek to do the same. Then he took the ownership and done the assigned work quickly.</t>
  </si>
  <si>
    <t>Velu C - My sincere appreciation for your exceptional contribution and dedication on our recent tasks. Your proactive approach and commitment have been invaluable, especially in ensuring that credits were correctly posted in instances where the mandate packs were not selected by dealers and addressing mismatches in UPP where one-day credits needed to be posted and packs provisioned. Your attention to detail and ownership of these tasks have made a significant difference in our operations. Furthermore, your willingness to work late into the night to complete these tasks showcases your unwavering dedication to excellence keep it up!</t>
  </si>
  <si>
    <t>Ajay Khurana, Kavita Rohan &amp; Shekh Aashif - Thanks Pankaj Joshi for your Support on CEISP billing that too on Sunday, Because of your effort Circle and ASM able to Achieve its Target !\nDear Pankaj, You are one of the most supporting persons in this organization. Even on weekends when you are out for cricket tournament you extend your support without any hesitation. Thank you so much as this resolves major issues relating to 3P EVD billing which can hamper customer recharges. Highly appreciate your dedication and commitment towards work. \nPankaj Joshi helped us to create Partner code on 29th Feb. His team worked till 12 AM in to ensure codes are created.</t>
  </si>
  <si>
    <t>Thank you, Kiran, for helping MDU switching activity for Power Load shifting.</t>
  </si>
  <si>
    <t>Thank you, Deepti, for completing long awaited Asset verification issue.</t>
  </si>
  <si>
    <t xml:space="preserve">Congratulations Sagar for Achieving ever Highest TSK Active Dealer in the month of March 2024, Awesome Show Champ Keep it up! </t>
  </si>
  <si>
    <t>Thanks Abhinav for collaborating and supporting Finance in getting the group medical cover renewed on a timely basis. Your inputs has helped in shaping the overall renewal. The support extended for UAT towards onboarding the new partners given the short notice is well appreciated, which will help us roll out the GMC policy adoption by early this week. Thanks once again for the continued help and support.</t>
  </si>
  <si>
    <t>Ishita collaborated with employees across functions to prepare the first draft of the Great Place to Work culture audit submissions. This project was delivered against a strict timeline and in a month where several other projects also took up her time. She displayed our values of collaboration, ownership and speed and ensured that the first draft of submissions was prepared well within time to allow for enhancements. This is the first time Ishita did this kind of work and she was able to learn fast and execute.</t>
  </si>
  <si>
    <t>Thanks Pankaj Joshi for your Support on CEISP billing that too on Sunday, Because of your effort Circle and ASM able to Achieve its Target !</t>
  </si>
  <si>
    <t>Sachin Congratulations for Achieving ever Highest TSK Active Outlet &amp; achieved the 100% target for the month of March. Awesome Show Keep It Up!</t>
  </si>
  <si>
    <t>Anand Congratulations for Achieving ever Highest TSK Active Outlet from PCMC UPC &amp; achieved the 100% target for the month of March. Awesome Show Keep It Up!</t>
  </si>
  <si>
    <t>Saket Congratulations for Achieving ever Highest TSK Active Outlet, &amp; 100% achievement of target in the month of March. Awesome Show Keep It Up!</t>
  </si>
  <si>
    <t>Mohsin Congratulations for Achieving ever Highest TSK Active Outlet from PCMC,&amp; achieved the 100% target for the month of March.24 Awesome Show Keep It Up!</t>
  </si>
  <si>
    <t>Bhupinder, You have helped complete Circle to Overachieve its CEISP Appointment Target for the month of March, Thanks Bhupi !</t>
  </si>
  <si>
    <t xml:space="preserve">Good Job done as you helped Marketing Team to Visit Customer homes to take feedback and valuable insights for us to become better ! </t>
  </si>
  <si>
    <t xml:space="preserve">Awesome Show Vijay for Achieving ever Highest Milestone of TSK ACtive Dealer in the month of March 24, Keep it up Champ ! </t>
  </si>
  <si>
    <t>Neeraj Support for the UPP recharge one sheeter Specially made for Dealers with OTAF information, Your support will actually help us Thank you !</t>
  </si>
  <si>
    <t xml:space="preserve">Bhupendra Support is really helped me to open CEISP code timely for the Circle, Thank You Bhupi ! </t>
  </si>
  <si>
    <t>Manoj is single point of contact for his assigned Circle team members for any kind of assistant. He is always happy to help at any time for the business enhancement in system as well as in field.\nHis knowledge and skills are commendable for \u201CTrade Marketing\u201D vertical. He started run DSR contest every month and do the R&amp;R for the winners to engaged them fully resulted 65% DSRs qualified for their Bandhan rewards month on month basis.\u00A0\u00A0</t>
  </si>
  <si>
    <t xml:space="preserve">Thank You Bhupendra for speedy support on new partner on boarding and provide the timely data for all Kpis it's really help us to ach our month target.  </t>
  </si>
  <si>
    <t xml:space="preserve">Dear Hari Sir, Thanks for covering all Highway Town. </t>
  </si>
  <si>
    <t xml:space="preserve">Thank You Sanjay Sir for Achieving Highway Town coverage. </t>
  </si>
  <si>
    <t>"Congratulations to Ajay Khurana Sir for supporting us on conducting Big Day every week! Your dedication and hard work are truly appreciated, and it's clear that your efforts are making a significant impact on our sales drive. Keep up the fantastic work. Thanks!"</t>
  </si>
  <si>
    <t xml:space="preserve">Thank You Rohit Sir for timely submission of new CEISP documents and billing them. </t>
  </si>
  <si>
    <t>Thank You Ajay Sir for timely submission of New CEISP Documents and also billing them.</t>
  </si>
  <si>
    <t>Thank You Bhauso Sir for timely submission of New CEIP Documents and also billing too them.</t>
  </si>
  <si>
    <t>Dear Rafiq, my sincere Appreciation for your invaluable support in meticulously planning migration timelines, processing essential data, and guiding us through the critical logic of migrations, whether it pertains to the CABER process or Pack migrations. Your dedication, expertise, and unwavering commitment have played a pivotal role in the success of all our initiatives. Your contributions have not only streamlined our processes but have also set a standard of excellence within our team. Thank you for your tireless efforts and for consistently surpassing expectations to ensure our collective success.</t>
  </si>
  <si>
    <t>Thank you Janarthanan for your crucial involvement in approving and assigning the vital requirements for Caber and Pack migrations amidst the pricing adjustments. Their swift decision-making and effective leadership played a pivotal role in ensuring the project's smooth progress and successful realization of its objectives. Furthermore, I am grateful for your efforts in coordinating teams to retrieve data based on specified logics. dedication and willingness to extend beyond regular working hours ensured the availability of data for processing early in the morning. your contributions are highly valued, and your dedication has been truly commendable. Thank you for your outstanding efforts and for consistently delivering results that exceed expectations.</t>
  </si>
  <si>
    <t>A heartfelt thank you Dear Hari for approving and assigning all the critical requirements for CABER and Pack migrations as part of the pricing changes. Your swift action and decisive leadership ensured that the project stayed on track and met its objectives seamlessly. Moreover, I extend my gratitude for your efforts in aligning teams on weekends and late evenings to fetch the data as per the specified logics. You and your teams dedication and commitment to the success of the project were evident in your willingness to go above and beyond, ensuring that everything was in place for processing early in the morning.\nYour exemplary teamwork, proactive approach, and tireless dedication have been instrumental in the smooth execution of this project. Your leadership has not only ensured its success but has also set a benchmark for collaboration and excellence within our organization.\nThank you once again for your outstanding efforts and for consistently delivering results that exceed.</t>
  </si>
  <si>
    <t>Partnering and working alongside Pooja on Tata Play Mobile App has been an enriching experience! She continuously pushes everyone around her to improve and elevate the creative vision. She brings lot of fresh ideas as well as gets into last mile execution for every brief which makes her stand out. We have been able to achieve multiple firsts for TPMA in FY24 together and hope to keep up the same in FY25 as well :D</t>
  </si>
  <si>
    <t>Pradeep has been instrumental in ensuring significant improvement in marketing GTM capabilities on Tata play Mobile App. TPMA has been able to build a robust customer segmentation system that enables assets and real estate on the app to be visible only to relevant customers. This functionality has been helpful, specially for an app which caters content in over 10 languages and upsells products from 6 different lines of businesses.\nThis required constant collaboration and feedback listening with marketing, Content and TPMA Ops teams which Pradeep anchored and helped revamp the architecture for this feature.\nTata Play Mobile App has become one of the largest upselling channel for Tata Play over the last 1 year and the segmentation features which Pradeep helped develop and continuously improve have had a big part in the same.</t>
  </si>
  <si>
    <t>Narayanan along with the TPMA Ops team has been the backbone for ensuring that everything on TPMA keeps going smoothly! Whether it is daily banner and asset publishing, BAU scheduling, complicated segments request or (a lot of) last minute changes, TPMA is fortunate to have him as a part of the TPMA Ops team. Looking forward to an equally eventful FY25!</t>
  </si>
  <si>
    <t>Nagesh along with the TPMA Ops team has been the backbone for ensuring that everything on TPMA keeps going smoothly! In the heavy duty cricket matches or BAU scheduling, complicated segments request or (a lot of) last minute changes, TPMA is blessed to have Nagesh and the Ops team at it all the time. Looking forward to an equally eventful FY25!</t>
  </si>
  <si>
    <t>Usha along with the TPMA Ops team has been the backbone for ensuring that everything on TPMA keeps going smoothly! Whether it is BAU scheduling, complicated segments request or (a lot of) last minute changes, it has been an amazing experience working with her. Thankful for how she and the team steps up for TPMA and the organization in every situation. Looking forward to an equally eventful FY25!</t>
  </si>
  <si>
    <t>Mitalee has helped with multiple business critical projects like Amazon Prime Video, OTT Upselling destination, enhancing Make Your Own Pack journeys and several more requirements.\nMitalee has been able to effectively collaborate with business teams and take their inputs to ensure customer journeys which prioritize both business and customer experience requirements. This is often not the most obvious path but requires teams to go out of their comfort zone and keep biases aside. TPMA is a better app thanks to this collaborative approach from Mitalee and her team.\u00A0</t>
  </si>
  <si>
    <t>This is an appreciation post for all that Rabiya and her team collectively enable Tata Play Mobile App to achieve. Rabiya has been instrumental in helping transform TPMA over the last year into a revenue generation channel. Over this period, we have scaled up segmented campaigns on the app from 0 to 100+ every month, increased complication of asset programming and frequency of content refreshes.\nWhile the changes of change has been increasing, Rabiya and her team have showed great agility and dynamism to stay on top of all these changes and adapt to the operational challenges. They have also been highlighting requirements for product improvements which have helped us further strengthen the App programming and scheduling backend. Looking forward to an even more exciting FY25 with Rabiya and her team for Tata Play Mobile App.</t>
  </si>
  <si>
    <t>Sachin Bhati, I want to recognize you for your integral role in CR800 project's hotel testing. Your keen eye uncovered critical bugs like name display issues and Jupiter STB black screen problems, ensuring a smoother user experience. Additionally, your contributions are invaluable in IVY loader testing in same timeframe.</t>
  </si>
  <si>
    <t>Sandeep kumar Gupta, i want to recognize you for your outstanding work on the Nysa and IVY low-cost STB hardware testing. your keen eye uncovered a critical vertical tilt fail issue on the Nysa STB, initially Vantiva team was not aggreed. After multiple discussion &amp; testing, Vantiva Team agreed and found &amp; implemented a solution, adding an extra capacitor to the PCB, ultimately resolving the issue.</t>
  </si>
  <si>
    <t>Thank you, Usha, for always being willing to lend a helping hand and for going above and beyond to ensure the programming is in place. You always show up with a positive attitude and a willingness to help on TPMA with HB, Mini Player or Mid Rail or the last-minute banners requests. Your attention to detail ensures that nothing falls through the cracks. Your contributions are essential, and I appreciate for all your support.</t>
  </si>
  <si>
    <t>Nagesh, I want to take a moment to express my heartfelt appreciation for all that you did on long weekend where there was so much of urgency on the Marketing of the Broadcasters. Your hard work and dedication are truly inspiring, and it is a pleasure to work alongside someone who puts so much passion and effort into their work. You are a true asset to our TPMA team, and I am grateful to have you as a colleague. Thanks a Lot :)</t>
  </si>
  <si>
    <t>Thank you for always being willing to collaborate and work as a team. You have a great understanding about Broadcasters last minute requests and challenges and you are always willing to help out when needed. Your collaborative spirit is essential to our TPMA team's success, and I am grateful for your contributions. Keep up your good work.</t>
  </si>
  <si>
    <t>my sincere appreciation for your exceptional contribution and dedication on our recent tasks.\n\nYour proactive approach and commitment have been invaluable, especially in ensuring that credits were correctly posted in instances where the mandate packs were not selected by dealers and addressing mismatches in UPP where one-day credits needed to be posted and packs provisioned. Your attention to detail and ownership of these tasks have made a significant difference in our operations.\nFurthermore, your willingness to work late into the night to complete these tasks showcases your unwavering dedication to excellence keep it up!</t>
  </si>
  <si>
    <t>Thank you Harsh for your diligent efforts in reviewing all the PCFs up to Mark and promptly highlighting the issues to Business and GTM team.\nYour thorough reviews have helped us identify potential issues early on, allowing us to address them proactively and ensure the smooth progression of our work.</t>
  </si>
  <si>
    <t>Rinkesh has been one of the key players in helping us schedule promos across geo segments, aligning the category and reporting for Ch100 for Binge \nRegularly titles are released, even on ad hoc basis were also taken live with speed and ease. This has helped us in gaining one of the highest missed calls on Binge platform. \nLooking forward to such more collaboration!</t>
  </si>
  <si>
    <t>Prem has been extremely collaborative in helping us schedule the promos on daily basis. A lot of titles that were released on adhoc basis were also taken live by Prem with speed and ease. This has helped us in gaining one of the highest missed calls on Binge platform. \nLooking forward to such more collaboration!</t>
  </si>
  <si>
    <t>Harsh has been very collaborative &amp; precise in assuring compliance of business rules &amp; offers by GTM &amp; IT. He has been proactive in raising issues which has enabled timely IT intervention. Over the last year we\u2019ve run a lot of discounted experiments on TPMA &amp; done a hygiene check of pack constructs for various services. Having Harsh oversee many of these things with has immensely helped in maintaining high benchmark of revenue assurance practices.</t>
  </si>
  <si>
    <t xml:space="preserve">Sahil understands the overall business objectives well &amp; would go ahead to suggest the fine print of those with his great understanding of the OB Cust Ops work on ground zero. He is quick to respond to any challenges that we face &amp; willing to go the extra mile to make sure the work gets done. His proactiveness on smooth execution of day-to-day activities is commendable. </t>
  </si>
  <si>
    <t>Geeta's presence has always been invaluable. From understanding the meaning of specific metrics &amp; configurations from her to getting urgent data for an action plan I've always been able to reach out to her with ease. With her thorough understanding of the business &amp; not just data, she has been able to help us reach critical RCA whether it be the Showcase addition failures or be it Bollywood Masala pack misconfiguration issue. In both instances her experience with data &amp; in depth understanding of the enterprise systems helped us crack the problem. Your dedication &amp; commitment to the work you do is appreciated Geeta. Thank you!</t>
  </si>
  <si>
    <t>I would like to appreciate Mayur for his incredible support on Price Hike activity, undertaken in Feb24. It was an extremely complicated activity, since broadcasters decided to increase prices and revise pack constructs midway between our planned activity and we needed to go live within a month of the changes being made to achieve revenue targets, for all subs (on packs and ALCs as well). Mayur and GTM team managed all the unplanned changes which came our way, be it from broadcasters or due to competitors and ensured that the activity went live on time, got completed in 9 days and due to this support we managed to achieve the targeted incremental ARPU of 48p per day.</t>
  </si>
  <si>
    <t>I would like to appreciate Velu for his incredible support on Price Hike activity, undertaken in Feb24. It was an extremely complicated activity, since broadcasters decided to increase prices and revise pack constructs midway between our planned activity and we needed to go live within a month of the changes being made to achieve revenue targets, for all subs (on packs and ALCs as well). Velu and GTM team managed all the unplanned changes which came our way, be it from broadcasters or due to competitors and ensured that the activity went live on time, got completed in 9 days and due to this support we managed to achieve the targeted incremental ARPU of 48p per day.</t>
  </si>
  <si>
    <t>Amitabh is a great colleague to work with. He is quick, responsive, extremely courteous and always on top of things, be it driving BAU activities like work order completion of Helpline sales (~65% in Mar24, for COD orders) or his support on Tata Group offer with respect to agent allocation and training support. Thanks, Amitabh!\u00A0</t>
  </si>
  <si>
    <t xml:space="preserve">Satish is always helpful in sharing the view card status very fast.  We always get instant response from Satish for which I am very thankful to him for his immediate support every time. </t>
  </si>
  <si>
    <t>Appreciate Abhishek's end to end coordination during RECO activity for subscribers with blank primary language. We have completed the RECO for 90 lac subscribers in current FY, which not only reduced the language mismatch calls at call center end, but also was appreciated by finance audit team.\n\nAbhishek coordinated with multiple stakeholders from cross functional teams and got executed 90 lac subscribers, which was a tough task when we looked at it initially.\n\nWe were able to improve our pace during multiple phases of this activity and were able to execute 45 lac subs within less than one month's time during last phase.\n\nGood work Abhishek!</t>
  </si>
  <si>
    <t>Appreciate Lenin's support is completing RECO activity for subscribers with blank primary language. We have completed the RECO for 90 lac subscribers in current FY which not only reduced the language mismatch calls at call center end, but also was appreciated by finance audit team.\n\nLenin's prompt support in mapping different data points was a great help as we raised multiple data mapping requirement to him during this RECO.\nThanks a lot, Lenin.</t>
  </si>
  <si>
    <t>Thank you for collaborating with me on delivering extra hardware to my SSDs with speed for the upcoming IPL season</t>
  </si>
  <si>
    <t>Radha Krishna Jha is very supportive, all Marketing and MIS related things gets resolved on time... He is good in getting all the things done and that too timely.</t>
  </si>
  <si>
    <t xml:space="preserve">thank you Ashutosh for your continuous efforts and support in closing the UAT on Msales for all the Acquistion, renewal packs your efforts contribute significantly to the success of the pricing activity. thank you once again for your continued support and Appreciate closure of UAT's on the call </t>
  </si>
  <si>
    <t>Thank you, Rabi, for the exceptional effort and dedication in successfully closing the UAT for 72 packs and related CR's. your quick collaboration and teamwork have been invaluable throughout this process. thank you once again for all your hard work and dedication in closing the UAT's ontime\n</t>
  </si>
  <si>
    <t>Always helpful !! Thanks Rohit !</t>
  </si>
  <si>
    <t>Always helpful and co-operative</t>
  </si>
  <si>
    <t>Good Job Srini !! Keep it up !!</t>
  </si>
  <si>
    <t>You did good coordination with DSRs and guide them to achieve their targets.</t>
  </si>
  <si>
    <t>Dear Pankaj,\nYou are one of the most supporting persons in this organization.\nEven on weekends when you are out for cricket tournament you extend your support without any hesitation.\nThank you so much as this resolves major issues relating to 3P EVD billing which can hamper customer recharges.\nHighly appreciate your dedication and commitment rowards work.\nRegards,\nKavita Rohan \n</t>
  </si>
  <si>
    <t>Roopa has been essential in defining the reporting structure &amp; collaborating with IT team for the NBA project. She took ownership of the various Reporting issues raised by the Operations team and shared clear insights, collaborating with other stakeholders to find the root cause of the issues.\n\nThank you for your immense contribution to the project.</t>
  </si>
  <si>
    <t>Priya has shown exceptional collaboration skills in multiple joint projects. She has worked on implementing Repeat impacting line items like CDCB call log correction, Package related Briefings impacting repeat and SR Automation projects. Listing down a few projects where we have collaborated and delivered results. \nEmail Info SR Automation\nPFS Support SR Correction\nCDCB Guidelines correction\nSR Tracking on TPMA\nCall Scheduler for NVSD SR Handling\nPackage Repeat Reduction</t>
  </si>
  <si>
    <t xml:space="preserve">Best coordinator of tata play team.  </t>
  </si>
  <si>
    <t xml:space="preserve">Thanks for all the help extended on logistics for Tata Global Internship. Your effort really made a positive impact on the internship experience. Appreciate the help and speed in execution of IWD gift hampers. </t>
  </si>
  <si>
    <t xml:space="preserve">Thanks for all the help extended on logistics for Tata Global Internship. Your effort really made a positive impact on the internship experience. </t>
  </si>
  <si>
    <t>Srini is always very helpful and proactive. He would always take extra efforts to ensure work is done well and within the agreed time frame. Much appreciated.</t>
  </si>
  <si>
    <t>Hi Ravinder, thank you for your continued support towards In-Home call project since it's inception back in June last year. Much appreciated.</t>
  </si>
  <si>
    <t>For putting up outstanding effort for completion of Rourkela Mayfair project where multiple connections being given with out any escalation.\nGood job done</t>
  </si>
  <si>
    <t>For putting up outstanding effort for completion of Iffco project where 1200+ connection being given with out any escalation.\nGood job done</t>
  </si>
  <si>
    <t>Very Prompt response !!</t>
  </si>
  <si>
    <t xml:space="preserve">In Noida we have cracked well know hospital in Noida sarvodaya hospital same account is our existing account Yesterday i got a call from hospital they want 32 new installations on urgent basic .iam taking necessary approvals and contact with Mr anoop srivastav Service Asm Noida Area. He will take a charge and he did work with service team @ 10.30 pm and active approx 20 Box . same day he personally visit ward wise room and start tata play boxes ..All ward or bed full ..all patient.are deligted . Thanx Anoop for super support     </t>
  </si>
  <si>
    <t xml:space="preserve">Shubham has played a pivotal role in assisting in setting up processes and spearheading the signage project Ravi and Versova. He brings to the table the ability to understand trade, the potential challenges on a project and managing key stakeholders through his relationships. Shubham has been relentless and reliable team member to ensure that the signage project keeps rolling on-time and in-full. He has also contributed to ensuring timely deliveries and execution of the long- term visibility elements including innovative elements such as sturdy standees in 2023 that has benefited the trade/business to a large extent.  </t>
  </si>
  <si>
    <t>Despite being swamped with his daily meetings and work, Rabindra has been of great help in assisting and teaching us the process of SID creation on UAT, due to which our dependency on the other teams has now been greatly reduced.\nThank You Rabindra</t>
  </si>
  <si>
    <t>Amitabh Das - Thanks for your continued support and value add in terms of solutions/suggestions given to smoothly run Outbound Campaigns.</t>
  </si>
  <si>
    <t xml:space="preserve">Yashasvi Gupta - Cheril has been experimenting with a lot of new things on large screen. Recently she has accomplished campaigns like GTM execution for Smart TV launch (LG &amp; Samsung) to create customer awareness about "Binge is now on Smart TV" that has helped in Binge app stickiness as more customers logged in via smart TV with your campaigns. Her thoughts towards how to make a Binge+ customer subscribe via WhatsApp campaign without even going out of WhatsApp and executing the end-to-end flow has only made our WhatsApp communication to Binge+ customer fruitful and led to winbacks. Her contribution for the recent channel addition to Binge+ - Notification on box and seamlessly planning the campaign executions is remarkable. Do continue experimenting and making things happen. All the best. </t>
  </si>
  <si>
    <t>Kamaljeet Singh - Thank you for taking the ownership in replacing the faulty MUX in live environment, which was very critical task to perform because lots of network and ASI cable were associated with it. You did it very well and speedily. I would really appreciate you for this work.</t>
  </si>
  <si>
    <t>Rahul Bhalla - Thara, has been a big support during the entire year for provision of Amazon Vouchers as and when there was a business need. She was able to provide the same within very less time, along with need-based denominations. Her contribution has always been helpful to create the competitive environment and achieve better results at partners. Thanks, Thara for owning this process end to end. Appreciate your efforts.</t>
  </si>
  <si>
    <t>Ankita Pawar - Rahul understands the criticality of tasks and is able to suggest workarounds and solutions that would suit the business objectives for both teams. Wanted to give a huge shoutout to for his amazing knack of getting things done quickly and efficiently. His speed and dedication have been of great help in closing important tasks. Thanks a ton for all your hard work!</t>
  </si>
  <si>
    <t>Rochelle R Rajguru - Thank you, Narayan, for all your help on that last-minute marketing request from Sony. I appreciate your dedication and hard work in challenging moments.</t>
  </si>
  <si>
    <t>Rochelle R Rajguru - Rabiya is the backbone of Tata Play Mobile App for us. She smartly handles each challenging situations and provides quick solution in a short span of time. She has been a strong support system in handling the last-minute queries, requests and ad hoc changes. The way she manages her entire team is remarkable. I enjoy working with Rabiya and Thank you for supporting us seamlessly. Good Luck for more such future projects.</t>
  </si>
  <si>
    <t xml:space="preserve">Anamika Chaudhuri - Thank you Manjunatha for always being so prompt and taking ownership to resolve an issue. Your collaboration with field service to resolve customer issues is commendable. </t>
  </si>
  <si>
    <t>Shibankar Sen - Dear Arunava, Thanks for your kind support for CCO and TSRA training and fast ID creation.	/nTridib Sharma - Good support given by Mr. Nandi tough gone far from North East Circle</t>
  </si>
  <si>
    <t>Priya Jain - Hi Waseem, I would like to mention here that your prompt response to every requirement is appreciated. Recently we have shared various requirements on the SR project and SMS changes and Waseem has been patient in understanding all requirements and sharing an update proactively on the same. Keep it up!</t>
  </si>
  <si>
    <t>Piyush Gupta - Would like to appreciate Ritesh for all time quick MDU support and issues resolution , he always trying to be with sales with full of his own involvement and trying to close things ASAP. Great support always. Thanks a lot !!!</t>
  </si>
  <si>
    <t>Hitesh Chopra - I would like to appreciate Mr. Ashok Thakur for the quick and prompt inventory support in N5 circle. Your willingness to deliver the indent orders within time limit is commendable. Thank you once again for your outstanding support!!</t>
  </si>
  <si>
    <t xml:space="preserve">Radhakrishna collaborated with DSRs and ASMs and aligned team for achieving TSK active Targets. Also helped to build momentum through DSRs R&amp;R Program by Managing this program </t>
  </si>
  <si>
    <t>Complete ownership taken by Ashutosh in assisting Sales team in opening CEISP codes through collaboration</t>
  </si>
  <si>
    <t>Pankaj Joshi helped us to create Partner code on 29th Feb. His team worked till 12 AM in to ensure codes are created.</t>
  </si>
  <si>
    <t>Truly appreciate Jana for optimizing BI operations stream. Since 3 last months there are no issues in month end processing, everything went smooth. Thanks for building BI Operation Dashboard which is extremely helpful to business owners to track their RR status directly from MS teams channel seamlessly.\nSuperb work demonstrated. Keep it up.</t>
  </si>
  <si>
    <t>we need some rack trays to be cut and paint, ask Abhishek to do the same. Then he took the ownership and done the assigned work quickly.</t>
  </si>
  <si>
    <t xml:space="preserve">After exits of TMM and Regional Trainer, Mitesh took complete ownership of the prestigious Central Soorma contest conducted for ASM and Circle. He would ensure timely updates and working to team, keeping the team engaged. He would timely settle the contest so that results are announced and trophies dispatched on time. </t>
  </si>
  <si>
    <t xml:space="preserve">Pankaj has been supportive and collbaorative in opening CEISP codes. If there are issues, Pankaj resolves them quickly and efficiently to ensure hassle free onboarding of the partner. Due to him and efforts of his team, Central region has been able to open CEISP codes as committed. </t>
  </si>
  <si>
    <t>Thanks for your support to me and Team for the Creatives and Artwork.\nThis has helped in timely execution of POS Material in the market.\nMany a times same is post office hours and on week-ends and really value the prompt help extended by yourselves.</t>
  </si>
  <si>
    <t>Thanks Rashmi for the abundance effort put in collating and presenting the mid month forecast every month at timely intervals. The collaborating approach and the patience level needs to be rewarded given the fact that the forecast needs to be compared with previous trends, provision reversals to be considered and so also this numbers needs to be linked yearly forecast to decide on the targeted bottom line for the year, You have been doing this seamlessly month after month and in a timely fashion, supported by team and data. Keep the good work. Will help you out with automated paths in next year.</t>
  </si>
  <si>
    <t>Thanks Lolakshi for closing on the audit observations in the same month of audit observations. The GR/IR balances on materials were cleared and highlighted for records and closure purpose. Even though the figs weren't material enough, your ability to drive and close the same made the entire difference. Look forward to continuous monitoring of the same. Thanks once again !!</t>
  </si>
  <si>
    <t xml:space="preserve">Thanks Gaurav for helping with the MDU analysis. Despite data issues, you could create a meaningful story line explaining the current business scenario of MDU activations. The deck also helped in closing the audit observations. MDU team has also recognised the efforts and the insights provided and are looking forward to further data analytics to have enough controls around the same. This has also resulted closely monitoring the future activations and also opened up  thoughts on physical audits. Thanks once again, look forward to collaborating &amp; working with you on different project </t>
  </si>
  <si>
    <t xml:space="preserve">Thanks Rashmi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 </t>
  </si>
  <si>
    <t xml:space="preserve">Thanks Prakash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 </t>
  </si>
  <si>
    <t xml:space="preserve">Thanks Gaurav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 </t>
  </si>
  <si>
    <t xml:space="preserve">Thanks Arinjaya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 </t>
  </si>
  <si>
    <t>I would like to appreciate Mr. Ashok Thakur for the quick and prompt inventory support in N5 circle. Your willingness to deliver the indent orders within time limit is commendable. Thank you once again for your outstanding support!!</t>
  </si>
  <si>
    <t>Complete ownership taken by Mitesh in assisting field team in opening CEISP codes through collaboration with ASMs, CSM and Finance team. Plays crucial role in getting queries sorted so that partners are added rapidly!</t>
  </si>
  <si>
    <t>Would like to appreciate Ritesh for all time quick MDU support and issues resolution , he always trying to be with sales with full of his own involvement and trying to close things ASAP. Great support always. Thanks a lot !!!</t>
  </si>
  <si>
    <t>Chien has been managing Amazon Prime Integration Project on Tata Play very efficiently and has been collaborating with different cross functionals teams to get timely updates and has been very proactive in her follows, raising red flags which may delay the project and ensuring that all teams are aligned to meet the target deadline. Keep up the good work!!</t>
  </si>
  <si>
    <t xml:space="preserve">Hi Waseem, I would like to mention here that your prompt response to every requirement is appreciated. Recently we have shared various requirements on the SR project and SMS changes and Waseem has been patient in understanding all requirements and sharing an update proactively on the same. Keep it up! </t>
  </si>
  <si>
    <t xml:space="preserve">Hi Rajesh, I would like to mention here that your prompt response on each and every query is really appreciated. whenever I or any team members faced any issues, you have immediately connected and resolved. Your prompt response is always notable. Keep it up. </t>
  </si>
  <si>
    <t>Dear Arunava\nThanks for your kind support for CCO and TSRA training and fast ID creation.</t>
  </si>
  <si>
    <t xml:space="preserve">Shraddha has put in effort and speed in experimenting with multiple innovative formats for Channel 100 promos in the Flexi Lite segment. The slate-based promos have shown a huge increase in missed calls and improved productivity. This was a learning for the organization at large and is now being implemented for regular Binge promos on Channel 100 and also on DTH P1 title promos. </t>
  </si>
  <si>
    <t>We wanted to express sincere appreciation for Sneha's invaluable contribution for the successful launch of Tata Play Tamil Classics. \nHer dedication, hard work and quick TAT played a crucial role in meeting deadlines.\n</t>
  </si>
  <si>
    <t>Thank you Gurdeep for always being so prompt in resolving field issue which helps as build confidence among team members working in field.</t>
  </si>
  <si>
    <t>Thank you Manjunatha for always being so prompt and taking ownership to resolve an issue. Your collaboration with field service to resolve customer issues is commendable</t>
  </si>
  <si>
    <t xml:space="preserve">Helped roll out effective and elegant communication for Classic Cinema +1 and in executing the JSAT for it in less than 3 days! </t>
  </si>
  <si>
    <t>Helped in effective and quick execution of WhatsApp Campaigns, especially during Tamil Classic TPMA preview launch, despite the time crunch and multiple obstacles. Thanks a lot !</t>
  </si>
  <si>
    <t>Kaushal, I would like to express my appreciation for your outstanding contribution to taking Notifications live on Binge+. You took ownership of the project end to end and collaborated with Business &amp; Technology teams, playing a crucial role in prioritization, negotiating timelines, technical discussions &amp; managing stakeholder expectations to ensure the feature was taken live with a significant impact on the engagement KPIs. Your dedication is truly commendable and deeply appreciated! Your enthusiasm and determination always reflect in your outputs. Keep up the good work! \uD83D\uDC4F \uD83D\uDC4F</t>
  </si>
  <si>
    <t>Rabiya is the backbone of Tata Play Mobile App for us. She smartly handles each challenging situations and provides quick solution in a short span of time. She has been a strong support system in handling the last-minute queries, requests and ad hoc changes. The way she manages her entire team is remarkable. I enjoy working with Rabiya and Thank you for supporting us seamlessly. Good Luck for more such future projects.</t>
  </si>
  <si>
    <t>Thank you, Narayan, for all your help on that last-minute marketing request from Sony. I appreciate your dedication and hard work in challenging moments. \n</t>
  </si>
  <si>
    <t>I wanted to take a moment to express my appreciation for your outstanding efforts and remarkable speed in assisting with the KRC scrap invoice and sales order (SO) preparation. Your dedication and efficiency have truly made a significant impact, and I am incredibly grateful for your contribution.\nIn the past, this process has often taken up to 15 days to complete. However, thanks to your proactive approach and tireless commitment, we were able to accomplish the task in just one week.  Your efforts have not only saved valuable time but have also contributed to the overall efficiency and effectiveness of our operations.\nThank you once again for your outstanding support and for consistently going above and beyond expectations.</t>
  </si>
  <si>
    <t>Mayur has been of great help in picking up tasks last minute and successfully wrapping us crucial tasks on time! Mayur's ability to handle multiple tasks and deliver tasks on time is truly noteworthy. Thank you for your dedication and quick thinking! Keep it up!</t>
  </si>
  <si>
    <t>Rahul understands the criticality of tasks and is able to suggest workarounds and solutions that would suit the business objectives for both teams. Wanted to give a huge shoutout to for his amazing knack of getting things done quickly and efficiently. His speed and dedication have been of great help in closing important tasks. Thanks a ton for all your hard work!</t>
  </si>
  <si>
    <t>Amit collaborated effectively with all the SPOCs during the roll out and execution phases of CD 6.0. The collaboration with IT, CO, the CFT SPOCs and internal team ensured the following:\n1.Operational aspects of roll out was seamless that included timely receipt of call recordings for dissemination amongst participants, placeholder for access to the recordings and calendarizing the cadences to drive call listening and observation sharing  \n2. Rolling up the observations into pain points that are actionable and presenting the findings to the LT including MD &amp; CEO \n3.Co-ordinating with SPOCs assigned to alleviate the pain points by implementing various solutions that addresses them \n4. Tracking progress on various solutions being pursued by calendarizing cadenced and periodically updating the LT\nAll this has led to the Discovery 6.0 problem identification and solution phase being advanced by a month leading to earlier execution of solutions that  would alleviate customer pain points\n\n\n</t>
  </si>
  <si>
    <t>Good support given by Mr. Nandi tough gone far from North East Circle</t>
  </si>
  <si>
    <t xml:space="preserve">Thara, has been a big support during the entire year for provision of Amazon Vouchers as and when there was a business need. She was able to provide the same within very less time, along with need-based denominations. Her contribution has always been helpful to create the competitive environment and achieve better results at partners. Thanks, Thara for owning this process end to end. Appreciate your efforts.    </t>
  </si>
  <si>
    <t>Mitesh went above and beyond to assist in generating our channel partner codes, providing timely and instant support with agreements and assisting team to reduce rejections.</t>
  </si>
  <si>
    <t xml:space="preserve">Mitesh has done an extra effort to create my channel partner code.\nHe helped me in providing agreement documents and other related format timely.\nThankyou Mitesh for all your support. </t>
  </si>
  <si>
    <t>Thank you for taking the ownership in replacing the faulty MUX in live environment, which was very critical task to perform because lots of network and ASI cable were associated with it. You did it very well and speedily. I would really appreciate you for this work.</t>
  </si>
  <si>
    <t>Cheril has been experimenting with a lot of new things on large screen. Recently she has accomplished campaigns like GTM execution for Smart TV launch (LG &amp; Samsung) to create customer awareness about "Binge is now on Smart TV" that has helped in Binge app stickiness as more customers logged in via smart TV with your campaigns. Her thoughts towards how to make a Binge+ customer subscribe via WhatsApp campaign without even going out of WhatsApp and executing the end-to-end flow has only made our WhatsApp communication to Binge+ customer fruitful and led to winbacks. Her contribution for the recent channel addition to Binge+ - Notification on box and seamlessly planning the campaign executions is remarkable. Do continue experimenting and making things happen. All the best \uD83D\uDE0A</t>
  </si>
  <si>
    <t>Thanks for your continued support and value add in terms of solutions/suggestions given to smoothly run Outbound Campaigns.</t>
  </si>
  <si>
    <t xml:space="preserve"> I really appreciate the effort put in by you in configuring the UNICA campaign for Binge Mobile Flexi 99 OB campaign Launch. You took end to end responsibility from raising the CR, to coordinating closely with IT and UAT teams to ensure the solution is created, tested, and deployed seamlessly within a very stiff timeline. A big thanks for your support and ownership.</t>
  </si>
  <si>
    <t>Bharti Samant ( Commercial )-Prem has been crucial in helping us execute our day to day tasks. We deeply appreciate his dedication and competence.\u00A0</t>
  </si>
  <si>
    <t>Bharti Samant ( Commercial )-Rinkesh has been crucial in helping us execute our day to day tasks. We deeply appreciate his dedication and competence.</t>
  </si>
  <si>
    <t>Yashasvi\u00A0Gupta ( Commercial )-Vasundhara is on top of her game with Manage apps . She is thorough with both Business and IT side of things, understands the business criticalities and pressures and always is ready to work towards anything that helps grow business. She also is very positive and always in a good mood despite so much pressure which is a rare quality to have. She delivered 99 flexilite on mservice within all timelines despite complexities. Wish vasundhara god luck going forward as well and look forward to working with her on many more projects.</t>
  </si>
  <si>
    <t>Raj Kumar ( Sales )-For doing the timely and speedy transition of ISD Attendance from Vistaar App to Disha App.\u00A0</t>
  </si>
  <si>
    <t>Sandeep Mann ( Technology )-Biswajit has been crucial in helping us getting the RECD work completed for DG Sets, he not only helped us to get the PO released from all ends on priority for the work that was supposed to be completed before 31st Dec 23 to comply with the necessary govt. guidelines for business continuity, but also helped to assist to get the project completed well before the deadlines as he also coordinated with vendor making them understand 'The gravity of the matter'. we deeply appreciate his dedication and competence which demonstrated Collaboration, ownership, speed for the closure of subjected issue.</t>
  </si>
  <si>
    <t>Prasanna Kumar Singh ( Sales )-I appreciate your effectiveness and precision in managing MDU installation in and around Lucknow. We are acquiring hotels and other commercial establishments on a good speed and your support in installing MDU set up at these places is recognised. You not only help us in giving installations with a good speed and deliver always on time, but also you own your commitment. Keep up this good work.\u00A0</t>
  </si>
  <si>
    <t>Velu C ( Commercial )-I extend my sincere appreciation to Rabindra for demonstrating remarkable efficiency in promptly concluding the UAT. The meticulous efforts, attention to detail, and unwavering dedication exhibited a pivotal role in ensuring a successful and expedited testing phase. I express my gratitude for your commendable efforts, which undoubtedly contribute to the overall success and help align as per Go To Market timelines.</t>
  </si>
  <si>
    <t>Velu C ( Commercial )-I extend my sincere appreciation for demonstrating remarkable efficiency in promptly Owning the UAT\u00A0of NON ODU Dhamaka 2.5k offer .\u00A0attention to detail, and unwavering dedication exhibited a pivotal role in ensuring a successful and expedited testing phase. I express my gratitude for your commendable efforts, which undoubtedly contribute to the overall success and help align as per Go To Market timelines.</t>
  </si>
  <si>
    <t>Velu C ( Commercial )-I wanted to express my sincere appreciation to Rathish for the outstanding work in configuring the recent dhamaka 2.5k changes with zero errors. Your attention to detail, precision, and dedication to accuracy have not gone unnoticed. Successfully implementing these changes without any errors reflects your commitment to excellence and contributes significantly to the overall success of our projects. .Thank you for your hard work, diligence, and the valuable contributions you make to our team.</t>
  </si>
  <si>
    <t>Charu Singla ( Technology )-Played a crucial part in planning and organizing the GSAT24 launch event along with Anshul Kapoor and Nitin Gupta. The event was organized with meticulous planning under the guidance of Mr. Vishal Arya wherein dignitaries from the government launched the satellite and over a hundred media representatives covered the launch in the Technology Center, Chattarpur.</t>
  </si>
  <si>
    <t>Manish Kumar Sethi ( Field Service Delivery )-Good Job Ashok to continue support circle to send timely pending workorder copy to HO team. Keep it up.</t>
  </si>
  <si>
    <t>Vishal Sharma ( Sales ) &amp; Nishant Mittal ( Sales )-Kudos to Reena for crafting a perfect pitch and securing 55O connections from Airtel. Her coordination with the closing team for a seamless closure was fantastic. Ultratech is a feather in our cap, and her efforts are highly commendable. Reena took ownership in resolving issue being faced at Hotel Ananta Spa with 175 connections. The account was a potential churn threat due to long standing issue with 4 Sub Id's. She took ownership in absence of ASM ashish due to his wedding who was responsible for the account and resolved the issue in collaboration with Corporate teams.\u00A0</t>
  </si>
  <si>
    <t>Rohit Jaggi ( Field Service Delivery )-Very fast response and excellent service on MDU society maintenance, this will help multiple customer resolution without any delay.</t>
  </si>
  <si>
    <t>Rupalli Surve ( Customer Operations ) &amp; Vinodkumar Anandan ( Customer Operations )-Appreciate the timely help for the review of In Home Call, the data cuts were one too many , despite the stress of getting the data cuts , taking the ownership of getting all the data in place to build a story was a task which you took upon your self and toiled for almost ten days and making time to come on all the adhoc calls without complaining even once about the time and day of the week, you have taken complete ownership and delivered like a pro, appreciation by the senior management was a testimony of your efforts. Very well done!!!. Hi Lenin......Fabulous work done in preparing In-Home Dashboard and Review deck. In depth analysis of data and different cuts viz; DAS Wise, Sales Region Wise, etc... were well appreciated by CEO and Senior leadership team. Kudos to you and wishing you many more accolades...\u00A0</t>
  </si>
  <si>
    <t>Sumeet Vaishnav ( Sales )-Thanks Mitesh for Helping us in creating Ceisp code .The support you\u00A0provided to team after rejection and corrected the document help us in opening the 11 code. Superb Job.</t>
  </si>
  <si>
    <t>Satish Kumar K P ( Technology )-Brajesh had been provided a great support to fix the FTP issue which we were facing from past many months. We appreciate his quick response and taking the accountability of the issue and fixing it. Thank you for supporting.\u00A0</t>
  </si>
  <si>
    <t>Deeptha has been Pivotal in setting the platform to execute the Customer Discovery 6.0 Program. She showed great resolve in downloading the calls and making calls available to listeners in challenging timelines and a quick turnaround to any roadblocks that we encountered. Thanks Deeptha and a great job.</t>
  </si>
  <si>
    <t>The Department of Telecommunications (DOT) issued an Office Order on October 1, 2022, eliminating NOCC charges for using the Space segment. TATA Play had already made advance payments to DOT for the entire year. Upon the order taking effect, efforts were made, particularly by Joby, who played a crucial role in meeting with officials to initiate the refund process. This involved extensive sharing of reconciliation and data to demonstrate timely payment of old dues. Finally, in September 2023, the refund was successfully received.\nAdditionally, following the activation of GSAT 24, Joby diligently pursued the refund of WPC License fees paid in advance. After persistent follow-ups, a senior official agreed to offset these fees against the next year's Spectrum fees.\nThe commendable efforts of Joby in navigating the complexities of government authorities to secure these refunds are truly appreciated.</t>
  </si>
  <si>
    <t>big.stage@tataplay.com</t>
  </si>
  <si>
    <t>Spot of the Month</t>
  </si>
  <si>
    <t>Spot</t>
  </si>
  <si>
    <t>INR 500.0</t>
  </si>
  <si>
    <t>INR 0.0</t>
  </si>
  <si>
    <t>Row Labels</t>
  </si>
  <si>
    <t>Grand Total</t>
  </si>
  <si>
    <t>Column Labels</t>
  </si>
  <si>
    <t>Q3-FY24</t>
  </si>
  <si>
    <t>Khalandar Sultan GA</t>
  </si>
  <si>
    <t>Jisha Nair</t>
  </si>
  <si>
    <t>Praveen Kumar</t>
  </si>
  <si>
    <t>T Mahesh .</t>
  </si>
  <si>
    <t>Md Alamgir Ansari</t>
  </si>
  <si>
    <t>Nalini Verma</t>
  </si>
  <si>
    <t>Amber Kumar Singh</t>
  </si>
  <si>
    <t>Chetan  Kulkarni</t>
  </si>
  <si>
    <t>Anu .</t>
  </si>
  <si>
    <t>Swetha Ramu</t>
  </si>
  <si>
    <t>Tanuja S.</t>
  </si>
  <si>
    <t>Bipin Shukla</t>
  </si>
  <si>
    <t>Soumya S</t>
  </si>
  <si>
    <t>Prathviraj Suryawanshi</t>
  </si>
  <si>
    <t>Aluri Srinivasa Raghavendra</t>
  </si>
  <si>
    <t>Vishal Sethi</t>
  </si>
  <si>
    <t>Karthik R</t>
  </si>
  <si>
    <t>Varun Jain</t>
  </si>
  <si>
    <t>Chirag P. Thakar</t>
  </si>
  <si>
    <t>Malathy Amin</t>
  </si>
  <si>
    <t>Ashwani Kukreja</t>
  </si>
  <si>
    <t>Siddharth Bagwe</t>
  </si>
  <si>
    <t>Shambhu Tiwary</t>
  </si>
  <si>
    <t>Mrityunjoy Naskar</t>
  </si>
  <si>
    <t>Sonali Yadav</t>
  </si>
  <si>
    <t>Sandeep Sidramappa Bilagi</t>
  </si>
  <si>
    <t>Umesh Anand</t>
  </si>
  <si>
    <t>Satish Tondihal</t>
  </si>
  <si>
    <t>Vijayakumar Kamakshi</t>
  </si>
  <si>
    <t>Thank You</t>
  </si>
  <si>
    <t>Appreciate Srinidhi's support during onboarding of Adhnan in BE team. \nWe were able to close the entire process quickly with the help of his proactive inputs.\n\nThanks a lot, Srinidhi</t>
  </si>
  <si>
    <t>Thank You Mayur &amp; Team for your timely support on resolved my VPN LOG IN problem..</t>
  </si>
  <si>
    <t>Sultan has been working relentlessly working in gettng all the updates( Briefing, scripts etc. updated in Pulse on time. No matter the time you call him up and he would say yes it'll be done, such is the spirit. I remember during our special Mega project and for BAU campaigns as well, he has ensured things not only get updated but get updated in a very user friendly interface which is much easier for TPAs to understand and navigate through. Thank you once again, keep up the good work.</t>
  </si>
  <si>
    <t>Jisha every time puts in best of efforts to add value to the system and improve. Further she is always available for any help needed in any area irrespective of her profile.</t>
  </si>
  <si>
    <t>Shout-out to Rabiya and her team for never shying away of going the extra mile, and for putting in effort post work hours to ensure campaigns are live on time. Be it at midnight or early in the morning, the team always delivers without fail. Even during times when campaigns are shared late - Rabiya and team take up the responsibility like the true campions that they are - truly inspiring. Thank you for your constant support in ensuring our campaign efforts don't go wasted!</t>
  </si>
  <si>
    <t>Meghna has consistently stepped up, ensuring swift approvals for our creatives and demonstrating strong ownership in driving things forward. A big thank you for your continued support, which has truly helped expedite our progress!</t>
  </si>
  <si>
    <t>Thank you for technically managing the IHRE and Video QC/QOE projects. Keep up the good work, Praveen.</t>
  </si>
  <si>
    <t>Thank you for the successful delivery of the Binge September release and timely scoping of the October release.</t>
  </si>
  <si>
    <t>Mahesh has truly shown the exceptional skill and talent in managing the BAU tasks. \nKeep it up!</t>
  </si>
  <si>
    <t>Thank you Manoj for helping me and other teams for their contest creatives. Also Thanks for the instant support and guidance on the issues regarding trade marketing tasks</t>
  </si>
  <si>
    <t>Thank you so much Prasath for helping and sharing all OB related data requirement within a very short span of time. Really appreciate your support.</t>
  </si>
  <si>
    <t>He is very dedicated guy who commits and deliver the same on desired timeframe.</t>
  </si>
  <si>
    <t>Thanks for the prompt support you gave in finding out the asset nos for asset scrap deletion to be done during office renovation work.</t>
  </si>
  <si>
    <t>Thank-you for your assistance with the BH registration process. Your help was greatly appreciate!!</t>
  </si>
  <si>
    <t>Sandeep thanks for your timely support for installation of salt spray chamber. It was really a very big hurdle, but for your dedicated support timely we have managed to complete the installation in time.</t>
  </si>
  <si>
    <t>Thank you so much Ms Nalini Verma for your prompt support always,on ID reactivation &amp; other reports</t>
  </si>
  <si>
    <t>"Great things in business are never done by one person. They're done by a team of people." \n</t>
  </si>
  <si>
    <t>Thank you, Amber, for managing TPMA &amp; NSC operations so effectively and Proactively. Your efforts make a significant difference. Your leadership is truly appreciated.</t>
  </si>
  <si>
    <t xml:space="preserve">Good Leg Work Person </t>
  </si>
  <si>
    <t xml:space="preserve">Thanking Mary for being an active member of the Churn Persona Out calling project. As a part of 4 member project group, Mary has shown excellent subscriber handling skills. She has contributed with insights during the project as well which will go a long way in drafting a permanent solution to the problem. Good Job Done. </t>
  </si>
  <si>
    <t xml:space="preserve">Thanking Anu for being an active member of the Churn Persona Out calling project. As a part of 4 member project group, Anu has shown excellent subscriber handling skills. She has contributed with insights during the project as well which will go a long way in drafting a permanent solution to the problem. Good Job Done. </t>
  </si>
  <si>
    <t>Thanking Swetha for being an active member of the Churn Persona Out calling project. Not only has she been instrumental in achieving good results during the pilot, but also instrumental in sharing project insights with all of us.  Due to her meticulous approach, pilot was completed successfully. Good Job Done !!</t>
  </si>
  <si>
    <t>Thanking Prabha for being an active member of the Churn Persona Out calling project. Not only has she been instrumental in achieving good results during the pilot, but also instrumental in pro-actively sending the mails, keeping the stake holders aligned. Due to her meticulous approach, pilot was completed successfully. Good Job Done !!</t>
  </si>
  <si>
    <t xml:space="preserve">Appreciating support extended by Waseem for critical projects like Name Change Reco, Blank Language Reco and New Desk creation for Churn Persona. Waseem has been pro-active in project co-ordination and timeline adherence. Looking forward to more mutual projects. Good Job done. </t>
  </si>
  <si>
    <t xml:space="preserve">Would like to appreciate the help extended by Deeptha to streamline the Social Media process. She has helped with a detailed explanation of back end processes related to Social Media ticket handling, and helped with over 4 hours of recorded content, which will go a long way to create processes for Social Media and streamline operations. </t>
  </si>
  <si>
    <t>Thanking Tanuja for helping go through 1000+ subscriber VOC in a week and helping to categorize them. This input goes a long way in making sure these VOC reach the right departments withing the firm and corrective actions taken at the right time. Good Job Done !!</t>
  </si>
  <si>
    <t xml:space="preserve">Thanking Anil for managing helping co-ordinating with the IT teams to get critical data mapped for Churn Persona. Even in my absence, Anil took the ownership to get the data accuracy checked and helped in getting data with 99.5% accuracy. </t>
  </si>
  <si>
    <t xml:space="preserve">This is to appreciate Sapthas constant support in a lot of projects this quarter. He has been agile and helped with projects like NLP Promotion and Churn Persona. These projects have been data heavy and required constant data and efficacy mapping. Thanking Saptha for accommodating all last-minute requests. </t>
  </si>
  <si>
    <t>Lalit played a crucial and a critical role to help revise offer letters on system internally for campus hires. He showed great vendor management skills and was able to successfully deliver within the timeline. Hence, kudos to him for that! :)</t>
  </si>
  <si>
    <t>Thanks for the seamless coordination and support through the last couple of weeks for the CEOs of the Quarter in Corporate office, Mumbai. The event went very well thanks to the arrangements and pre-work carried out by you</t>
  </si>
  <si>
    <t>Abhishek's contribution to NLP BOT project has been significant. He took the charge of presentation &amp; readiness for the leadership connect and worked on the deck.\nHis work was appreciated by Harit and senior leadership.</t>
  </si>
  <si>
    <t xml:space="preserve">Thanks Bipin ji for helping on XTI related Change to process PVR export file at IT end </t>
  </si>
  <si>
    <t>Devanshu has been critical in solutioning of Account Reactivation RPA which will be going live in R57. Thank you for your contribution.</t>
  </si>
  <si>
    <t>Thanks, Manoj, for good marketing support with innovative artworks and creatives, which helps us for faster communication and dealer engagemnet.</t>
  </si>
  <si>
    <t>Hi Sudhindra\n\nI am very thankful to you on Flexi Intraday data, which was started from today.\nGetting this data was really challenging and was looking impossible.\nBut with your support it could become possible.\nThis data is very crucial for driving recharge &amp; LDP project in field.\nThanks a lot once again</t>
  </si>
  <si>
    <t>Hi Seshadri \n\nI am very thankful to you on Flexi Intraday data, which was started from today.\nGetting this data was really challenging and was looking impossible.\nBut with your support and guidance it could become possible.\nThis data is very crucial for driving recharge &amp; LDP project in field.\n\nThanks a ton for your support.</t>
  </si>
  <si>
    <t>During a launch of a channel, there was a request from partner to launch a channel on priority due to an event where the CM of a certain state was to grace the launch of the channel. This was to happen on a Monday morning, when teams had to be aligned to work on a Sunday night, that too during FY closure month. Sheeja helped in turning around the TAT with the teams as per the timelines requested. I appreciate her collaboration and efforts on this.</t>
  </si>
  <si>
    <t xml:space="preserve">Thank for prompt response on queries and help extended on HR tech requests! </t>
  </si>
  <si>
    <t xml:space="preserve">Thank you for all prompt closures of contract negotiations.  </t>
  </si>
  <si>
    <t>Thank you, Raghav, for all the help you have provided in maintaining and updating Binge KPIs used in the Zero-Defect project.</t>
  </si>
  <si>
    <t>Namaste Ravinder, appreciate your support in providing the required data for InHome project as part of PRM deployment. You quick response on providing the data has helped in updating the current status for all open WOs without which Field would have faced problem in completing the WOs.\nAppreciate the super fast data churn on all queries I had asked.</t>
  </si>
  <si>
    <t>I wanted to take a moment to express my heartfelt gratitude for your kind words of appreciation towards my team members. Your recognition means a lot to us and serves as a great motivation to continue delivering our best work. It is truly rewarding to see the hard work and dedication of my team being acknowledged by someone as esteemed as yourself. Your support and encouragement have always been invaluable to us, and we are grateful for the positive impact it has on our morale and motivation. Please know that we are always here to support you in any way we can, and we look forward to continuing to collaborate and achieve success together. Your feedback is genuinely appreciated and will undoubtedly inspire us to strive for even greater heights in the future.</t>
  </si>
  <si>
    <t>Vishal sir supported G sat24 Migration work &amp; guided about Setup box issue Like channel missing, software issue. Special audit, Revisit Audit, &amp; Escalation cases.\nRectify &amp; Resolve Some of the Gsat 24 channel missing no signal cases- 22 kHz tone\u00A0Co-ordinated with Vishal sir &amp; resolved the issues.\nOn urgent bases visited Repair Center - validate 22kHz Tone Setup for testing of STB as per guidelines Vishal sir resolved the problem.\nThank you very much sir for your support and guidance to achieve my targets.\nwithout your support its difficult to achieve the target,\u00A0\n</t>
  </si>
  <si>
    <t>Hi Amey, thanks a lot for your help in mapping different data points for blank primary language mapping for subscribers. Your timely and extended inputs have helped us in completing the RECO activity on time.\n\nThanks again!</t>
  </si>
  <si>
    <t>Thank you, Hari for your support is completing RECO activity for subscribers with blank primary language. We have completed the RECO for 90 lac subscribers in current FY, which not only reduced the language mismatch calls at call center end, but also was appreciated by finance audit team.\n\nYour coordination with IT team in terms of getting RECO slots, failure logs and getting the RECO executed by IT, helped us in completing the entire activity on time.\n\nThanks Again!</t>
  </si>
  <si>
    <t>thank you Aftab for you dedication in handling the price changes packages. thank you for your continued Support in closing the UAT's</t>
  </si>
  <si>
    <t xml:space="preserve">Hi Rahul, \nAppreciate your prompt help in collecting VOCs related to the Tata Play Mobile Application on an urgent request. Thank You for your contribution :) </t>
  </si>
  <si>
    <t xml:space="preserve">Hi Gireesh, \nThis is to appreciate your help in critical projects like IVR Co-Browsing, Nodal Call routing and Chronic Caller process streamlining. While IVR  Co-browisng has already been developed and tested, Chronic  caller process now has Open WO/SR check in place to avoid blocking genuine subscribers. For Nodal as well, we have connected and got the required support from your end. Appreciate your help. </t>
  </si>
  <si>
    <t xml:space="preserve">Hi Rahul, \nThis is to appreciate your efforts in getting the Selfcare-Feedback VOC aligned with the partners. As a result of your efforts, we are able to share VOC with marketing real time. This has also helped in getting few channels launched on the platform, which has resulted in additional revenue for the organization. </t>
  </si>
  <si>
    <t xml:space="preserve">Hi Vikas, \nThanking you for the recently concluded activity on Language Reco. We updated the language for nearly 90 lakhs subscribers in the current FY. Your proactive follow ups on getting the language mapped from marketing, getting the files prepared by BI and getting the same implemented in record time by SSD has been very helpful. Post completion, you have also helped in getting the failure logs checked and corrected. All this has reduced Lang Transfers by half and resulted in savings of INR 20 Lakh+ in the current FY. </t>
  </si>
  <si>
    <t>Srini is always very helpful and proactive. He would always take extra efforts to ensure work is done well and within the agreed time frame.</t>
  </si>
  <si>
    <t>Thank you, Rabindra for the invaluable training in subscriber ID creation through the Siebel/Portal/Automation tool that you provided to our team, this helped our team to create the test data as per our testing requirements, your expertise and dedication have truly enhanced our skills and capabilities.\u00A0We\u2019re grateful for your guidance and support.</t>
  </si>
  <si>
    <t>MR.Manjunatha J.S is always very supporting, and response is excellent, His timely support is really helpful for us.</t>
  </si>
  <si>
    <t>Appreciate your consistent efforts in the analysis of subscriber accounts whose status is pending . \nThis data analysis helped us to come out with action plan.\n</t>
  </si>
  <si>
    <t xml:space="preserve">Appreciate your swift response on doing analytics on cancelled account cases - this helped us to take action on balances available in these dormant accounts </t>
  </si>
  <si>
    <t xml:space="preserve">Hi Karthik, Thank you so much for helping in identifying the incorrect name changes that has been done on Subscriber account. Working on 3 million data is not a easy task. Thank you for your support. </t>
  </si>
  <si>
    <t>Hi Mr.Kishorekumar,this is another example of your taking of ownership on unsolved long pending issue, Ott Repair || G Yadagiri || 1373535101 ||,Unable to LOG IN in FTV device,esalated to Binge helpdesk,they tried,but not resolved,when i appoached you for your support,the way you took ownership and resolved the issue,this is not first time,previuosly also,you supported me to resolved some tipical issues,thenk you for your support.</t>
  </si>
  <si>
    <t xml:space="preserve">This is to recognize Dwitiyas' inputs given by her during her Project in CO. Her inputs around WhatsApp have been accepted and implemented already. This will be helpful in creating an enhanced customer experience at digital touchpoints. The suggestions were both well researched and easy to implement. </t>
  </si>
  <si>
    <t xml:space="preserve">Leni has helped us process Name Change data for nearly 3 Mn subscribers. As a result of this, we are now in a position to correct the names of our subscribers that had earlier been updated incorrectly. This will ensure that going forward all the names on their bills and invoices are correct. </t>
  </si>
  <si>
    <t>Janarthanan and his team member (Nagaraju) was very supportive in defining the report requirement for D+1 Campaigns. Thank you team, for wonderful support and speed of execution.</t>
  </si>
  <si>
    <t>Hi Varun\nAppreciate and acknowledge your active role while we are creating export service invoice first time in Jan 24.\nYour approach was very much encouraging and helping by collaborating with different stake holders for smooth process completion by identifying the action items/requirements/compliance  perspective and to close on time - Keep up the good work.</t>
  </si>
  <si>
    <t>Hi Nitin\nAppreciate and acknowledge your active role while we are creating export service invoice first time in Jan 24.\nYour approach was very much encouraging and helping by collaborating with different stake holders for smooth process completion by identifying the action items/requirements/compliance  perspective and to close on time - Keep up the good work.</t>
  </si>
  <si>
    <t>Hi Pankaj\nAppreciate and acknowledge your active role while we are creating export service invoice first time.\nYour approach was very much encouraging and helping by collaborating with different stake holders for smooth process completion by identifying the action items/requirements/compliance from Customer code creation  perspective - Keep up the good work.</t>
  </si>
  <si>
    <t>Hi Chirag\nAppreciate and acknowledge your active role while we are creating export service invoice first time.\nYour approach was very much encouraging and helping by collaborating with different stake holders for smooth process completion by identifying the action items/requirements/compliance from Tax /Master data / Process perspective - Keep up the good work.</t>
  </si>
  <si>
    <t>Hi Malathy , \nAppreciate and acknowledge your co-operation while we are doing export service invoice first time.\nYour approach was very much encouraging and helping to ensure smooth process completion by identifying the action items/requirements/compliance from Tax perspective.</t>
  </si>
  <si>
    <t xml:space="preserve">Nirmal went out of the way on a Friday Evening to create new on-air elements for a Sunday midnight go live. You go to Nirmal with an issue and be rest assured that there will be a solution to it. </t>
  </si>
  <si>
    <t xml:space="preserve">Thank You for the New NPS SMS template registration, this has resulted into better connect with the customer reaching out at contact center. Great execution :-) </t>
  </si>
  <si>
    <t xml:space="preserve">Sultan has been extremely helpful and pro-active in making the product pages up and running. The TAT for the entire activity has become significantly less. Thanking him for the help extended. </t>
  </si>
  <si>
    <t>Q1-FY 25</t>
  </si>
  <si>
    <t>Q4-FY 24</t>
  </si>
  <si>
    <t>Q4 FY24</t>
  </si>
  <si>
    <t>Ongoing</t>
  </si>
  <si>
    <t>Award</t>
  </si>
  <si>
    <t>Purpose</t>
  </si>
  <si>
    <t>Eligibility</t>
  </si>
  <si>
    <t>Approval</t>
  </si>
  <si>
    <t>Vantage circle points</t>
  </si>
  <si>
    <t>Thank You badge is to express gratitude to colleagues who went beyond their call of duty to help their colleagues</t>
  </si>
  <si>
    <t>All</t>
  </si>
  <si>
    <t>-</t>
  </si>
  <si>
    <t>SPOT</t>
  </si>
  <si>
    <t>Employees can appreciate their colleagues for the demonstration of CEOs behaviours of Collaboration, Experimentation, Ownership and Speed and recognize them for their contribution, achievement and impact.</t>
  </si>
  <si>
    <t>Eligibility for Spot of the Month</t>
  </si>
  <si>
    <t>A monthly award for employees who have demonstrated CEOs behaviours and have had significant impact through achievement beyond day to day work.</t>
  </si>
  <si>
    <t>1. Via Spot</t>
  </si>
  <si>
    <t>2. Direct -&gt; M3 to M5 employees</t>
  </si>
  <si>
    <t>M2</t>
  </si>
  <si>
    <t>CEOs of the Quarter</t>
  </si>
  <si>
    <t>A quarterly award to recognise employees who have demonstrated CEOs behaviours of Collaboration, Experimentation, Ownership and Speed and made an exemplary contribution through a pathbreaking idea or solution, to the function/organization, going beyond the call of duty.</t>
  </si>
  <si>
    <t>M2 Jury</t>
  </si>
  <si>
    <t>Invitation to CEOs Forum</t>
  </si>
  <si>
    <t>Quarterly awards</t>
  </si>
  <si>
    <t>To recognise employees who have demonstrated Tata Play Anchor competencies in their work</t>
  </si>
  <si>
    <t>M3 to M5 employees</t>
  </si>
  <si>
    <t>M2 -&gt; M1</t>
  </si>
  <si>
    <t xml:space="preserve">To recognise new joiners who blend with their peers and contribute through innovative thoughts and ideas </t>
  </si>
  <si>
    <t>M3 to M5 employees who have joined in a previous quarter</t>
  </si>
  <si>
    <t>Intra Functional Team Awards</t>
  </si>
  <si>
    <t>To recognise intra functional teams who have displayed exceptional Anchor behaviours, collaborated on specific projects, and delivered positive results</t>
  </si>
  <si>
    <t xml:space="preserve">M3 to M5 employees who are part of same function </t>
  </si>
  <si>
    <t>M1</t>
  </si>
  <si>
    <t>10,000 divided equally to team members</t>
  </si>
  <si>
    <t>Cross Functional Team Awards</t>
  </si>
  <si>
    <t>To recognise cross functional teams who have displayed exceptional Anchor behaviours, collaborated on specific projects, and delivered positive results</t>
  </si>
  <si>
    <t xml:space="preserve">M3 to M5 employees who are part of different functions </t>
  </si>
  <si>
    <t>M1 Jury</t>
  </si>
  <si>
    <t>Half-Yearly awards</t>
  </si>
  <si>
    <t>People Champion</t>
  </si>
  <si>
    <t xml:space="preserve">To recognise people managers for their efforts in creating a strong workplace which facilitates the employee to grow, engage and contribute to the fullest. </t>
  </si>
  <si>
    <t xml:space="preserve">Other awards </t>
  </si>
  <si>
    <t xml:space="preserve">Nominator ELigibility </t>
  </si>
  <si>
    <t xml:space="preserve">Debutant of the Quarter </t>
  </si>
  <si>
    <t>Via Spot</t>
  </si>
  <si>
    <t xml:space="preserve">People Manager </t>
  </si>
  <si>
    <t>From the approved "SPOT of the month" of the past 3 months</t>
  </si>
  <si>
    <t>Be Your Own CEOs</t>
  </si>
  <si>
    <t>People Manager</t>
  </si>
  <si>
    <t>People Manager (within the same department)</t>
  </si>
  <si>
    <t>People Manager (across departments)</t>
  </si>
  <si>
    <t>Central</t>
  </si>
  <si>
    <t xml:space="preserve">Pathfinder Award </t>
  </si>
  <si>
    <t>Fundamental Award</t>
  </si>
  <si>
    <t>Basis activities conducted for respective regions</t>
  </si>
  <si>
    <t>Senior Manager - Subscriber Analytics</t>
  </si>
  <si>
    <t>Assistant Manager - Quality</t>
  </si>
  <si>
    <t>Senior Test System Engineer</t>
  </si>
  <si>
    <t>Assistant Manager - Facilities</t>
  </si>
  <si>
    <t>Manager - Test System</t>
  </si>
  <si>
    <t>Assistant Manager - Broadcast operations</t>
  </si>
  <si>
    <t>Assistant General Manager - IT Delivery</t>
  </si>
  <si>
    <t>Senior Manager - Field Service Delivery Support</t>
  </si>
  <si>
    <t>Assistant General Manager - Consumer Technology</t>
  </si>
  <si>
    <t>Assistant Manager - Vendor Management &amp; Outbound Billing Operations</t>
  </si>
  <si>
    <t>Senior Manager - Consumer Technology</t>
  </si>
  <si>
    <t>General Manager - IT Architecture</t>
  </si>
  <si>
    <t>Senior Manager - Direct Sales</t>
  </si>
  <si>
    <t>Senior Executive - Facilities</t>
  </si>
  <si>
    <t>Senior Manager - Supply Chain Services</t>
  </si>
  <si>
    <t>Q3 FY24</t>
  </si>
  <si>
    <t>Rahul Puri Eram has done an exceptional behind the scenes job in collaborating with the Infosec team for the change of Thread Intelligence tools. This tool identifies any misuse / misinformation regarding Tata Play on the internet. The previous tool had various limitations, however she worked closely with the vendors, did a detailed PoC, created the Technology evaluation document along with Infosec team. Now she is closely involved in the migration and handholding implementation of the new tool.   Eram is single handedly handling all the alerts coming from the system and ensuring action by the respective stakeholders, till closure. Each month she apply her expertise in the field, identifies the genuine alerts and actions. Her experience in this field and the last one year learning has helped us procure a better tool. She also ensure due priority and speed of action for closure. Keep up the bar and all success will be yours, Thank you Eram.</t>
  </si>
  <si>
    <t>Sheeja P.A. I would like to express my deep appreciation for Prasad's exceptional work on the Sony de-packaging activity. Despite its complexity and time-consuming nature, Prasad's outstanding coding expertise transformed a task that would have taken us hours into one completed in mere minutes. Additionally, he developed the channel-based blocking functionality in just half a day, addressing a high-priority need. His swift and effective solution was crucial in enabling us to block Sony channels on TPMA. Prasad's remarkable skills and dedication have been invaluable to our team.</t>
  </si>
  <si>
    <t>Inderpreet Singh -In May ’24, we embarked on an ambitious initiative aimed at re-activating &amp; ringfencing customers from the deep deactive bucket during the high opportunity season. We targeted 5 million subscribers from deep deactive bucket with active days less than 240 in the past 12 months.Cross functional teams were involved in planning, developing infrastructure, hiring &amp; training of close to over 3000 resources, with outcome of more than 110K subs subscribers by the end of this activity, coming back with long term commitment(6/12 month). Surya played a very crucial role in streamlining the execution for implementing of Mega Winback initiative. Surya took the ownership right from beginning &amp; ensured that the execution of defined strategy happens across 12 locations &amp; 16 Centre's Pan India. Surya ’s contribution has been instrumental in the success and has demonstrated collaboration &amp; Speed throughout this initiative. His meticulous attention to detail has been commendable</t>
  </si>
  <si>
    <t>Arpit Mutha Gurpreet has gone an extra mile to do primary market research and understand the potential of a Haryanvi service in the state of Haryana. She took the ownership and completed the market research by drawing meaningful and actionable insights. She even sacrificed a holiday and went on to interview subscribers in-person to complete the research on time. Inspires through her ownership, commitment and passion.</t>
  </si>
  <si>
    <t xml:space="preserve">Aparna has done an exceptional job securing contracts with global partners like Amazon Prime and Apple Tv+, ensuring timely launch on Binge. She is driven and been highly supportive /flexible, diligent and consistently delivered win win solutions to finalize the agreements on schedule. Thanka Aparna once again.. Appreciate your efforts. </t>
  </si>
  <si>
    <t>Velu C &amp; Mayur Wadulkar I wanted to extend my heartfelt thanks to each of you for your diligent work in testing all the PCF parts of the Sony RIO activities, Binge and all BAU PCF's and CR's . Your attention to detail and commitment to ensuring everything functions perfectly have been crucial to the success of this project. Your efforts have helped us move forward with confidence, knowing that we ’ve thoroughly tested every aspect. I truly appreciate the time and energy you ’ve dedicated to this task. Thank you for your hard work and continued support.    I would like to extend my heartfelt appreciation to Rabindra for his outstanding work in closing the highly critical and significant Sony RIO change-related PCFs within the allotted timeline, and impressively, ahead of schedule. His exceptional resilience and dedication were evident as he successfully closed 64 LDP packs with remarkable timeliness.</t>
  </si>
  <si>
    <t>Vikas Soni Hi Shashi, thanks for your extended efforts and ownership while driving the Making customer smile contest for the IB partners. You have coordinated with all partners end to end and ensured continuous improvement in our ranking, and also coverage% of the contest. With your help, we were able to successfully close the contest at 3rd rank out of 50+ Tata group companies with 10K+ stories this year. Our next target is to have a winning story in the next contest duration; let's gear up for the same! Again, appreciation all the hard work you have put in. Thank you.</t>
  </si>
  <si>
    <t>Yashasvi Gupta &amp; Arpit Mutha Binge sales on OB have been a challenge over past couple of months. However last few months the OB nos for Binge have gone up significantly. Monish has ensured that all efforts are done to ensure that nos go up and has worked closely with the commercial team. Close monitoring / experiments have been done. The Binge nos from OB need to go up further from here on. Wish Monish good luck. Superb rally from under 2.7lac services gross adds to 3.3lac and 3.4 lac gross adds in consecutively in Sep and Oct24. Strong drive and collaboration with Services team was key to delivering desired results. Kudos and keep rocking!!</t>
  </si>
  <si>
    <t>Anshuman . Nikhil Sinha have been Instrumental in shaping CEISP business in his Territory Month on Month. Have ensured 100% activation target in August &amp; September and clocking 335 Activation in August and 422 Activation in September which is highest in the Region among Trade and Non-Trade ASM. Even he has ensured 100% Target achievement in terms of Partner Appointment.   Looking forward to continuing the same momentum in CEISP vertical in the coming month, wishing him luck for the future!!!</t>
  </si>
  <si>
    <t>Anshul Nuwal Regarding redesign of framework of sending out the communication for Service Request's status updates, there was a requirement of converting a master table of more than 80k unique records to another table which will have only 3 to 4 k unique records as per new architecture. Waseem understood the new framework and requirement very quickly and returned with updated master table within a day with almost 0 discrepancies. Kudos to Waseem for showing this support which helped IT to finish the task quickly in timely manner.</t>
  </si>
  <si>
    <t>Paurav S Choubal Manju is extremely efficient and prompt. Many friends and family reach out to me for support wrt their Tata Play connection and when redirected to Manju, he ensures Tata Play provided prompt and correct support to them and I keep receiving positive feedback from everyone. This kind of service is what differentiates us in the market and makes us the leaders!</t>
  </si>
  <si>
    <t xml:space="preserve">Atul Pawar Dear Manik    I appreciate your Dedication and partner end motivation activity wherein In Oct Month you taken Binge mobile conversion as Challenge to get you as West Region Top ASM.    In Oct Month you were 8% and Nov you finish to double 16% to remain  West Region Top 5 ASM    You taken Challenge as Ownership and made Delivery and keep same momentum </t>
  </si>
  <si>
    <t xml:space="preserve">Atul Pawar Dear Gopal    I appreciate you taken as challenge yourself to take your Name in West region TOP ASM in BMP    In Sep Month you were 10% and Oct you finish  15 %  get you in West Region TOP ASM     You show very good SPEED to reach to desire % so keep it up such to get new activity  </t>
  </si>
  <si>
    <t>Pradeepkumar Velayudhan Thanks, Avinash, for driving the requirement on working capital and co-ordinating with sales in pushing EVD billing to channel partners. Your daily tracker helped Sales trace the momentum and accelerate their efforts in minimising the gap vs target. For the past 2months we have received good collections despite our APDs being the ever lowest in those 2 months. Keep the good work and look forward to addressing much more challenging tasks in future.</t>
  </si>
  <si>
    <t>Prasanna Kumar Singh Pushpendra has not only delivered on his KPIs but also has participated in all the initiatives taken time to time. Pushpendra has almost secured his place in top 3 in region in Stocking Champion contest. He has been delivering achieving his new dealer appointment target even before this contest. He aligned his distributors to maximize EVD billing in last 3 days. His ownership and speed of delivery is appreciated.</t>
  </si>
  <si>
    <t>Lakshya Lohumi Rinkesh has been a key driver in programming of the largest acquisition channel for Binge. All the key titles were promoted swiftly and with speed on Ch100, even on weekends!!! He has always been understanding and ready to lend his support during crucial times for binge business. Onwards and upwards!!!</t>
  </si>
  <si>
    <t>Chitiz Rai &amp; Rabindra Agarwal Great work on CEISP Big Day Gopal. Keep it up. Gopal has taken ownership of the business and delivered well in the key input parameters in the month of October. This is not done in a month alone, but this is a result of inputs like new outlet opening, CEISP engagement and KRO engagement over a period of time which has given him the outcome during this season time. Good job Gopal and keep up the good work in coming months too.</t>
  </si>
  <si>
    <t>Dilip Kumar Singh Good effort in securing business of new client "ABG- Indriya" with a decent deal volume by combo deal structure of landing channel100 + S&amp;S for the month of Oct-Nov'24. Hence our overall new client revenue contribution weightage has also increased in Q3.</t>
  </si>
  <si>
    <t>Meghna Tiwari &amp; Rabiya Sidiqa Abhishek is a brilliant self-starter, he ensures the seamless functioning of our Binge app, consistently solving issues with initiative and precision.  His excellent people management skills foster collaboration across teams, contributing significantly to our success.   His dedication, leadership, and positive influence make him a true inspiration and an invaluable team member. Abhishek provided valuable assistance during the CMS/TA deployment process. I commend his efforts during the TA modifications, where he exhibited strong ownership skills. He played a crucial role in loading the updated schedules and banks into the system. I sincerely appreciate the time and energy he has devoted to this task and the successful completion of it. Thank you for your dedication and ongoing support.</t>
  </si>
  <si>
    <t>Pradeepkumar Velayudhan Thanks, Arup, for co-ordinating with IT and FSD in setting up the process for payment to ISP on a daily basis. We haven't explored this in the past and so also reconciling the payment at the end of every month would have been a challenging task. Although the efforts ensured the process was set and payment could be made, we had to withdraw the option of daily payment at the last moment. Nonetheless, we could experience (part of UAT) a process which was done before.</t>
  </si>
  <si>
    <t>Shivam Gaur, Masroor Jafar Siddiqui &amp; Sumit Bhatia Radha, You are always very supportive for productivity of Circle and you are always available to help which shows your dedication towards the business.  Very Well Done .....  Radha Have done good work and takes ownership of the work given to him beside his own domain also. He work on the things which are not in his KPI but supportive for Circle business. He calls top dealer for quality promoter for productivity. He helps promoter having difficulty in attandance and onboarding. He shares individual report like New dealer creation report with data whose billing or latlong capture is pending. He provides any help which we need if we are in market like detail of DSR wise activating ols et. Over all he is dedicated to circle business productivity.   Radha has always supporting in Data Points, Boosting My DSR to Achieve Bandhan Programme &amp; Bandhan Booster, he is just one call away for any help required me for Business Success.</t>
  </si>
  <si>
    <t>Pratiksha Mainkar Pracheer was able to quickly turn around the logistics for an important review in Delhi. He managed multiple stakeholders and constraints to make the review a success. There were no gaps in the planning process and the execution was smooth with all things going as per plan. He had meagre four days to make this happen, well done Pracheer! Keep up the good work.</t>
  </si>
  <si>
    <t>Divya Shenoy Usha went out of her way to help overcome the issues with regard to KBC live event on Sony Liv. The solution was discussed, tried and tested over two days before the event went Live. Usha worked odd hours ensure that the content is pulled in and made available for seamless subscriber experience.</t>
  </si>
  <si>
    <t>Velu C I wanted to take this opportunity to thank you for your continuous support in processing Sony RIO and managing the Price Hike changes. Your collaborative efforts and willingness to share insights have been crucial in ensuring our collective success and getting the job done right every time is something I truly value. your support has been invaluable, and we look forward to continuing our collaboration and achieving even greater things together. Appreciate all the efforts you have put in coordinating with teams and getting the data processed early hours of the day without impacting regular activities.</t>
  </si>
  <si>
    <t>Vikas Soni Hi Ahmed, thanks for your extended efforts and ownership while driving the Making customer smile contest for the IB partners. You have coordinated with all partners end to end and ensured continuous improvement in our ranking, and also coverage% of the contest. With your help, we were able to successfully close the contest at 3rd rank out of 50+ Tata group companies with 10K+ stories this year. Our next target is to have a winning story in the next contest duration; let's gear up for the same! Again, appreciation all the hard work you have put in. Thank you.</t>
  </si>
  <si>
    <t>Vikas Soni Hi Bhagaval Das, thanks for your extended efforts and ownership while driving the Making customer smile contest for the IB partners. You have coordinated with all partners end to end and ensured continuous improvement in our ranking, and also coverage% of the contest. With your help, we were able to successfully close the contest at 3rd rank out of 50+ Tata group companies with 10K+ stories this year. Our next target is to have a winning story in the next contest duration; let's gear up for the same! Again, appreciation all the hard work you have put in. Thank you.</t>
  </si>
  <si>
    <t>Senior Executive - Finance</t>
  </si>
  <si>
    <t>General Manager - Outbound Operations</t>
  </si>
  <si>
    <t>General Manager - Legal</t>
  </si>
  <si>
    <t>Assistant General Manager - B2B Revenue</t>
  </si>
  <si>
    <t>Assistant Manager - NVSD C.A.R.E</t>
  </si>
  <si>
    <t>Assistant General Manager - Outbound Operations</t>
  </si>
  <si>
    <t>Manager - Direct Sales</t>
  </si>
  <si>
    <t>Executive Trainee</t>
  </si>
  <si>
    <t>General Manager - Finance</t>
  </si>
  <si>
    <t>Assistant Manager - Ad Operations &amp; Scheduling</t>
  </si>
  <si>
    <t>Manager - B2B Revenue</t>
  </si>
  <si>
    <t>Assistant General Manager - FSD Audit &amp; Accounting</t>
  </si>
  <si>
    <t>Assistant Manager - Trade Marketing</t>
  </si>
  <si>
    <t>Manager - Human Resources</t>
  </si>
  <si>
    <t>Senior Manager - Non Voice Service Delivery Operations</t>
  </si>
  <si>
    <t>Q3-FY25</t>
  </si>
  <si>
    <t>Launch of Tata Play Deiveegam&lt;br/&gt; The launch of Tata Play Deiveegam marked a significant milestone as our first regional devotional service after Aradhana. Recognizing the importance of the South Indian market, we chose Tamil for its enthusiasm and receptiveness to a premium offering, setting the price at ₹60 per month—a first for any Tata Play regional service.&lt;br/&gt;Meticulous research, extensive planning and seamless collaboration across teams to sell the service to the right target group. The results were immediate, with Tata Play Deiveegam setting a new benchmark in the regional devotional space in its launch week. &lt;br/&gt;Key milestones:&lt;br/&gt;Deiveegam was launched at 33% higher price still achieved similar gross adds (14-15k) as Tamil classics and Telugu classics in the first 7 days.&lt;br/&gt;Revenue generated by Deiveegam was significantly higher than other regional services by 16-20%&lt;br/&gt;This launch has set a best practice to be replicated for pricing interventions in other regional services and drive revenue</t>
  </si>
  <si>
    <t>Q3-FY 25</t>
  </si>
  <si>
    <t>Ramesh K</t>
  </si>
  <si>
    <t>Reena Khakre</t>
  </si>
  <si>
    <t>INR 665</t>
  </si>
  <si>
    <t>Alok Bajpai</t>
  </si>
  <si>
    <t>Yuvaraj C</t>
  </si>
  <si>
    <t>Priyanka Gupta</t>
  </si>
  <si>
    <t>Hasmat Ali</t>
  </si>
  <si>
    <t>Raghavendra S.</t>
  </si>
  <si>
    <t>Tapas Kumar Pal</t>
  </si>
  <si>
    <t>Samar Jyoti Bordoloi</t>
  </si>
  <si>
    <t>Pintulal Halder</t>
  </si>
  <si>
    <t>Nitin Pandya</t>
  </si>
  <si>
    <t>Dilip Kumar Das</t>
  </si>
  <si>
    <t>T. Shanmugamanivel</t>
  </si>
  <si>
    <t>Jitendra Kumar Sharma</t>
  </si>
  <si>
    <t>Bipin C Khawas</t>
  </si>
  <si>
    <t>Virgin Almeida</t>
  </si>
  <si>
    <t>Sanjeev Kumar</t>
  </si>
  <si>
    <t>Paul James Kennedy</t>
  </si>
  <si>
    <t xml:space="preserve">Hi Sesha&lt;br/&gt;Thank you for all your support till date on multiple projects / issues. You have been always helpful and try to come up with solutions.&lt;br/&gt;because of your support we are able to run our operations smoothly from all fronts, be it Technical, Vendors management or negotiations with stake holders.&lt;br/&gt;Thanks once again for your continuous and unconditional support and guidance </t>
  </si>
  <si>
    <t>Any difficult task he can do it very easily ..</t>
  </si>
  <si>
    <t>Many thanks, Angela, for helping out to resolve a customer pain point--- unable to receive/download the monthly statement.</t>
  </si>
  <si>
    <t>I wanted to take a moment to express my sincere gratitude for your invaluable contribution and support in sending hourly reports, over and above your regular work. Your dedication and commitment have been instrumental in helping our team act promptly and respond effectively to various situations.&lt;br/&gt;&lt;br/&gt;The timely reports you provide enable us to stay informed and make well-informed decisions, ensuring smooth operations and swift responses. Your efforts do not go unnoticed, and we deeply appreciate the extra time and energy you invest in this task.&lt;br/&gt;&lt;br/&gt;Thank you once again for your outstanding support and for being such a reliable and proactive member of our team.</t>
  </si>
  <si>
    <t>Thanks to help me for digital agreement on Sunday because i was not present in training.</t>
  </si>
  <si>
    <t>Thanks to Hasmat to provide us Valuable data for business trend and related ups and downs tracker.</t>
  </si>
  <si>
    <t>Raghavendra helped while i was facing critical issue during bulk creation. He helped me and personally me to remove errors.</t>
  </si>
  <si>
    <t>Thank you Tapas, for your help in onboarding a SSD in Sahebganj, it was very difficult to get a partner there, there is no distributor of any company. &lt;br/&gt;Anchor Behaviour- Collaboration .</t>
  </si>
  <si>
    <t>Dear Pankaj, &lt;br/&gt;I want to utilise this platform to give Many thanks for your all time help in Gujarati translations. I have always seen your helping nature and quick support to me. Keep up doing the good work buddy.&lt;br/&gt;</t>
  </si>
  <si>
    <t>Excellent support for reconcile and helping to dispatch old WO copies</t>
  </si>
  <si>
    <t>I just want to take a moment to thank you for your invaluable support in preparing the BI presentation. Your shape insights, dedication and attention to details truly elevated the final output. Your ability to simplify the concept was instrumental in shaping the presentation. I truly appreciate the time and effort you dedicated to helping me. Thank you once again.</t>
  </si>
  <si>
    <t>Hi Pintu,&lt;br/&gt;Thank you very much for supporting us in collecting order of 280 connections  from Hotel OZEN Mansion Rajarhat. Your dedication and determination has helped us complete the task within the time limit.  I appreciate your positive attitude and willingness to help . I am so grateful for your contribution in getting the task completed flawlessly . &lt;br/&gt;&lt;br/&gt;thanks &amp; rgds&lt;br/&gt;Sanjeev kumar&lt;br/&gt;</t>
  </si>
  <si>
    <t>Varun had always put his best efforts to improvise and streamline the process and always available for any help needed in any area irrespective of his profile.</t>
  </si>
  <si>
    <t>Thanks for always patiently listening and helping us resolving any accounting and operation related issues</t>
  </si>
  <si>
    <t>I want to take a moment to recognize and appreciate your consistent support and dedication. You’re always ready to step up during busy phases, especially when tasks and testing for builds increase. Your proactive attitude and willingness to take on responsibilities ensure the team always meets its goals without missing a beat. This spot is a token of gratitude for your hard work, reliability, and the positive energy you bring to the team. Thank you for always being there when needed!</t>
  </si>
  <si>
    <t>Thank you for providing Comviva data cut on ticket SLA so promptly.</t>
  </si>
  <si>
    <t>Thank you very much Lenin for your instant help in getting the Binge SR Dump data and helping me prepare the summary report. Thank you once again for the speed of delivery.</t>
  </si>
  <si>
    <t>250+ bulk Activation in Month Of October</t>
  </si>
  <si>
    <t>Anantha has been innovative and collaborative in the automation journey. Thanks for help in vendor onboarding automation.</t>
  </si>
  <si>
    <t>Priya Kataria</t>
  </si>
  <si>
    <t>Himanshu Raghuwanshi</t>
  </si>
  <si>
    <t>Chaudhary Kalpesh</t>
  </si>
  <si>
    <t>Dharmendra Singh</t>
  </si>
  <si>
    <t>Rakesh Kumar</t>
  </si>
  <si>
    <t>Brijesh Kumar</t>
  </si>
  <si>
    <t>Ravi Tiwari</t>
  </si>
  <si>
    <t>Almost all content viewing apps have hero banners as a norm. The radical thought of not having a hero banner for TPMA warranted a A/B testing. As it could potentially have impact on business KPI and customer experience. A/B testing as a solution was not available and hence had to get developed. For doing the test it was also critical that we had the baseline of KPI’s available across content viewing and upselling and their CTR’s. The launch of AB testing required it to be prioritized in the road map along with business rules being put in place. It also required a new UI to be created along with localization. The period for this testing was also critical as we wanted to test this with and without a sporting event. Last but not the least it required a mindshift change to go against the norm. A/B testing was launched in November and we monitored the performance over 14 days. The results were interesting. It showed that not having a hero banner did not have any adverse impact on business.</t>
  </si>
  <si>
    <t>With over 20 new releases on Tata Play Binge every week, across partner apps, there was an opportunity to ride on the popularity and buzz of the titles and leverage that to drive higher subscriptions and engagement for Binge. The team identified the high-decibel content releases to create a seamless end-to-end strategy: procuring trailers and promos, crafting compelling assets, and deploying them across multiple touchpoints including Ch 100, set-top boxes, Binge App, TPMA, emailers, notifications, digital platforms, social and field communication. What sets this initiative apart is the agility - despite tight timelines with partners delivering assets just days or even hours before launch, the team has executed flawless go-to-market plans, ensuring maximum impact.</t>
  </si>
  <si>
    <t>Would like to extend appreciation to the team for their dedication and collaboration for the successful launch of the Quality Framework- 'NEF' for SR desk.&lt;br/&gt;Team created comprehensive Quality framework, stringent guidelines, ensured training sessions, calibrations, simplifying the guidelines, system enhancements for higher efficiencies and collaborated with partners to ensure seamless integration and adoption of the new framework. The new framework has resulted in higher accuracies and quicker resolution &lt;br/&gt;</t>
  </si>
  <si>
    <t xml:space="preserve">Currently the Capex cost per playout channel from a conventional playout/Automation system is 30 Lacs in the playout Hardware, Baseband chains and Playlists and an opex cost of 2 lacs p.a . Team has developed an inhouse cloud playout system. This is using Cloud native services of AWS. With this system there will be No Capex cost, and it will run on an opex cost of just 3.6 lacs per year per channel. Any new channel can be added within a notice period of 20 days, The playlists can be accessed/Played out anywhere. Six floater channels are already migrated to the new system and others will also migrate in next few weeks. It was a collaborative effort with different teams joining hands and making this work. This is one of its kind involved lot of innovative thinking, collaboration, changing with the times. </t>
  </si>
  <si>
    <t>RO Antennas old Feed system replacement with Krato’s feed got Carried out by In-house team members: Required to replace old Feed system of RO-Antennas and need to install new feed along with New LNB changeover system with Acrylic Protection Assembly for entire feed system, Tech Services team members taken ownership for this critical installations and completed the same on required Antennas.&lt;br/&gt;&lt;br/&gt;Installation and Replacement Rack power MDU’s EATON STS-16 units with EATON-ATS-16, To prevent equipment power failures in Compression system AVP racks old EATON STS-16 units which are having switching issues required to be replaced with New EATON ATS units, Tech Services team taken ownership and worked responsibly during Scheduled Activity timings and completed the critical MDU units replacement activity successfully.</t>
  </si>
  <si>
    <t>Reema Kukreja</t>
  </si>
  <si>
    <t>Naveen Goel</t>
  </si>
  <si>
    <t>Q3 FY25</t>
  </si>
  <si>
    <t>Ramu Jayaraman</t>
  </si>
  <si>
    <t>Arjunbhai Loh</t>
  </si>
  <si>
    <t>B. N. Rajesh Kumar</t>
  </si>
  <si>
    <t>Chandreshwer Tripathi</t>
  </si>
  <si>
    <t>Naveen Rawal</t>
  </si>
  <si>
    <t>Darshita Maru</t>
  </si>
  <si>
    <t>Dhruv Gilani</t>
  </si>
  <si>
    <t>Narendra Dwivedi</t>
  </si>
  <si>
    <t>Ayush Sharma</t>
  </si>
  <si>
    <t>K Satheesh Kumar</t>
  </si>
  <si>
    <t>Rajashekhar Kendadamath</t>
  </si>
  <si>
    <t>Kamal Singh</t>
  </si>
  <si>
    <t>Krupa Shah</t>
  </si>
  <si>
    <t>Pavan Kumar Muktapuram</t>
  </si>
  <si>
    <t>Pawan Chandra has joined us in May 24, he has learned quickly and understand the process &amp; KPIs. He has aligned the partners and their team and create WIN- WIN situation for both. &lt;br/&gt;He has delivered 100% growth in BMP over Q2’24 and achieved 14.1% in Q3 his All-India rank in Top 8 is 6th in Oct, 4th in Nov and 5th in Dec.&lt;br/&gt; He has also delivered 50% growth in Live TV and achieved 44% in Q3. </t>
  </si>
  <si>
    <t xml:space="preserve">Gireesh, wanted to take this opportunity to appreciate your contributions in IVR and outbound domains involving complex and multi domain projects . Your ability to work on Solutions involving IVR real time recharge dip check and call transfer to Fiber has been impressive  . Additionally your work on outbound projects leveraging true caller solutions, RA calling solutions on a SIEBEL Domain and Data extraction module, In home project - Outbound design capabilities demonstrates your adaptability to navigate multi domains and complex challenges  . What sets you apart , however , is your consistence, responsiveness and willingness to collaborate ensuring seamless project execution and timely delivery  . Thank you for your efforts and unwavering commitment and we look forward to your continued contributions </t>
  </si>
  <si>
    <t>Nishant has worked on Comviva development as per leadership's ask to start managing Binge Mobile only Subscribers at the contact centre.&lt;br/&gt;He coordinated with internal teams and converted the ask into technical BRD and became single point of contact to drive the development with IT and Comviva team members.&lt;br/&gt;&lt;br/&gt;While working on this project-&lt;br/&gt; &gt; Nishant gathered all technical requirements&lt;br/&gt; &gt; Created prototype for Agent facing Comviva API and ticketing pool&lt;br/&gt; &gt; Created logic for ticket routing with the help of internal BE team members&lt;br/&gt; &gt; Created logic for ticket assignment and pool&lt;br/&gt; &gt; Ensured end to end testing during Golive&lt;br/&gt; &lt;br/&gt;With all these efforts, we are live with enhancement Binge specialized desk which is helping us in delivering better FTR% and lessor load for our Technical team.</t>
  </si>
  <si>
    <t>Champa has worked on call transfer connectivity between Tataplay DTH/Binge and Tataplay Fiber contact centers which happened for the first time where call transfer was proposed between two different entities.&lt;br/&gt;&lt;br/&gt; &gt; This project required multiple cross functional connects starting from taking approvals from Legal and Finance for establishing connectivity &lt;br/&gt; &gt; and then finding a technical solution with the help of IT and CO SSD teams. &lt;br/&gt; &gt; Post finding the technical solution (PRI to PRI call transfer), She also worked on creating the issue wise TT steps for all mobile only Binge issues and got it uploaded in Pulse for agent's easy reference.&lt;br/&gt; &gt; Transfer scripts as per legal inputs&lt;br/&gt;&lt;br/&gt;With all the efforts, we are live with call transfer facility between Tataplay and Fiber contact center where -&lt;br/&gt;&gt; Fiber contact centre agents can transfer any call related to DTH, Binge ATV/FTV or Mobile only to our Binge specialized desk&lt;br/&gt;&gt; Tataplay contact centre agents can transfer any call related to Fiber cont</t>
  </si>
  <si>
    <t>Ramu has excelled in delivering results by consistently achieving outstanding outcomes through ownership and quick decision-making. He has driven excellence in customer satisfaction (NPS) for both completed and canceled work orders and performed exceptionally on critical parameters like ROCE. In Q3, he achieved a 96+ customer satisfaction score, with 20–25% conversion of long-duration packs and significant additions to Binge Mobile Pack subscriptions. In building partnerships, Ramu fostered strong relationships with stakeholders through empathetic collaboration, ensuring seamless goal execution. By adapting with agility, he navigated challenges, embraced change, and achieved impactful results.  As of October 24, Ramu is the No. 1 ASM nationally and in his group category on the Field Service Scorecard.</t>
  </si>
  <si>
    <t>Arjun did a Great Work in Bulks,As in Gujarat and Especially in Saurastra due to Diwali Traditional Trade was slow as people went out for vacctions,hence to counter this gap Arjun did a Complete Storming for Bulk well in advance of Diwali.As a result of his efforts not only he get the Big Nos inspite of close markets but he also inspire others by his smart thinking and Positive approach.He done Close to 600 BULKS in Oct and Nov and in dec as well he is Aiming same.&lt;br/&gt;Great Example of Thinking out of the Box (Experimentation)and Executing the Same to get Good Results(Chase Results)&lt;br/&gt;&lt;br/&gt;Bulk tOct tNov tDec till 21st&lt;br/&gt;Arjun Loh t286 t297 t112&lt;br/&gt;</t>
  </si>
  <si>
    <t>We would like to appreciate the contributions of Gaurav Nanda in spearheading the successful migration to our new workspace in Noida. From start to finish, Gaurav demonstrated exemplary ownership, proactive planning, and a solution-oriented mindset that played a pivotal role in the smooth execution of this initiative.&lt;br/&gt;The transition involved several critical stages, including identifying a suitable co-working space within the allocated budget, managing agreement formalities, designing an efficient office layout, and coordinating the movement with multiple stakeholders. Gaurav’s meticulous approach, combined with anticipating potential challenges and address them with foresight and efficiency, ensured minimal disruption to daily operations.&lt;br/&gt; His proactive coordination with cross-functional teams and vendors was instrumental in driving this move to success. By ensuring timely communication, seamless logistics, and a well-structured execution plan,</t>
  </si>
  <si>
    <t>Rajesh has been instrumental in making call centre agents life easy and simple via various digital interventions. He has created many snippets and simulations which help the agents to learn the product/process quickly and also explain the steps to customers for self help. He has been working on agent assist Gen AI module which will be a game changer both for agents and organisation.</t>
  </si>
  <si>
    <t xml:space="preserve">Akshat Singh deserves recognition for his exceptional work on our recent A/B testing on Tata Play Mobile. &lt;br/&gt;&lt;br/&gt;He played a crucial role in bringing together our subscriber marketing, design, analytics, and tech teams, ensuring everyone was aligned on the testing approach, key metrics, and solution development. His dedication to clear communication and collaborative problem-solving was instrumental in the successful delivery of the test. He is also working with teams to build the roadmap and deliveries for the remaining tests planned for the year. </t>
  </si>
  <si>
    <t>Dear Debopam,&lt;br/&gt;We want to take a moment to comment you for your Job Well Done in executing our recent Sirf Lagta Hai Mehenga campaign. Your agility, feedback and commitment to excellence have helped to ensure better execution of the TVC. Additionally, your pivotal role in coordinating the wall painting pilot initiative in rural TN stands out as testament to your dedication. The project required cross functional team coordination, ability to adapt in real time and managed it all with remarkable effectiveness. Well done for the efforts and your contribution for 2024 to the brand!</t>
  </si>
  <si>
    <t>Chandreshwar took ownership of a critical aspect, readiness of video content, of the channel launch “Deiveegam”, demonstrating accountability. He focused on quality control of video content and ensured content alignment with the channel's vision before it went live. He prioritized the preview of video content and managed QC failures and their replacements. Once content got ready, he ensured availability of dry run for pre-launch.&lt;br/&gt;Chandreshwar's actions demonstrate a well-planned and executed approach to content management for a new channel launch, minimizing the risk of issues and ensuring a professional debut</t>
  </si>
  <si>
    <t>Dipak is a go getter, task Oriented person, most importantly he plan &amp; execute its as per set timelines. Post Role Change from field ASM to MDU ASM he took this as challenge &amp; opportunity, adopted his role change positive considered as additional opportunity to enhance skill set re.  He is a consistent top performer In Region since last 3-4 months despite having very good base of MDU building. He manged well good nos of new built inflow residential as well commercial. He Help on many occasion sales acquiring New built commercial as well new buildings at shorter notice of 1-2 days, which appreciated many times by sales team.  He shown good control on vendors for timely &amp; quality execution of work resulting NO NC in TG since last 2 months, reduction of MDU repeat FR wo and ensured 100% MDU RNM monthly . I sincerely appreciate His hard work Expecting good work continues in future as well.</t>
  </si>
  <si>
    <t>He coordinated with the ITV Team and helped with the migration of ITV servers from Bangalore to Delhi and created the SOP for end-to-end onboarding the application and VPN setup.</t>
  </si>
  <si>
    <t>Amit collaborated closely with the business to lead several new initiatives on Binge, including the launch of Flexi Plans, Amazon/Apple TV, Fiber, Price Hike, and FS Demo Packs.&lt;br/&gt;The scope of work included tracking Acquisitions, Retention, and Engagement across price points and channels. Many proactive analyses were done, and insights were shared with the business to make informed decisions. On the product analytics front, Amit led the team on multiple initiatives like the Search dashboard, Recommendations dashboard to track engagement and user journeys. Amit is also spearheading the ‘Data Enrichment’ initiative for the entire analytics team and working closely with IT, Tech, Vendor Partners, Customer Operations etc. to get data sources like Call logs, Chatbot, NPS, Profitability, Clickstream etc. added to the analytics consumption later. During the year, Pratik had to work closely with multiple vendors like TCS, Cequity, and Valuelabs to deliver on the business expectations. There have</t>
  </si>
  <si>
    <t xml:space="preserve">Naveen has done a good job at Neolync and Flextronics to ensure that low-cost box is produced on time with highest standard of quality by managing NPI to MP rigorous audits and monitoring. More than 1.2 Million Nysa are already produced and Ivy close to 300K, resulting savings of ~$5,0 with each unit produced. </t>
  </si>
  <si>
    <t>Rahul has been instrumental in executing overall PACK MODIFICATIN project at Inbound contact centre. He liaised with every member involved in this project and ensured seamless delivery with internal and partner teams. Pack mod pilot project was LIVE within 10 days of initial thought and discussion; right from process flow to the script/module designing, he has demonstrated “Grow Partnership” competency effectively. “Thinking out of the box” has been well appreciated from reporting to execution perspective.  He has demonstrated great agility while coordinating across stakeholders and partner teams to bring speed to this project. We appreciate your approach and intent to make this pilot a steppingstone for record time execution. </t>
  </si>
  <si>
    <t>Prasath has been instrumental in Introducing Tableau Dashboard for Visualization of Outbound Revenue Campaigns. The same has been launched to stakeholders and are being used effectively by Revenue team members.&lt;br/&gt; Creation and automation of 4 new Outbound Revenue campaigns and the same has been delivered within 24 to 48 Hrs of Campaign Launch. Has used SSIS effectively and has automated the Revenue LOBs data structure&lt;br/&gt;80+ Adhoc reports for this fiscal year 20 of them in Q3, 80% completion on the same day&lt;br/&gt;His positive attitude towards helping other team members in automation and cracking difficult coding. Other team members have appreciated the same for his help&lt;br/&gt;Helping in DSS – Co-Ordinating with Valuelabs in sharing his knowledge on queries and codes helped in fixing graphs and reports.</t>
  </si>
  <si>
    <t>Pranshul has shown great collaboration across functions, execution excellence and Speed for the two critical projects:&lt;br/&gt;1. Great execution for Paris Olympics - Leveraging Tata Play Mobile App notification templates for Engagement and upselling. Focusing on near real time and contextual messaging&lt;br/&gt;2. ⁠Winback of Sony viewership post RIO - Picking up learning for Hotstar drop and identified the base and made a comprehensive plan and executed it with speed and consistency&lt;br/&gt;As a result of these, Olympics brought in 6 Lacs viewers (30% of TPMA viewers) &amp; Sony Viewership is back to before the period when Sony channels were removed in a very short period! Learning from both these initiatives have helped way of working and increased engagement and upselling revenue for app!</t>
  </si>
  <si>
    <t>Darshita showed experimental &amp; ownership traits while getting the “Lower Deduction Certificate” (LDC) for the company. Her collaborative methodology has ensured that the LDC was processed in minimum time possible. from the tax authority. &lt;br/&gt; &lt;br/&gt;During this business phase, saving cash flows is the key objective of finance team and Darshita has ensured that the business meets the same. With the issuance of LDC the customers would be liable to deduct lower Tax deduction at source (TDS) which will, in turn, increase the cash flow of the company and reduce the refund receivable from the Tax authorities. &lt;br/&gt; &lt;br/&gt;The LDC approach will also be used in future years, to ensure cash flow savings in future as well. Hence the benefit that will flow to the company, is long term in nature. This would parallelly reduce the compliance costs to claim refunds from the tax authority.&lt;br/&gt; &lt;br/&gt;Well done!</t>
  </si>
  <si>
    <t>Dhruv has been instrumental in taking up the ownership of the Binge partner reconciliation activity. This is a intricate activity involving multiple Tata Play &amp; partner systems for all the Binge content partners. It is critical from cost &amp; partner relationship perspective and Technology &amp; I.T teams were facing challenges in the same. Dhruv has been able to catalyse this activity by interactive with various stakeholders &amp; their external partners as well to resolve the gaps. Daily calls with these stakeholders are being done so that the checks remain in place. The automated tool of Technology is also tested thread bare and implemented to automate this process and subsequently remove any human dependency. But till then, Dhruv is ensuring that there are no escalations and any gaps are addressed by the respective team immediately.</t>
  </si>
  <si>
    <t>He designed a detailed downlink connectivity diagram outlining the signal flow and network architecture for the Chennai relocation project. This diagram served as a reference for technical teams to ensure seamless integration of downlink services, troubleshooting, and future upgrades.&lt;br/&gt;Proactively Involved in the migration process for the Gsat-30 Uplink Network from A &amp; B to C &amp; D, coordinating with technical teams to ensure a seamless transition. Also involved in configuring new uplink parameters, verifying signal strength, and minimizing downtime during the switch-over. The migration enhanced overall network efficiency and service reliability.</t>
  </si>
  <si>
    <t xml:space="preserve"> tAyush Sharma diligently conducted an analysis of the auxes utilization of NVSD agents, preparing a detailed report on the utilization of auxes by both desk and agent. This analysis effectively highlighted the usage patterns of productive and unproductive auxes, ultimately contributing to enhanced agent productivity and cost savings for the organization.&lt;br/&gt;</t>
  </si>
  <si>
    <t>Pavan Jagannath has helped to validate and close the concerns of call center partners regarding WFH/WFO differential amount of one year. He has thoroughly validated the data and taken efforts to check the past data as well with multiple calls with various stakeholders. He has also set the process for going forward for one of the partners so that the same can be validated without any glitches.&lt;br/&gt;Job well done Jagan - keep it up!</t>
  </si>
  <si>
    <t>Dattatraya Jadhav</t>
  </si>
  <si>
    <t>Varun Malhotra</t>
  </si>
  <si>
    <t>Damandeep Singh</t>
  </si>
  <si>
    <t>Sitanshu Rampal</t>
  </si>
  <si>
    <t>Datta joined on August 24 and took charge of the PCMC market and non-trade partners. With prior experience in the DTH sector, he quickly adapted to his new role, capturing key aspects of the business, and beginning to deliver results promptly.&lt;br/&gt;&lt;br/&gt;He has built strong relationships with CEISP partners, which has positively impacted business growth. Additionally, Datta has developed excellent rapport with trade dealers, partners, and DSR ISPs, fostering collaboration and driving improvements in his area. His proactive approach and sense of ownership have been instrumental in enhancing business performance.&lt;br/&gt;&lt;br/&gt;Datta’s ability to align closely with partners and his consistent focus on driving results are evident in the positive changes reflected in his market. His dedication and early achievements make him a deserving candidate for this recognition.&lt;br/&gt; </t>
  </si>
  <si>
    <t>In recognition of your outstanding performance, dedication, and proactive approach as a new member of the team. Your ability to coordinate seamlessly, solve challenges effectively, and ensure DND project milestones are met has made a significant impact within a short span. Congratulations on setting a high benchmark for excellence as a debutant. Keep up the good work. &lt;br/&gt;</t>
  </si>
  <si>
    <t>Damandeep Singh joined in Sept 24 as Manager Sales Planning and Finance. He has been entrusted with handling the responsibilities of sales finance MIS reporting along with backend support for one of most ambitious sales projects namely EVD UPI Automation. Daman is efficiently handling all the back-end activities and escalations related to EVD UPI Automation project. He has created a tracker of escalations and regularly reviews them. Due to this the TAT for resolution has come down to almost 2-3 days from 5-6 days earlier. He regularly interacts with project vendor and ensures that all the concerns are handled effectively.  He is meticulously working on to improvise the back-end processes and data analytics related to EVD UPI automation project. Due to his regular follow-ups and coordination with vendor, the payment settlement issues has come down drastically.&lt;br/&gt;Mentionable Qualities-&lt;br/&gt;Proactiveness &amp; Self-Driven&lt;br/&gt;Strong Analytical Skills&lt;br/&gt;Desire for Self-Improvement</t>
  </si>
  <si>
    <t>Anirudh Das has quickly made a significant impact with his strategic thinking and executional excellence. His stellar work in driving Binge subscriptions through the TPMA app, along with enhancing on TV(HD/SD/Binge+) statics and effectively leveraging targeted CH100 promos, has delivered measurable results.&lt;br/&gt;&lt;br/&gt; What truly sets Anirudh apart is his proactive approach to small yet impactful initiatives. His efforts in A/B testing, monthly requirement calendar enhancement for streamlined requirement sharing with comms, analytical skills used to measure campaign performance and Zero App campaign optimization demonstrate his attention to detail and focus on process improvement. These initiatives have further boosted team efficiency and performance.&lt;br/&gt;&lt;br/&gt; Anirudh’s ownership, agility, and innovative mindset make him a strong contender for the Debutant Award. His contributions have raised the bar, and we look forward to celebrating more milestones from him in the future.</t>
  </si>
  <si>
    <t>Sarath Kumar Reddy B.</t>
  </si>
  <si>
    <t>Shivank Gupta</t>
  </si>
  <si>
    <t>Majid Fayaz Kawa</t>
  </si>
  <si>
    <t>Raman .</t>
  </si>
  <si>
    <t>Sharad Arya</t>
  </si>
  <si>
    <t>M. Muthuselvam</t>
  </si>
  <si>
    <t>Shivaiahgari Bharath Kumar Reddy</t>
  </si>
  <si>
    <t>LACHA REDDY CHITIKELA</t>
  </si>
  <si>
    <t>Tirupati Sai Venkata Sudhakar</t>
  </si>
  <si>
    <t>Sachin Kumar Saharawat</t>
  </si>
  <si>
    <t>Sunil Kumar Gupta</t>
  </si>
  <si>
    <t>K.G. Satheeshkumar</t>
  </si>
  <si>
    <t>Andrews J</t>
  </si>
  <si>
    <t>Ramanathan T.</t>
  </si>
  <si>
    <t>Vignesh N</t>
  </si>
  <si>
    <t>Ruturaj Vhatkar</t>
  </si>
  <si>
    <t>Zarius Captain</t>
  </si>
  <si>
    <t>Karn Kishor Ojha</t>
  </si>
  <si>
    <t>Satish Sharma</t>
  </si>
  <si>
    <t>MD Mohsin Alam</t>
  </si>
  <si>
    <t>Kunal Kashyap Sharmah</t>
  </si>
  <si>
    <t>Sukanta Chatterjee</t>
  </si>
  <si>
    <t>Kiran Rout</t>
  </si>
  <si>
    <t>Bhagabat Mishra</t>
  </si>
  <si>
    <t>Atul Sahay</t>
  </si>
  <si>
    <t>Sanjib Kumar Dwivedi</t>
  </si>
  <si>
    <t>C. Sheik Mehaboob Basha</t>
  </si>
  <si>
    <t>D. Madan Gopal Rao</t>
  </si>
  <si>
    <t>Prashant Kamble</t>
  </si>
  <si>
    <t>Rajinder Singh</t>
  </si>
  <si>
    <t>Prashant Bisen</t>
  </si>
  <si>
    <t>Sachin Zunke</t>
  </si>
  <si>
    <t>Prakash Gujale</t>
  </si>
  <si>
    <t>Aniket Vichare</t>
  </si>
  <si>
    <t>Manoj Kumar</t>
  </si>
  <si>
    <t>Soumya Poojary</t>
  </si>
  <si>
    <t>Satish T.</t>
  </si>
  <si>
    <t>Satpute Dhuludev</t>
  </si>
  <si>
    <t>Rohan Swarnkar</t>
  </si>
  <si>
    <t>Paraneetharan R.</t>
  </si>
  <si>
    <t>Manish Kumar Sethi</t>
  </si>
  <si>
    <t>Gaurav Tripathi</t>
  </si>
  <si>
    <t>Debasish Patra</t>
  </si>
  <si>
    <t>Siladitya Sengupta</t>
  </si>
  <si>
    <t>Avisekh Banerjee</t>
  </si>
  <si>
    <t>Vikrant Sehgal</t>
  </si>
  <si>
    <t>Sambuddha Sen</t>
  </si>
  <si>
    <t>Sumeet Vaishnav</t>
  </si>
  <si>
    <t>Vishwas Pawar</t>
  </si>
  <si>
    <t>Dilip Kumar Mandal</t>
  </si>
  <si>
    <t>Arnab Basu</t>
  </si>
  <si>
    <t>Vikram Kumar</t>
  </si>
  <si>
    <t>Subhasish Mohapatro</t>
  </si>
  <si>
    <t>One of the corporate account wanted an exclusive feature which was to be enabled for better viewership. Vivek was the one who thought out of box to collaborate with the respective teams like sales, service, technology and vendors and ensure the requirement was fulfilled by the Basically, they didn't want 100 channel ad's reflecting when the STBs were switched on. Vivek worked on the same and ensured Tata play logo displayed instead of the channel ad's which was accepted by the corporate account and the client was satisfied.</t>
  </si>
  <si>
    <t>Chanmeet played a pivotal role in the recently concluded Final Review of ET Program 2024-25. There were a few last-minute modifications which made us deviate from the original schedule. However, Chanmeet liaised with multiple stakeholders and was able to execute everything flawlessly even when they came to him at the 11th hour. Kudos to him for showcasing the behaviors of Collaboration, Ownership and Speed!</t>
  </si>
  <si>
    <t>Chetan played a pivotal role in the recently concluded Final Review of ET Program 2024-25. There were a few last-minute modifications which made us deviate from the original schedule. However, Chetan liaised with multiple stakeholders and was able to execute everything flawlessly even when they came to him at the 11th hour. Kudos to him for showcasing the behaviors of Collaboration, Ownership and Speed!</t>
  </si>
  <si>
    <t>Sagar consistently takes ownership of his responsibilities and ensures that every possible use case is thoroughly tested, making sure the Tata Play mobile app performs seamlessly and remains bug-free.&lt;br/&gt;His outstanding expertise in testing has been evident across various critical features, including Picture-In-Picture ( PIP), APV and Netflix packs handling, Native self-care search, Dhamaka customer restrictions, and many more. Sagar’s proactive approach and attention to detail have been instrumental in ensuring these features function flawlessly.&lt;br/&gt;Moreover, his strong collaboration skills have been a key factor in closing testing efforts within the given timelines, enabling the timely release of new app versions. Sagar also goes above and beyond by providing valuable suggestions for improvements, contributing significantly to the app’s overall quality and the enhancement of the customer experience.&lt;br/&gt; Sagar plays a pivotal role in maintaining the high standards of the Tata Play Mobile App.</t>
  </si>
  <si>
    <t>Maneesha has been testing all the large screen platforms including Android Smart TV, Fire TV Sticks, LG Smart TV and Samsung Smart TV. She has been proactively reporting all the bugs and I have received all the required support for timely build deliveries in every release.  &lt;br/&gt;&lt;br/&gt;In December release, she supported on verification of the critical features like UI/UX revamp, Zee5 RMN integration on Samsung, etc.   &lt;br/&gt;&lt;br/&gt;Thanks for the efforts put down towards successful deliveries. Much appreciated.. !!!</t>
  </si>
  <si>
    <t>I have been working with Sarath during BUAT testing, I found him very calm and helpful. Together we have achieved multiple tuff deadlines and milestones. &lt;br/&gt;&lt;br/&gt;In December release we worked together and delivered sprint timely. We worked in Small screen platforms and delivered sprint timely.  &lt;br/&gt;Thanks for support, collaboration at every step.</t>
  </si>
  <si>
    <t>Shivank have proactively identified recon data difference of TRAI Audit Count of Irdeto CAS (count during last audit was small, the difference between the current year is substantial) and taken initiative after office hours and helped in resolving it on time. Thank You.</t>
  </si>
  <si>
    <t xml:space="preserve">Dear Bhupendra ,&lt;br/&gt; You are really a great support to team.  Your coordination is also excellent.  You yourself call every team member whenever they require support. You manage everything so well and within time.  </t>
  </si>
  <si>
    <t>Majid - Great work done in UPP, 83 recharges with growth of 1086%. 2 months back you took this challenge to improve. last month some good momentum but this month great  work and also overall you performance has improved.  You have taken ownership of this project, and you did it ... Highest UPP in North.</t>
  </si>
  <si>
    <t>Dear Bhavya,&lt;br/&gt; Situation : Dhamaka Balance Lock CR from Msales Source UAT Testing had dependency on Customer operations team &amp; this was a showstopper on 27-Nov-24 &amp; was planned for golive on 28-Nov-24&lt;br/&gt; Task : &lt;br/&gt;Account Creation, Tsk Registration, Package Addition, Work Order Creation, Activation for Commercial &amp; Corporate Accounts&lt;br/&gt;Tsk Refund to be initiated for both Pending / Activation for both +ve &amp; -ve Scenario&lt;br/&gt;All of the Above Scenario’s were to be tested for both in UAT/Beta environment&lt;br/&gt;Actionable : &lt;br/&gt;Bhavya demonstrated Put Customer First/Teams up/Chase Result &amp; Calibration competency. Inspite of regular BAU she understood the business urgency &amp; crucial timelines of golive by taking necessary consent from her team. She exceled &amp; helped the team by Creating multiple commercial &amp; Corporate accounts. &lt;br/&gt;Result : Her Support &amp; Dedication helped not only on the timely closure of testing but also helped in meeting up the golive dates with Defect Free Deployment.</t>
  </si>
  <si>
    <t>I just wanted to say a HUGE thank you for being an absolute rockstar! Your help with Binge Bot Migration from OriServe to Omnichannel Bot Platform (Time bound migration project), Get Help Rasa to LLM migration (First LLM model integration Project to go Live), and GenAI Agent Assist setup has been invaluable.&lt;br/&gt;Your dedication to ensuring our environments is always available for development is impressive, especially when it means reviewing and approving requests at crazy hours. You're the real MVP!&lt;br/&gt;Thanks for being an amazing colleague and for keeping our cloud infrastructure running smoothly. I'm so grateful to have you on our team!</t>
  </si>
  <si>
    <t>THanks for your kind support customer has done 6 month Recharge but he was facing suscription issue and was pending from 2 days but after reaching to nithyanand,He given quick resolution and cleared mismatch.&lt;br/&gt;</t>
  </si>
  <si>
    <t>Appreciating Sandeep for drafting the test cases of CR820 &amp; CR 834 as these CRs have multiple new critical functionalities and will deploy on live very soon. You focused on basic types of test requirement &amp; covered all possible scenarios. As resulted, identified many critical bugs so far like UI issues &amp; some other issues.  Good Sandeep keep up fantastic work!”</t>
  </si>
  <si>
    <t xml:space="preserve">Vikas has consistently met his targets in infra APD and achieved the highest TSK with a 20% APD growth during the festive season, also shows consistent growth in APD and Infra month on month </t>
  </si>
  <si>
    <t>Sachin has achieved the highest TSK active in October and November, which is also reflected in his APD growth. Additionally, Sachin has excelled in building strong trade relationships, which has significantly contributed to his ability to achieve targets consistently month-on-month.</t>
  </si>
  <si>
    <t xml:space="preserve">Bhupendra is known for Collaboration and Speed. Open Ceisp Code with in 2 Hours otherwise Company Tat is 48 Hours </t>
  </si>
  <si>
    <t xml:space="preserve">Trade and Channel Appreciate the collaborative approach of Dhiraj Kapil . visit the market along with Sales ASM resolve the concern on immediate bases </t>
  </si>
  <si>
    <t xml:space="preserve">Raman shown Collaborative approach along with Sales team to drive sale and Resolve the service concern of Channel along with Sales Team </t>
  </si>
  <si>
    <t xml:space="preserve">Ashutosh providing timely support in Trade marketing and Value-added reports to entire team and Channel. Helped a lot in Circle improvement in Ranking  </t>
  </si>
  <si>
    <t xml:space="preserve">Sharad is doing great Job in Ludhiana His This Month Ranking in Number 1. In Last 6 Month in Top 3 ASM in Circle </t>
  </si>
  <si>
    <t xml:space="preserve">December release being critical with multiple key business impacting features, Nikhil took the ownership to spearhead the UAT efforts and has been instrumental in ensuring the release is done in time, within constrained timelines,   </t>
  </si>
  <si>
    <t>Mansi took charge of Tata Play Binge’s social media as handover and she drove the platform’s first reel to cross 1M organic views and helped a YouTube long-form video hit 17k+ views - both unprecedented numbers for the platform! Her efforts boosted follower growth across platforms and set new benchmarks. On top of that, she smoothed &amp; streamlined processes between the agency, internal teams, and content partners. Truly going above and beyond!</t>
  </si>
  <si>
    <t>Himanshu has been a key support in managing and leading the creative efforts for Binge Digital. His meticulous approach to processes and his timely coordination in securing content approvals have been crucial in ensuring smooth and efficient project execution.&lt;br/&gt; </t>
  </si>
  <si>
    <t>“Appreciating Manender for drafting the test cases of CR850 Synamedia project (CR829, CR818 &amp;CR819) as this project have multiple new critical functionalities and facing lot of challenges to validate E2E functionality of Synamedia STBs. You focused on basic types of test requirement &amp; covered all possible scenarios during drafting the test cases. As resulted, identified many critical bugs (approx. 20 bugs) so far like satellite NIT3 issue, maintenance reboot issue etc,  Good Manender keep up fantastic work!”</t>
  </si>
  <si>
    <t>I am happily express my sincere gratitude for your invaluable contribution and support in sending regular reports, over and above your day-to-day work. Your dedication and commitment have been instrumental in helping our team to act promptly and respond effectively to avoid the hard close Wo.  &lt;br/&gt;Without missing any single day, you do track our circle team, and you enable our team to stay informed and make well-informed, ensuring smooth operations and ensuring avoiding unwanted loss to all the partners. Your efforts do not go unnoticed, and we deeply appreciate the extra time and energy you invest in this task.  &lt;br/&gt;"Excellent work, Muthu, on consistently tracking hard closures daily. Your dedication and precision are truly commendable and make a significant difference. Keep it up!"</t>
  </si>
  <si>
    <t xml:space="preserve">Bharath your efforts in handling the tough territory over the last five months have not gone unnoticed. keep up the excellent work and i am sure in coming days your performance will help circle to achieve 100% on it. Big improvement was seen on critical workorder &amp; quality workorder closer. keep it up the good work continue. </t>
  </si>
  <si>
    <t>Lacha great Job in driving the CCO team to achieve 100% non-closed workorder closure within the given timeline, your dedication to our business KPIs is truly appreciated. your efforts in ensuring timely workorder closure have significantly contributed to circle to achieve 100% non-closed workorder in time. Keep it up the good work continue.</t>
  </si>
  <si>
    <t xml:space="preserve">Excellent work on the assigned task. you have set a high standard for future projects. your attention to detail and commitment to quality are truly valued. great job on NPS &amp; BMP. </t>
  </si>
  <si>
    <t>I wanted to express my sincere gratitude for the support you have provided me whenever required. Your expertise and timely responses have greatly contributed to my learning and progress.</t>
  </si>
  <si>
    <t xml:space="preserve">Nikhil demonstrated exceptional Ownership and Speed in the Binge LDPs and Dhamaka Balance Lock projects. He was instrumental is testing these critical projects to identify issues that would impact the end user or business and ensure that the outcome is as per the requirements. And all this was done on a very tight schedule.   &lt;br/&gt;Thank you, Nikhil ! </t>
  </si>
  <si>
    <t>Saumya’s strong ownership and collaborative approach were key to the successful go-live of the Native NPS journey, resulting in a more user-friendly and business-effective survey experience. She effectively led the project from design through UAT to go-live, working closely with stakeholders across Research, Product, Tech, and IT. Her efforts have not only improved the customer journey but also contributed to the company’s broader goals of enhancing user satisfaction and increasing upselling potential. With the Native NPS journey now live, significant improvements were seen, including a +5-point increase in the Recharge NPS score and +6-point increase in the Manage Packs NPS score.</t>
  </si>
  <si>
    <t>Thanks for your extended support in searching of new Repair center, supporting in pre-examiner activities and engaging me in technology activity for my knowledge &amp; skill development.</t>
  </si>
  <si>
    <t>Thara studied the budget report and identified the required GL movement and also coordinated with internal team to short close the excess amount in PO to make sure all the required PR &amp; PO are created for the Q2 &amp; Q3. And Thara have ensured all the necessary payments are released to vendors avoiding by coordinating with internal &amp; vendor team.</t>
  </si>
  <si>
    <t xml:space="preserve">good experimental knowledge </t>
  </si>
  <si>
    <t xml:space="preserve">he is very supportive </t>
  </si>
  <si>
    <t>I would like to extend my heartfelt appreciation to Satheesh KG for his crucial role in clearing all non-closed work orders as part of the new implementation from Head Office. Satheesh consistently coordinated with all partners, ensuring that their pending closures were addressed promptly. His relentless efforts and effective communication have resulted in zero pending closures.&lt;br/&gt;&lt;br/&gt;Satheesh's dedication and proactive approach have been instrumental in the success of this implementation. His commitment to excellence and teamwork has set a high standard for all of us.&lt;br/&gt;&lt;br/&gt;Thank you, Satheesh, for your outstanding contributions and for being an invaluable asset to our team. Your hard work and dedication do not go unnoticed, and we are truly grateful for your efforts.</t>
  </si>
  <si>
    <t>I would like to extend my sincere appreciation to Andrew for his outstanding coordination and dedication. Yesterday, Andrew demonstrated exceptional teamwork by effectively collaborating with all team members and working diligently to clear all non-closed work orders well before the deadline. This effort was crucial in supporting the new implementation initiated by Head Office.&lt;br/&gt;&lt;br/&gt;Moreover, Andrew has been instrumental in maintaining zero hard-closed work orders for many months, showcasing his consistent commitment and reliability. His proactive approach and unwavering determination have significantly contributed to our team's success and efficiency.&lt;br/&gt;&lt;br/&gt;Thank you, Andrew, for your remarkable efforts and for being an invaluable asset to our team. Your dedication and hard work do not go unnoticed, and we are truly grateful for your contributions.</t>
  </si>
  <si>
    <t>I would like to extend our heartfelt appreciation to Satheesh KG for his exceptional contribution to the design, development, and implementation of the simulation tool for Binge Upsell. Satheesh KG played an instrumental role in building and coordinating this simulation, significantly streamlining the process for our installers and technicians.&lt;br/&gt;Thanks to Satheesh's dedication and hard work, the simulation tool has made it remarkably easier and simpler for our field teams to handle Binge Upsell during their visits. His efforts have not only improved efficiency but also enhanced the overall experience for our technicians, allowing them to perform their tasks with greater ease and confidence.&lt;br/&gt;Satheesh's commitment to excellence and his ability to collaborate effectively have been key to the success of this project. We are truly grateful for his invaluable contributions and look forward to his continued success and innovation.&lt;br/&gt;Thank you once again, Satheesh, for your outstanding work.</t>
  </si>
  <si>
    <t xml:space="preserve">Pavan Jagannath has successfully closed the long pending - WFH &amp; WFO calculation for both the partners for 1 year. He has coordinated with different stake holders to close it successfully. </t>
  </si>
  <si>
    <t xml:space="preserve">Sales Manager with effective skills in Distribution, Channel and Team Handling. Highly organized and disciplined. </t>
  </si>
  <si>
    <t>Andrew's commitment to overcoming challenges and ensuring the successful completion of the bank guarantee (Shanmuganathan and Company) demonstrates his exceptional problem-solving skills and proactive approach. His hard work and determination have not only benefited the partner but also supported the organization's overall objectives.&lt;br/&gt;Thank you, Andrew, for your unwavering dedication and outstanding performance. Your efforts are highly appreciated and have made a substantial impact.&lt;br/&gt;Keep up the excellent work, Andrew! Your contributions are truly valued. 🌟</t>
  </si>
  <si>
    <t>Ramanathan T has demonstrated exceptional commitment and ownership in his role, particularly in sustaining zero document dispatch pending for the entire circle. This remarkable achievement is a testament to his dedication and meticulous attention to detail.&lt;br/&gt;Thank you, Ramanathan, for your unwavering commitment and outstanding performance. Your hard work and dedication are truly appreciated and have made a substantial impact.&lt;br/&gt;Keep up the excellent work, Ramanathan! Your contributions are highly valued. 🌟</t>
  </si>
  <si>
    <t>Mohan's journey over these months highlights his resilience and determination. His ability to maintain focus and strive for improvement, even when faced with challenges, is commendable. Mohan's contributions are highly valued, and his sustained efforts in binge renewal are greatly appreciated.&lt;br/&gt;Keep up the great work, Mohan! Your dedication and hard work are truly making a difference. 🌟</t>
  </si>
  <si>
    <t>Yuvaraj has demonstrated outstanding dedication and problem-solving skills in his recent collaboration with the F&amp;F vendor. Faced with a challenging situation that had escalated to a legal stage, Yuvaraj's relentless efforts were instrumental in identifying and recovering blocked stocks. His meticulous approach in locating these stocks and ensuring their timely return to the warehouse significantly supported the organization in reducing outstanding value.&lt;br/&gt;&lt;br/&gt;Yuvaraj's ability to navigate complex issues and deliver effective solutions showcases his commitment to the organization's success. His constant efforts and proactive attitude are highly appreciated and deserving of this recognition.&lt;br/&gt;&lt;br/&gt;Congratulations, Yuvaraj! Your remarkable achievements are truly commendable. 🌟</t>
  </si>
  <si>
    <t>Vignesh N's binge renewal trend highlights his sustainable approach and consistent effort. His ability to maintain a steady renewal trend, even in the face of minor setbacks, is a testament to his dedication and hard work. Vignesh's contributions are highly valued, and his commitment to maintaining high standards is greatly appreciated.</t>
  </si>
  <si>
    <t>Ruturaj has driven the Partner NPS project with the IT team to fruition. This project involvement working with multiple stakeholders and understanding intricacies that went beyond his role. Congratulations to him!</t>
  </si>
  <si>
    <t>Zarius is being recognised for the impactful DTH media plan in September - October that aided DTH sales growth. Not only did he execute it in record time but the selection of channels and programs ensured a quick build of top of mind awareness. Zarius is a team player who collaborates well with team and makes a difference. Best wishes to him.</t>
  </si>
  <si>
    <t>Debopam has played a pivotal role to lead the pilot of new wall painting strategy in TN. He has shown exceptional collaboration, creativity and execution skills to deliver this successfully. The meaningful results reflect the hard work and passion poured into this initiative. Thank you Debopam for making this pilot resounding success. Your efforts truly embody the spirit of collaboration and innovation that drives our team forward. Keep up the good work!</t>
  </si>
  <si>
    <t>we was facing difficulties in Chittaranjan area for new installation and then we jointly visited and Successfully created new TSRA with a good collaboration. Today the area is running without complain</t>
  </si>
  <si>
    <t>I appreciate Karn to show case effective collaboration and team leading skill during Regional Cricket Tournament. he managed well all the team members from different circles to delivering best out of them.</t>
  </si>
  <si>
    <t>Satish in his new role demonstrated Ownership and accurate delivery of the MIS and Cost Dashboards. His to do attitude has helped department to manage the timeline for presentation of MIS to the management.</t>
  </si>
  <si>
    <t>Hello Surya,&lt;br/&gt;This award is to recognize your contribution towards building OB Dashboards in Tableau. Appreciate your sincerity in learning the tool via online and in classroom to move all OB Retention dashboards from excel to Digital. Moreover, making the dashboards available by 9am is fantastic as this enables the stakeholders to design a proper plan for the day. With eye catching visualizations, these dashboards are helpful in further analytics and helps in driving better floor performance. The testimonies of the end users are also very encouraging and boosts the morale for the entire team. Keep up the good work.</t>
  </si>
  <si>
    <t>Good job done in last 3 days new dealer opening.</t>
  </si>
  <si>
    <t xml:space="preserve">Hi Akash,&lt;br/&gt;Appreciate your efforts in moving OB excel reports to Digital Dashboards. Good job in learning Tableau and implementing the same for all OB LOB's. Dashboards with various data cuts with slicers &amp; dicers enables the stakeholders to analyze the data and strategize for upcoming days. The Pictographical representations helps in comparative study of large data sets. Also immensely appreciate your efforts in aligning your PR's and delivering within timeline. Overall good work done on owning the transformation activity and the speed at which the requirements were met. It is observed that the stakeholders are using the tool extensively and benefitting from digital dashboards, received positive feed backs from all end users.  </t>
  </si>
  <si>
    <t xml:space="preserve">World will always remember who was first, you are always being first to give an update on work order document dispatch, Thanks for being first and always consistent </t>
  </si>
  <si>
    <t>Pratik, thank you for building such a comprehensive search dashboard! Your collaboration with the product team has resulted in a valuable tool for the entire commercial team. We appreciate your hard work and dedication</t>
  </si>
  <si>
    <t>Dipak has done an excellent job in completing the MDU site within a day, showcasing his exceptional dedication and ownership. Well done, Dipak!&lt;br/&gt;</t>
  </si>
  <si>
    <t>Thank you for providing detailed statistical insights for the Hero Banner AB test on TPMA, right from creating the plan, shortlisting the KPIs and performing the tests! The insights shared provided helped inform the product on the future roadmap for Home Page design!</t>
  </si>
  <si>
    <t>Thank you Geeta for fuelling the successful AB test for Hero Banner on TPMA with data led insights! The data analysis helped decide the future roadmap for content personalization on TPMA!</t>
  </si>
  <si>
    <t>Vivek has done a great job in helping Pune Repair Center to setup the signal network on a very short notice.&lt;br/&gt;He immediately collaborated with the RC partner team and delivered the result within a week time and created a robust network for signal distribution.</t>
  </si>
  <si>
    <t>Jeevan's knowledge of CR process and profound guidance during implementation of same within JIRA was the key factor of delivering this transformation project. He has been helpful and has been guiding us from day one for all the deliverables. Thanks for taking time out of your busy schedules and helping us along the way.</t>
  </si>
  <si>
    <t xml:space="preserve">With Anil's guidance and help, we were able to make Jira and Confluence live in a short span of time. His support and knowledge are far more valuable and should be recognized in every way possible. Thanks for believing and guiding us during the span of this project. </t>
  </si>
  <si>
    <t xml:space="preserve">Good job done by Vinod by taking sole ownership of Bulk activity for West II circle, and we have seen very good momentum in it. Your guidance to team is also very fruitful as team is confident on bulk now. Keep up doing good work. </t>
  </si>
  <si>
    <t xml:space="preserve">Deep Dayal Gupta is the primary contact at Tata Play when it comes to What's App (Chat Bot) related changes. I am sincerely grateful to Deep for his efforts in addressing all development CR's. He consistently adheres to deadlines and delivers Change Requests to UAT on the given timelines. Deep has also provided invaluable assistance and guidance to the UAT team in resolving defects.&lt;br/&gt;&lt;br/&gt;Moreover, Deep has been instrumental in resolving production issues, even during weekends, often with minimal support. I genuinely appreciate his dedication and assistance in these situations. </t>
  </si>
  <si>
    <t xml:space="preserve">Nirmal Kumar - Thanks for the prompt support &amp; collaboration in getting the invoices cleared in Zycus portal which has helped in running the critical operations smoothly </t>
  </si>
  <si>
    <t xml:space="preserve">Yashasvi  Gupta - Binge sales on OB have been a challenge over past couple of months. However last few months - the OB nos for Binge have gone up significantly. Amitabh has ensured that all efforts are done to ensure that nos go up and has worked closely with the commercial team. The Binge nos from OB need to go up further from here on. Wish Amitabh good luck </t>
  </si>
  <si>
    <t>Arnab Basu - Kunal has taken additional responsibility for many months for a very vast territory as a additional responsibility and very well conducted his operation through the entire phase.</t>
  </si>
  <si>
    <t>Abhiney Kharbanda - Meghana has been instrumental in shaping Binge performance for the OB team. Her collaborative efforts and zeal to have teething issues sorted with IT has been commendable. Her involvement and focus to improve Binge numbers at platform level is clearly visible and she on top of her game. &lt;br/&gt;Thanks for all your support and keep up the good work.</t>
  </si>
  <si>
    <t>Arinjaya Khare - Ginnie has demonstrated exceptional skill and dedication in her work. She consistently delivers Day 1 and Factbook Reports with remarkable speed and accuracy. Ginnie excels in collaboration, working seamlessly with other teams to coordinate deliverables and ensure the timely submission of data reports. Her efforts have been instrumental in achieving Day 3 Factbook, showcasing her ability to drive results under tight deadlines.</t>
  </si>
  <si>
    <t>Vikram Kumar - I recognise him for his ownership towards his whole team</t>
  </si>
  <si>
    <t>Rabindra Agarwal - Sukanta has taken ownership to publish the circle level RnR activity tracker and supported whole heartedly by sending regular updates for the same. He has been instrumental in supporting and coordinating for all possible visibility inputs also as and when required by the field team.</t>
  </si>
  <si>
    <t>Subhasish Mohapatro - Maintained Active Base between July to Oct 2024</t>
  </si>
  <si>
    <t>Subhasish Mohapatro - Highest TSK Active dealers in the month of Oct 2024 - Great Job</t>
  </si>
  <si>
    <t>Chitiz Rai - Great work on CEISP Big Day Atul. Keep it up</t>
  </si>
  <si>
    <t>Chitiz Rai - Great work on CEISP Big Day Sanjib. Keep it up</t>
  </si>
  <si>
    <t>Chitiz Rai - Great work on CEISP Big Day Mohsin. Keep it up</t>
  </si>
  <si>
    <t>Arpit Mutha - Superb rally from under 2.7lac services gross adds to 3.3lac and 3.4 lac gross adds in consecutively in Sep and Oct24. Strong drive and collaboration with Services team was key to delivering desired results. Kudos and keep rocking!!</t>
  </si>
  <si>
    <t>Arpit Muthra - Superb rally from under 2.7lac services gross adds to 3.3lac and 3.4 lac gross adds in consecutively in Sep and Oct24. Strong drive and collaboration with Services team was key to delivering desired results. Kudos and keep rocking!!</t>
  </si>
  <si>
    <t>Arpit Mutha - Superb bounce back to 2x sale through inbound call center. Strong drive and collaboration with stakeholders Linear, Services, Box, OTT and other Subs marketing teams was key to delivering desired results. While overall sale increased from 35k to ~70k, growth in Tata Play services was manyfold from ~7k to ~26k. Kudos!!</t>
  </si>
  <si>
    <t>Arpit Mutha - Gurpreet has gone an extra mile to do primary market research and understand the potential of a Haryanvi service in the state of Haryana. She took the ownership and completed the market research by drawing meaningful and actionable insights. She even sacrificed a holiday and went on to interview subscribers in-person to complete the research on time. Inspires through her ownership, commitment and passion.</t>
  </si>
  <si>
    <t>Sandeep Singh - Thank you for your prompt and dedicated assistance in availing the requested application to support our business needs. Your willingness to take full accountability and ensure everything was handled smoothly is truly commendable.</t>
  </si>
  <si>
    <t>Dilip Kumar Singh - Good effort in securing business of new client "ABG- Indriya" with a decent deal volume by combo deal structure of landing channel100 + S&amp;S for the month of Oct-Nov'24. Hence our overall new client revenue contribution weightage has also increased in Q3.</t>
  </si>
  <si>
    <t>Rabindra Agarwal - Avishek has delivered well in the key input parameters like new dealer appointment and highway town coverage in his territory and has also become the Winner of Trail Blazer Contest in the month of Oct 24. This is not done in a month alone, but this is a result of hard work done for new outlet opening and dealer engagement over a period of time which has given him the result in incremental stocking dealers and TSK. Good job Avishek and keep up the good work in coming months too. &lt;br/&gt;</t>
  </si>
  <si>
    <t>Atul Pawar - Dear Amit I appreciate your collaboration at Partner end to take desire project wos completion vai motivation at ISP Staff level  In Sep Month you were 1.9% and Oct you finish to double 7 %  with own positive new ideas implementations      &lt;br/&gt; &lt;br/&gt;Keep such new ideas implementation to get new results</t>
  </si>
  <si>
    <t>Atul Pawar - Dear Rakesh I appreciate your collaboration at Partner end to take desire project wos completion vai motivation at ISP Staff level  In Sep Month you were 4% and Oct you finish to double 8.7%  with own positive new ideas implementations      &lt;br/&gt; &lt;br/&gt;Keep such momentum to take new and positive results</t>
  </si>
  <si>
    <t>Atul Pawar - Dear Gopal &lt;br/&gt; &lt;br/&gt;I appreciate you taken as challenge yourself to take your Name in West region TOP ASM in BMP &lt;br/&gt; &lt;br/&gt;In Sep Month you were 10% and Oct you finish  15 %  get you in West Region TOP ASM  &lt;br/&gt; &lt;br/&gt;You show very good SPEED to reach to desire % so keep it up such to get new activity &lt;br/&gt;</t>
  </si>
  <si>
    <t>Atul Pawar - Dear Pankaj  I appreciate your collaboration at Partner end to take desire project wos completion vai motivation at ISP Staff level  In Sep Month you were 5% and Oct you finish to double 9.6%  with own positive new ideas implementations      &lt;br/&gt; &lt;br/&gt;Keep positive momentum at Partner level to get positive result</t>
  </si>
  <si>
    <t xml:space="preserve">Atul Pawar - Dear Manik &lt;br/&gt; &lt;br/&gt;I appreciate your Dedication and partner end motivation activity wherein In Oct Month you taken Binge mobile conversion as Challenge to get you as West Region Top ASM. &lt;br/&gt; &lt;br/&gt;In Oct Month you were 8% and Nov you finish to double 16% to remain  West Region Top 5 ASM &lt;br/&gt; &lt;br/&gt;You taken Challenge as Ownership and made Delivery and keep same momentum </t>
  </si>
  <si>
    <t>Divya Shenoy - Ajay helped resolve the issue on Sony Liv on the Diwali evening despite prior personal commitments. He exhibited ownership and collaborated with the Liv team to arrive at a solution and fixed the issue along with the help of the backend team from TTN. A big shoutout to Ajay. :) &lt;br/&gt;</t>
  </si>
  <si>
    <t>Chitiz Rai - Rabindra has taken ownership of the Business and came out as top performer in the month of October. This was not done in a month, the result is due to months of inputs like new outlet opening, CEISP appointment and KRO engagement which has given him the edge during festive times. Good job and keep it up Rabindra</t>
  </si>
  <si>
    <t>Kamal Kishore Sharma - Extended support in inventory management &amp; guide way to digitisation.</t>
  </si>
  <si>
    <t>Nandini . - Good work, Manender for testing the Synamedia Nova software with maintenance reboot feature. The build is now on-air. &lt;br/&gt;Thank you &amp; keep up the good work!</t>
  </si>
  <si>
    <t>Nandini . - Good work, Sandeep for testing the Synamedia Nova software with maintenance reboot feature. The build is now on-air. &lt;br/&gt;Thank you &amp; keep up the good work!</t>
  </si>
  <si>
    <t>Rajkumar Upadhyay - I want to take a moment to thank Ashutosh Sharma for stepping up and taking on the additional responsibility of coordinating with the Vadodara Zone Team (Partners and DSRs) during my absence while I was attending Top Gun-Paris R&amp;R. &lt;br/&gt; &lt;br/&gt;Your proactive approach, efficient communication, and commitment ensured the team's operations ran smoothly without any disruptions. You managed it with confidence and professionalism. &lt;br/&gt; &lt;br/&gt;Thank you for being such a reliable and supportive colleague.</t>
  </si>
  <si>
    <t>Chitiz Rai &amp; Rabindra Agarwal - Great work on CEISP Big Day Gopal. Keep it up.&lt;br/&gt;Gopal has taken ownership of the business and delivered well in the key input parameters in the month of October. This is not done in a month alone, but this is a result of inputs like new outlet opening, CEISP engagement and KRO engagement over a period of time which has given him the outcome during this season time. Good job Gopal and keep up the good work in coming months too.</t>
  </si>
  <si>
    <t>Yashasvi Gupta &amp; Arpit Mutha - Binge sales on OB have been a challenge over past couple of months. However last few months - the OB nos for Binge have gone up significantly. Monish has ensured that all efforts are done to ensure that nos go up and has worked closely with the commercial team. Close monitoring / experiments have been done. The Binge nos from OB need to go up further from here on. Wish Monish good luck.&lt;br/&gt;Superb rally from under 2.7lac services gross adds to 3.3lac and 3.4 lac gross adds in consecutively in Sep and Oct24. Strong drive and collaboration with Services team was key to delivering desired results. Kudos and keep rocking!!</t>
  </si>
  <si>
    <t xml:space="preserve">Mr. Basha really remarkable person, he done very Effective collaboratively arranges support for trail test box swap at CEP test lab.   that very help to us complete the test process on time.  </t>
  </si>
  <si>
    <t>Thank you, Imran, for managing Synamedia Nova &amp; Phoenix HD STB maintenance software upgrades, completed recently, expected to improve performance in field. Good work!</t>
  </si>
  <si>
    <t>Thank you, Manender,  for testing Synamedia Phoenix ( 42xx/43xx series) maintenance build , it is on air now &amp; expected to improve performance in field. Good job!</t>
  </si>
  <si>
    <t>As a buddy Tapas guided me a lot during my joining to this organisation. Apart from that he is very flexible and good human being . He has a good Ownership skill in system , The way of approach to train new joiner and CCO is very collaborative  and fruitful.</t>
  </si>
  <si>
    <t>Dear DMG&lt;br/&gt;&lt;br/&gt;I appreciate  Ownership taken by you for W5 Circle for not to get any single work order to get hard close.&lt;br/&gt;&lt;br/&gt;</t>
  </si>
  <si>
    <t xml:space="preserve">Hi Vivek, thanks for the important inputs and observations that you have shared related to MDU Audits- its helping to keep a check on NCs and we are together trying to protect Revenue by highlighting gaps found in MDU installations thru Tech Audits  </t>
  </si>
  <si>
    <t>Monish has been instrumental in driving OB performance for October and November and growth in conversions is phenomenal. Driving team internally and partner teams has resulted in great outcome and his attitude and zeal is clearly visible for coming months. Keep up the good work.</t>
  </si>
  <si>
    <t>I want to express my heartfelt appreciation for your dedication to implementing best practices in the repair centre, especially for Jade models. Your initiative in comparing test point impedances with golden samples has greatly enhanced repair quality.&lt;br/&gt;Also, your commitment to rigorously following the initiatives discussed during the TOT calls demonstrates your focus on continuous improvement and adherence to excellence. Your efforts are truly commendable and play a vital role in achieving our quality goals.&lt;br/&gt;Thank you for your outstanding contributions!</t>
  </si>
  <si>
    <t>Thank you for your exceptional support in helping identify the root causes of recent field swap cases. Your in-depth analysis and insights have been crucial in addressing key challenges and implementing best practices to enhance our processes.&lt;br/&gt;Your expertise and proactive guidance continue to make a significant impact, and I truly value the opportunity to work with you.</t>
  </si>
  <si>
    <t>Appreciate your efforts and leadership quality for consistent delivery on LDP (12% Plus) and BMP (15% plus) for last 4 months consistently.</t>
  </si>
  <si>
    <t>Chirag is instrumental in pulling the monthly closing earlier by around 2 hours. He has been collaborating with various stakeholders regularly to make this happen. He is pushing for more in future. All the very best for all the efforts.</t>
  </si>
  <si>
    <t xml:space="preserve">My buddy Tapas Kumar Pal has made me understand the ISP operation thoroughly during my initial days and all other parameters were made me cleared by him which helped me a lot in my understanding and performance in my working days when I handled my ISP. It was a very fruitful learning curve for me with Tapas and I cordially thank him for the same. </t>
  </si>
  <si>
    <t>Prashant has done exceptionally well in Binge contest and showed his presence at national level in Binge contest, He educated the partners &amp; installers on DTH Binge and improved from 3-4% to &gt;13% , with his efforts and collaboration every partner of the area engaged in the program which gave the overall good productivity. keep up the good work!!!</t>
  </si>
  <si>
    <t xml:space="preserve">Hi Sachin last month you Did Good Job in all KPI  and showed us that in tough time also how you can give your best by Taking ownership  and speed . </t>
  </si>
  <si>
    <t xml:space="preserve">congratulations Prakash for your extra ordinary hard work and dedication made you win 2 stocking dealers' contests Dubai and Goa trip .&lt;br/&gt;&lt;br/&gt;Great show keep shining .&lt;br/&gt;&lt;br/&gt;wining is habit make it habit  </t>
  </si>
  <si>
    <t xml:space="preserve">I want to extend my heartfelt appreciation for your remarkable achievement during the Diwali season. by doing 121% activation for the month  of Nov 24 .&lt;br/&gt; Your efforts have been truly inspiring. Great show &lt;br/&gt; &lt;br/&gt;wining is Habit make it habit </t>
  </si>
  <si>
    <t xml:space="preserve">I want congratulate Chandan for remarkable achievement during the Diwali season. Completing 100 activations consecutively for 3 days in the Thought Market and overall achieving ever highest for this financial year &lt;br/&gt; Your commitment has set a benchmark for excellence, and your efforts have been truly inspiring. Great show &lt;br/&gt; Keep up the great work!&lt;br/&gt;Winning is Habit make it Habit </t>
  </si>
  <si>
    <t>Thanks RiteshJi for timely planning of Stocks to all partners during the festival period and also delivery on time so that all the partners are highly motivated and delivered excellent numbers during the festival period, Infact all the TSRAs are also happy for getting the timely sufficient material for festival period.</t>
  </si>
  <si>
    <t>Heartiest Congratulations Geetesh for Closing 17 Bulk Properties and with 640 Bulk Activations with Nationally Highest Bulk Activations in a month and ensuring 130 % overall activations target which reflects the Hard work and dedication in closing the Bulk accounts .&lt;br/&gt;&lt;br/&gt;</t>
  </si>
  <si>
    <t xml:space="preserve">Great Initiative by doing 54 nos in a day in Binge </t>
  </si>
  <si>
    <t>Deevanshu did a brilliant job in implementing release / CR management and Documentation Repository in Atlassian tools (JIRA and Confluence).&lt;br/&gt;CR management and Documentation were everlasting problems in managing the work. Now with these implementations, all requirements can be tracked in proper flow from BRD phase to deployment phase.&lt;br/&gt;Also, Deevanshu is very agile in onboarding all the teams / departments in Tata Play to JIRA, so that it becomes a one stop solution for all teams to do CR / Release management.</t>
  </si>
  <si>
    <t>Great Job on doing 50+ Binge app in single day.... Great and motivational execution...  Proud to have team member like you... All the best!!!</t>
  </si>
  <si>
    <t>Great Job IN BMP score in national contest!!! Proud moment for me that you completed buddy program with me...  All the best for your bright future. Keep glowing and growing!!</t>
  </si>
  <si>
    <t>Congratulation and Great Job in Overall execution of KPI in west region, Proud to have Team member like you that you achieved top position in Mumbai circle and in West region... All the best!!</t>
  </si>
  <si>
    <t>Great Job Pawan in Critical work order follow up, you take good ownership, keep it up!!</t>
  </si>
  <si>
    <t>I want to take a moment to thank Ashutosh Sharma for stepping up and taking on the additional responsibility of coordinating with the Vadodara Zone Team (Partners and DSRs) during my absence while I was attending Top Gun-Paris R&amp;R.&lt;br/&gt;&lt;br/&gt;Your proactive approach, efficient communication, and commitment ensured the team's operations ran smoothly without any disruptions. You managed it with confidence and professionalism.&lt;br/&gt;&lt;br/&gt;Thank you for being such a reliable and supportive colleague.</t>
  </si>
  <si>
    <t>Manoj is delivering on each upsell parameters consistently and ensuring top position in circle as well as region. His recharge overall is consistently above 15% month on month and also doing very good in Binge Mobile Upsell. He is dedicated to give best result in each of the service deliverables.</t>
  </si>
  <si>
    <t>Good work, Sandeep for testing the Synamedia Nova software with maintenance reboot feature. The build is now on-air.&lt;br/&gt;Thank you &amp; keep up the good work!</t>
  </si>
  <si>
    <t>Good work, Manender for testing the Synamedia Nova software with maintenance reboot feature. The build is now on-air.&lt;br/&gt;Thank you &amp; keep up the good work!</t>
  </si>
  <si>
    <t>Extended support in inventory management &amp; guide way to digitisation</t>
  </si>
  <si>
    <t xml:space="preserve">Binge sales on OB have been a challenge over past couple of months. However last few months - the OB nos for Binge have gone up significantly. Monish has ensured that all efforts are done to ensure that nos go up and has worked closely with the commercial team. Close monitoring / experiments have been done. The Binge nos from OB need to go up further from here on. Wish Monish good luck </t>
  </si>
  <si>
    <t xml:space="preserve">Binge sales on OB have been a challenge over past couple of months. However last few months - the OB nos for Binge have gone up significantly. Amitabh has ensured that all efforts are done to ensure that nos go up and has worked closely with the commercial team. The Binge nos from OB need to go up further from here on. Wish Amitabh good luck </t>
  </si>
  <si>
    <t xml:space="preserve">Kunal has taken additional responsibility for many months for a very vast territory as a additional responsibility and very well conducted his operation through the entire phase. </t>
  </si>
  <si>
    <t>Meghana has been instrumental in shaping Binge performance for the OB team. Her collaborative efforts and zeal to have teething issues sorted with IT has been commendable. Her involvement and focus to improve Binge numbers at platform level is clearly visible and she on top of her game.&lt;br/&gt;Thanks for all your support and keep up the good work.</t>
  </si>
  <si>
    <t>Ginnie has demonstrated exceptional skill and dedication in her work. She consistently delivers Day 1 and Factbook Reports with remarkable speed and accuracy. Ginnie excels in collaboration, working seamlessly with other teams to coordinate deliverables and ensure the timely submission of data reports. Her efforts have been instrumental in achieving Day 3 Factbook, showcasing her ability to drive results under tight deadlines.</t>
  </si>
  <si>
    <t xml:space="preserve">I recognise him for his ownership towards his whole team  </t>
  </si>
  <si>
    <t>Sukanta has taken ownership to publish the circle level RnR activity tracker and supported whole heartedly by sending regular updates for the same. He has been instrumental in supporting and coordinating for all possible visibility inputs also as and when required by the field team.</t>
  </si>
  <si>
    <t>Darshita has managed to close the Limited Review for Q2 with Auditor. She also managed the auditor in handling their queries with a collaborative manner. We congratulate her and welcome to the FR and MIS team.</t>
  </si>
  <si>
    <t>Maintained Active Base between July to Oct 2024</t>
  </si>
  <si>
    <t>Highest TSK Active dealers in the month of Oct 2024 - Great Job</t>
  </si>
  <si>
    <t>Great work on CEISP Big Day Atul. Keep it up</t>
  </si>
  <si>
    <t>Great work on CEISP Big Day Sanjib. Keep it up</t>
  </si>
  <si>
    <t>Great work on CEISP Big Day Mohsin. Keep it up</t>
  </si>
  <si>
    <t>Great work on CEISP Big Day Gopal. Keep it up</t>
  </si>
  <si>
    <t>Superb rally from under 2.7lac services gross adds to 3.3lac and 3.4 lac gross adds in consecutively in Sep and Oct24. Strong drive and collaboration with Services team was key to delivering desired results. Kudos and keep rocking!!</t>
  </si>
  <si>
    <t>Superb bounce back to 2x sale through inbound call center. Strong drive and collaboration with stakeholders Linear, Services, Box, OTT and other Subs marketing teams was key to delivering desired results. While overall sale increased from 35k to ~70k, growth in Tata Play services was manyfold from ~7k to ~26k. Kudos!!</t>
  </si>
  <si>
    <t>Gurpreet has gone an extra mile to do primary market research and understand the potential of a Haryanvi service in the state of Haryana. She took the ownership and completed the market research by drawing meaningful and actionable insights. She even sacrificed a holiday and went on to interview subscribers in-person to complete the research on time. Inspires through her ownership, commitment and passion.</t>
  </si>
  <si>
    <t>Thank you for your prompt and dedicated assistance in availing the requested application to support our business needs. Your willingness to take full accountability and ensure everything was handled smoothly is truly commendable.</t>
  </si>
  <si>
    <t>Vinati Malik</t>
  </si>
  <si>
    <t xml:space="preserve">Inder is known for being a customer champion. He has always been known for understanding the business KPI's from the customer lens by understanding data trends and voice of the customer. As a leader and leading the Retention team, he has instilled the same in his team. Every team member has been mentored and trained to analyse business trends in the daily data and present their understanding. This is coupled with regular connect with the customers through regular VOC's, home visit and discussions with customer facing teams like sales, FS and CO. Inder has ensured that this mantra of being abreast of daily data trends and VOC is imbibed and exhibited by all his team members. </t>
  </si>
  <si>
    <t>Bindi has taken over the New Product Development for Services team approximately a year and a half back and has proven herself to be a capable and motivating manager. She saw some early exits from the team but managed to consolidate, regroup and motivate her team to continue to innovate, drive and deliver albeit with a smaller team. Along the way she realised that there were some team members who had aspirations to acquire cross-functional experience and she helped them achieve their aspirations, once again ensuring that this did not hamper the morale or productivity of the team. She worked quickly and smartly to find replacements and hired well for a challenging multi-faceted product role and ensured that she was able to replace gaps in the team quickly. She is  a confidant for her team and yet encourages them to lead visibly from the front on their own projects. She is a mature manager and has built a strong team and an environment that has helped them to grow and kept them engaged</t>
  </si>
  <si>
    <t>Rabiya is a very high energy team leader and a good team player. She has made sure the team manages the daily operations independently by giving them the opportunity to build their confidence and understand the operations better. She helps the team organize and plan all operational activities and ensures diligent planning and co-ordination with all stakeholders. She finds a solve for any operational problem and steps in to provide the support. She has excellent rapport with cross-functional teams and proactively provides support to ensure business deliverables. Rabiya took on the addl. responsibility of Binge Ops and has worked with the team and other stakeholders scaling up both herself and the team to manage the high volume of publishing operations. Whether through providing mentorship, advocating equitable opportunities or creating an approachable environment Rabiya has supported both her team and the stakeholders.</t>
  </si>
  <si>
    <t>Paurav has led managed multiple complex projects - key one being Driving Digital NPS with stakeholders across functions and was able to bring them all together to drive the initiatives which resulted in the NPS score growth by almost 10 points. Beyond this he has also been working with his own team as well as cross functional teams in suggesting in house design interventions for business/ experience opportunities for both Binge and TPMA App and has truly been a People's Champion.</t>
  </si>
  <si>
    <t>FY25 has been a table shift year for Binge. We launched tick tick and Prime Video joined the Binge family. The focus on getting the number growth was high. Yash led this from the front. He has championed all the acquisition initiatives and along with it also got a lot of changes done on engagement and renewal. He instituted the drive for Binge base growth in his team which led to lot of proactive experiments being carried out and reports and analysis being shared. His team has been in the fore front of Fiber integration. Yash as a People Champion has ensured that his team members are strong in analytics, are customer focused, experimentation is at the centre of actions and results are achieved, thereby showcasing various competencies as a leader. Well done Yash!</t>
  </si>
  <si>
    <t>Q3 FY 25</t>
  </si>
  <si>
    <t>Count of Sl No.</t>
  </si>
  <si>
    <t>CE</t>
  </si>
  <si>
    <t>CEO Of the Quarter</t>
  </si>
  <si>
    <t>Region / Quarters</t>
  </si>
  <si>
    <t>Total</t>
  </si>
  <si>
    <t>SPOT and SPOT of the Month</t>
  </si>
  <si>
    <t>Intrafunctional</t>
  </si>
  <si>
    <t>Cross Functional</t>
  </si>
  <si>
    <t>Debutant of the Quarter</t>
  </si>
  <si>
    <t>Pavan Satpute</t>
  </si>
  <si>
    <t>Aarushi Baghel</t>
  </si>
  <si>
    <t>Atul Joshi</t>
  </si>
  <si>
    <t>Mulage Abhishek</t>
  </si>
  <si>
    <t>Shallu Singh</t>
  </si>
  <si>
    <t>Q4-FY25</t>
  </si>
  <si>
    <t>Nikhil Modi</t>
  </si>
  <si>
    <t>Vijay Kumar Verma</t>
  </si>
  <si>
    <t>Madhan Kumar  C</t>
  </si>
  <si>
    <t>Cassandra Maria Salvadore</t>
  </si>
  <si>
    <t>Jaswinder Saini</t>
  </si>
  <si>
    <t>Vijay Khera</t>
  </si>
  <si>
    <t>&lt;br/&gt;Vineet handled End-to-End project management of Binge+ Tv app featuring new custom text search implementation, on aired in Dec, efficient collaboration with Product &amp; Delivery teams.&lt;br/&gt;This is a complex feature which needed collaboration with multiple stakeholders for technical implementations as well as agreement on timeline . Achieving a significant impact on the search process, it helped in increasing the clicks on search result page.&lt;br/&gt;Good Job, Vineet, keep it up!</t>
  </si>
  <si>
    <t> &lt;br/&gt;Indrani successfully led the planning and execution of the Annual Strategic Partners Meet, PROMENTUM 2025, a senior leadership-level event that brought together over 55 strategic partners and 170 stakeholders to strengthen collaboration and drive long-term value. From conceptualization to execution, Indrani ensured seamless coordination across multiple teams, aligning the agenda with strategic business goals. This included venue selection and event management, stakeholder and partner engagement, agenda curation and execution, and logistics coordination. A key highlight was Tata Play’s procurement of a token of appreciation from a Dokra tribal artist as part of the Affirmative Action initiative, which Indrani identified and sourced, providing the artist with a business opportunity and a platform for future collaborations.</t>
  </si>
  <si>
    <t>Jaison has successfully led the planning and execution of the Annual Strategic Partners Meet, Promentum 2025, a senior leadership-level event that brought together over 55 strategic partners and 170 stakeholders to strengthen collaboration and drive long-term value. From conceptualization to execution, Jaison ensured seamless coordination across multiple teams, aligning the agenda with strategic business goals. This included venue selection and event management, stakeholder and partner engagement, agenda curation and execution, and logistics coordination. A key highlight was Tata Play’s procurement of a token of appreciation from a Dokra tribal artist as part of the Affirmative Action initiative, which Indrani identified and sourced, providing the artist with a business opportunity and a platform for future collaborations.</t>
  </si>
  <si>
    <t>He has done a good job in Sales Infra Analysis.</t>
  </si>
  <si>
    <t xml:space="preserve">Suraj has shown impressive sense of ownership &amp; efforts in testing new Binge Plus TV app having hotel environment functionality changes related to landing channel and EPG loading.&lt;br/&gt;To test these new functionalities for the hotel customers, Suraj collaborated with intra and cross-functional teams like Headend, CA, consumer technology, Accedo and Vantiva. He created multiple scenarios which can occur at customer end and found a major bug where EPG was not downloading and also in de-activated case, it was not landing on home channel. This could have impacted our premium hotel customer with bad user experience and even after recharge box could not be activated unless and until user tune any Tata Play services and refresh the account.&lt;br/&gt;Because of his dedication and hard work, we could identify and fix these issues and later rolled out the build. After the major changes mentioned above performance of Binge Plus STB has improved significantly resulting in better user experience for our premium </t>
  </si>
  <si>
    <t>Vijay has done exceptional work in implementing industry standards in our operations. His dedication and attention to detail have significantly improved the quality and efficiency of playlist processes. His active involvement in identifying multiple errors in linear and cloud playlists has helped mitigate outage on live services. His hard work and commitment to excellence is truly commendable, and his contributions is valuable to our team. Definitely Job well done for his outstanding efforts in raising the bar for our operations.</t>
  </si>
  <si>
    <t>Nirmal meticulously documented both functional and non-functional requirements for the EPG Ads tool, emphasizing compatibility with ad formats, scheduling needs, and system integration. He developed a technical architecture that facilitated seamless interactions with Synamedia and Irdeto, while also reviewing the technical proposal to address any gaps with existing tools, ensuring alignment with current processes. His commitment to thorough testing allowed for the identification and prioritization of missing use cases in collaboration with the development team, enhancing the tool's robustness. Following a successful deployment, Nirmal gathered user feedback from the ad sales and communications teams, organized training sessions for knowledge transfer, and established a maintenance process for continuous support. As a result, the operational EPG Ads tool has significantly reduced manual scheduling efforts and improved overall efficiency for ad sales and ITV operations.</t>
  </si>
  <si>
    <t>Making Binge specialized desk as one stop solution for all subscribers came as an ask from the leadership team which was taken as a project by CO team.&lt;br/&gt;Target was to cover all customer segments and touch points and route their Calls or tickets to Binge desk as one stop solution.&lt;br/&gt;We formed a cross functional team (CO and IT/Tech) led by Paul James from Business Excellence-CO and brainstormed all the possible scenarios covering-&lt;br/&gt;Call transfer facility between Tata Play Fiber and DTH/Binge to serve the Fiber Binge Subscribers&lt;br/&gt;Enabling Binge Option at Tata Play Fiber end for easy call routing&lt;br/&gt;Enhancing the existing Binge desk which was created for ATV and FTV customers and equiping them with Comviva as a tickting tool to handle even Mobile only Subs&lt;br/&gt;Comviva which was only used to fetch information of mobile only users, was upgraded to a ticketing tool by IT based on CO requirements&lt;br/&gt;Entire binge desk was trained on mobile only scenarios to serve the customers better&lt;br/&gt;Attaching detailed note</t>
  </si>
  <si>
    <t>Would like to take the opportunity to appreciate Madhan for his outstanding efforts put during the new UPS installation at the Bangalore office. The entire process was very well planned, coordinated with various stakeholders and successfully executed within agreed timelines. His unwavering commitment, including staying back late in the office, played a crucial role in ensuring a smooth installation process. His meticulous approach, combined with his foresight in anticipating potential issues with vendors and addressing them efficiently ensured project success.</t>
  </si>
  <si>
    <t>Cheril has been instrumental in driving initiatives to improve engagement on Binge paid base across different platforms – Mobile, Binge+, Fiber, Smart TVs. We have seen notable improvement in Binge KPIs this year and a lot of it is to do with the rigour with which campaigns have been planned and executed. Cheril has led title marketing for engagement segment with cross functional teams, scaled up on regional and sports promotions and has a great role to play in CLM 2.0 interventions. This was initiative taken by Binge Engagement and Retention team this FY to relook at CLM campaigns of Binge paid base, identify opportunities and improvise on the framework. Wishing her all the best to continue the good work and achieving new milestones&lt;br/&gt; </t>
  </si>
  <si>
    <t>Ashish has done excellent efforts by coordinating with CLM team and field team to resolve the multiple system glitches for agreement renewal due to which we were able to execute 1471 agreements within short span of 21 days before target compliance date of 31st March, 25.</t>
  </si>
  <si>
    <t>Kudos!! to Sasi for the successful connection establishment of T-ODS DB and EDW(Redshift DB) to Customer Centria team via PAM Server with the support of Cloud &amp; Networking team. He had done tremendous job by doing multiple follow ups as and when required with PAM, Security, Wintel and Cloud teams to open this pipeline for Customer Centria team to make them understand the Subscribers real time data and to start with the CDP implementation. Great job!! Sasi.</t>
  </si>
  <si>
    <t xml:space="preserve">The Tata Play Binge Instagram handle has seen tremendous gains this year, and largely in the second half - 500K+ shares and 10K+ follower growth. All of this done organically, without spending on boosting any post. Karan has driven this week on week, working efficiently with our creative partners to constantly test new content tropes for reels, and double down on the ones that have shown green-shoots. We've also seen a few reels go viral and cross over 1M views, and some others have been shared by celebrities on their handles. &lt;br/&gt;Today, with Karan's efforts, the brand is steadfastly riding on the path to become the ultimate content recommendations handle on Instagram. </t>
  </si>
  <si>
    <t>Cassandra's dedication, proactive coordination and relentless focus ensured a smooth audit and successful upgrade of TATA Play’s compliance to PCI DSS v4.0.1. Her efforts have set a new benchmark for excellence. Congratulations and thank you for your exceptional contribution.</t>
  </si>
  <si>
    <t>Vaishnavi has played a key role in testing various features and functionalities for STBs. She has demonstrated a strong understanding of technical proposals, written comprehensive test cases, and thoroughly tested multiple STB software builds across both Synamedia and Irdeto platforms. She meticulously conducts validations and documents all test results, providing detailed screenshots for record-keeping. Additionally, she independently collaborates with different teams to address various testing requirements and delivers detailed reports, highlighting any critical issues or major bugs. Notable projects she has contributed to include the EPG multilanguage testing for Kannada and Bengali across guide and schedules, getting verbiages done by the translators, getting it reviewed from internal stake holders , co-ordinating with both Synamedia &amp; Irdeto teams to update the corrections, testing the new OWR feature on the Media Ingest tool, and validating the verbiage for the "No Signal" and "S</t>
  </si>
  <si>
    <t>Nischaya was instrumental in converting the data of content cost into a meaningful insight in shortest time possible for management review. All the agreement was reviewed, and documents was analysed before concluding the discussion. This helped the management to take critical decision related to content cost on urgent basis.</t>
  </si>
  <si>
    <t>I want to commend Somesh with a 'Job Well Done' award for his pivotal role in the successful launch of Recharge 2.0. A key factor in this success was Somesh's ability to work seamlessly across teams. He excellently managed communication and coordination between our internal teams and built strong working relationships with our external partners. Despite facing significant hurdles, including complex testing requirements and challenging use cases, Somesh's proactive approach and problem-solving skills were instrumental in overcoming obstacles. We are already seeing very encouraging initial results from Recharge 2.0, a testament to his hard work and collaborative spirit. &lt;br/&gt;</t>
  </si>
  <si>
    <t xml:space="preserve">I'd like to nominate Arinjaya for the Big Stage Award for his exceptional work on Sales Distribution Analysis. His in-depth analysis and insights have enabled us to make data-driven decisions to increase hygiene in process and system which will result  into optimization of  strategies &amp; achieve impressive results </t>
  </si>
  <si>
    <t>The last quarter has been demanding for Amit Maurya, not only managing the DTH and TPMA analytics team but also transitioning into Campaign Management role, leading the Salesforce integration and doing the ground work for Data Cloud. With all these responsibilities Amit ensured that BAU work is not impacted and also recommended changes to existing processes. He also helped onboard new members in the team, induction and business understanding. With a positive attitude Amit has sailed through all the responsibilities.</t>
  </si>
  <si>
    <t>Sushant has worked tirelessly to reduce STB BB through effective implementation &amp; control of the PDI process at RCs. His dedicated efforts have yielded significant results from following key areas:&lt;br/&gt;Skill Enhancement Trainings: He has regularly trained &amp; motivated PDI personnel including new hires, to ensure effective inspections. His efforts have resulted in a lot hold rate of ~20% hence stopping potential customer complaints at PDI gate itself&lt;br/&gt;Enhanced sampling in lots: He arranged for increased sampling in PDI lots (up to 40% overall sampling). This led to better defect detection at the PDI gate, identifying ~40 defect types that were communicated to RC for necessary improvements&lt;br/&gt;PDI process standardization: He drafted multiple documents including SOP &amp; recording formats, to streamline the PDI process and defect standardization&lt;br/&gt;He enabled PDI lot clearance process through SAP resulting in automation &amp; reducing errors in the units cleared for dispatch vs actual dispatched. Keep it up.</t>
  </si>
  <si>
    <t xml:space="preserve">Bharti 's key achievements and competencies demonstrated during the 45day long Maha Kumbh event were as follows, Subscriber Growth:  360 degree promotions to acquire 2.38 lac new subscribers on Aradhana over 45 days,  Mahashivratri being the biggest single day event was meticulously planned to expand the omni channel promotions to 7 different language segments. Impact: 66k+ gross adds on that day. Proactively planned and executed bandwidth division across promotional channels to leverage Mahakumbh. Aradhana holding grew from 1.62 lac to 2.98 lac in the 45 days.  Demonstrated ownership and speed of superlative degree to deliver business results. </t>
  </si>
  <si>
    <t xml:space="preserve">Dilip' s consistent performance is appreciated. He has been delivering results month on month, irrespective of any effect from external factors. Not only he has been achieving overall nos but also delivering on almost all KPIs including those which are not achieved by most of his colleagues. Dilip's annual score of 100% is testimony of his effort, dedication, planning and top of line execution. His score is best in North region. He did highest nos of bulk sales in North region. &lt;br/&gt;Apart from doing highest no of sales, he has been maintaining best of the performance on quality parameters. &lt;br/&gt;He does so with effective partnerships with his team of partners. He not only guides his partners with clear directions and crisp actionable but also briefs them about pros and cons of all concepts related to business. </t>
  </si>
  <si>
    <t>Dear Bharath, I am writing to express my sincere appreciation for your outstanding performance on handling additional district Khammam along with your assigned Warangal district Partners, your dedication &amp; hard work, commitment to excellence have been truly impressive. you drive business very well and ensured no complaints to be escalated at any level for the assigned market. you have taken additional responsibilities and deliver assigned KPI's benchmark among all Partners.  your ability to Grow partnership &amp; deliver result has been a valuable asset to our team. Accept my gratitude for your effort and i am confident that your continued dedication will lead to even greater successes in the future. All the best &amp; best Regards Manish</t>
  </si>
  <si>
    <t>Manjiri Mazgaonkar</t>
  </si>
  <si>
    <t>Het Patel</t>
  </si>
  <si>
    <t>Ganesh Patil</t>
  </si>
  <si>
    <t>Kapil Kumar</t>
  </si>
  <si>
    <t xml:space="preserve">Manjiri was pulled in for Fancode Sports launch and she demonstrated great ownership and project management skills. Despite lack of inclination towards the genre, she worked hard and got into the details. Due to complicated approval process, partner challenges and continuous ambiguity, this launch required multifold efforts. It was her first service launch, and she was grappled with many queries herself. in spite of it all, her incessant efforts during pre-launch, launch and post launch phases are commendable. </t>
  </si>
  <si>
    <t xml:space="preserve">Het joined Binge product team in Oct 2024 and he comes with loads of experience managing an OTT product and its consumer experience. His attention to detail is commendable which has helped us launch the new UI/UX on Binge App with some innovative solutions. I wish him all the very best in Tata Play and looking forward to more of such contributions and help grow the product. </t>
  </si>
  <si>
    <t>Within a short period of time since joining the Tata Play Mobile App team, Aarushi has demonstrated excellent collaboration, execution excellence and ownership skills. She has been a great value add in helping the organization achieve the crucial ambition of 1 Million Services gross adds through TPMA in FY25!&lt;br/&gt;This comes on the back of her ensuring flawless execution Mahakumbh, Mahashivrati and new services launch for Tata Play Fancode Sports which saw TPMA emerge as one of the single largest channels for these services.&lt;br/&gt;All the best to Aarushi for the upcoming quarters as well!&lt;br/&gt;</t>
  </si>
  <si>
    <t>Ganesh has recently joined Data Science team and in a short span not only understood the business but also built trust with the business partners. Ganesh has come up with Pack recommendation methodology for Services which will be put to experiment using Collaborative Filtering.</t>
  </si>
  <si>
    <t>Kapil is reliable RF professional, adept at managing all RF operational activities autonomously while also striving to enhance processes and practices. He is a dedicated team member who actively seeks additional responsibilities. &lt;br/&gt;His contributions include regular updates to Uplink parameters and conducting MER measurements. He tracking all faulty RF equipment, and consistently goes the extra mile to ensure optimal performance ,&lt;br/&gt;this commitment is a valuable trait in a colleague, making him a significant asset to the RF team in addition to his routine responsibilities, he has prepared the TVG Newtork Connectivity diagram; which is used for ASI data transmission to Diversity site via multiple lease lines; this will help us to switching data from one to other immediately in case of failure.</t>
  </si>
  <si>
    <t>Q4-FY 25</t>
  </si>
  <si>
    <t>Sushakya Paul</t>
  </si>
  <si>
    <t>At the beginning of FY25 we set ourselves a BIG HAIRY GOAL, to achieve 1 Million Services Gross Adds from TPMA. In FY 24 we grew by about 50%+ and team had aspired to get about 50% growth this year as well, that too with a lower base. Happy &amp; proud to share that teams across functions took this as a challenge and got down to what we do best - collaborate, innovate &amp; execute. The goal was achieved well in advance with 10 days to spare and Q4 averaging almost 1 Lakh per month, through a combination of relentless experimentation and planning. What is even more heartening is that by the end of the year, Tata Play Mobile App started to emerge as one of the largest channels for Tata Play Services and helping the shift towards digital journey.</t>
  </si>
  <si>
    <t>Binge engagement has been an awesome story in FY 25 - with monthly active viewers on the paid binge base moving from 34% at the beginning of the year to almost 60% by year exit. Engagement on Binge app is extremely critical - as it helps on base retention - thereby leading to higher revenues. All teams came together to drive engagement up - right from envisaging, creating and executing the right campaigns to title / content marketing to programming to product functionalities to scheduling to creating the right communication - the various team members worked hand in hand with a single agenda - driving the engagement numbers up. Collaboration across various teams was key to drive this in the right direction. Kudos to all the team members and wish you all good luck to drive this up even higher going forward!</t>
  </si>
  <si>
    <t>Krishangi Srivastava</t>
  </si>
  <si>
    <t>Shraddha Bhatte</t>
  </si>
  <si>
    <t>Avtar Singh</t>
  </si>
  <si>
    <t>Ritika Ghosh</t>
  </si>
  <si>
    <t>Apoorva Dayashankar</t>
  </si>
  <si>
    <t>Prasanna Kumar</t>
  </si>
  <si>
    <t>Rabindra Kumar</t>
  </si>
  <si>
    <t>Sandip Magar</t>
  </si>
  <si>
    <t>R. Layeeq Ahmed</t>
  </si>
  <si>
    <t>Fastest to launch &amp; market - Tata Play FanCode Sports marked a landmark launch—the first live sports service in the Specials bouquet and on DTH, bringing F1 back to TV screens after 3+ years. The launch showcased exceptional cross-functional collaboration, effort, and agility across Content, Commercial, Comms, Legal, Technology functions.</t>
  </si>
  <si>
    <t>It began with the idea of bringing largest devotional event of the century to life. The thought was ambitious, the cost was significant, and execution was a monumental task. However, after endless deliberations, we successfully translated this vision into 45 days of 24/7 live coverage from Prayagraj on 1052. With a dedicated crew, we churned out new interesting stories every day from the ground. Teams worked diligently, strategically planning the stories, curating the right mix, and transforming it all into marketable segments with sharp, timely communication. It showcased exceptional collaboration. NPD's innovative ideas, effective negotiation, project management, combined with revenue team's robust go-to-market strategies, and subscriber communication team's creative approaches to create the highest grossing event ever. Business results were unprecedented, Aradhana’s holding rose from 1.62 Lac to 2.98Lac (highest holding service) with total 2.38 lac adds &amp; ~5Mn worth revenue.</t>
  </si>
  <si>
    <t>In line with the best UI UX practices for content apps, we redesigned Tata Play App to dark mode. Dark mode improves comfort and digital wellness as it reduces eye strain, enhances readability &amp; is ideal for low light viewing. 320+ screens were redesigned across 5 platforms and a completely new design system was created for Tata Play App. It has been appreciated and loved by all.</t>
  </si>
  <si>
    <t>Making Binge specialized desk as one stop solution for all subscribers came as an ask from the leadership team which was taken as a project by CO team.&lt;br/&gt;Target was to cover all customer segments and touch points and route their Calls or tickets to Binge desk as one stop solution.&lt;br/&gt;We formed a cross functional team (CO and IT/Tech) led by Business Excellence-CO and brainstormed all the possible scenarios covering-&lt;br/&gt;Call transfer facility between Tata Play Fiber and DTH/Binge to serve the Fiber Binge Subscribers&lt;br/&gt;Enabling Binge Option at Tata Play Fiber end for easy call routing&lt;br/&gt;Enhancing the existing Binge desk which was created for ATV and FTV customers and equipping them with Comviva as a ticketing tool to handle even Mobile only Subs&lt;br/&gt;Comviva which was only used to fetch information of mobile only users, was upgraded to a ticketing tool by IT based on CO requirements&lt;br/&gt;Entire binge desk was trained on mobile only scenarios to serve the customers better&lt;br/&gt;Please find attached</t>
  </si>
  <si>
    <t>Inclusion of RA inputs during In-Home Call was a crucial project considering objective was to reduce number of calls being made to the subscribers and at the same time, bringing better governance during In-home calls. &lt;br/&gt;This project required detailed brainstorming among cross functional team (CO,FS,IT,RA) as Not only Inhome agents, but also ISP and ASMs were involved in the process flow. Attaching details herewith.&lt;br/&gt;Cross functional Project team led by Thanuja from Business Excellence team covered the end to end process flow starting from-&lt;br/&gt;Seibel – Survey form for Inhome agent&lt;br/&gt;FMS data upload for audit framework&lt;br/&gt;Case flow to ISP and ASM&lt;br/&gt;End to end audit of penalty cases by Partner auditor (contact centre), 3rd part team (Celtycs) and final closure by CO Service Excellence team&lt;br/&gt;Reporting for both Survey form and FMS data at both FS and CO end&lt;br/&gt; Entire project team has been instrumental throughout the Golive and contributed to the success of this project.&lt;br/&gt;</t>
  </si>
  <si>
    <t>Manager - IT Delivery</t>
  </si>
  <si>
    <t>Senior Manager – UI &amp; UX Projects</t>
  </si>
  <si>
    <t>Manager - Sales Planning &amp; Sales Finance</t>
  </si>
  <si>
    <t>Manager - Service Training</t>
  </si>
  <si>
    <t>Manager - Brand Marketing</t>
  </si>
  <si>
    <t>Assistant General Manager - Media Planning</t>
  </si>
  <si>
    <t>Senior Manager - Repair Centre</t>
  </si>
  <si>
    <t>Manager - UI &amp; UX</t>
  </si>
  <si>
    <t>General Manager - Consumer Technology</t>
  </si>
  <si>
    <t>Senior Manager - Business Intelligence and Forecasting</t>
  </si>
  <si>
    <t>Senior Manager - MIS &amp; Reporting</t>
  </si>
  <si>
    <t>Jignesh Patel</t>
  </si>
  <si>
    <t>Mahendra Gupta</t>
  </si>
  <si>
    <t>Sumit Das</t>
  </si>
  <si>
    <t>Sanjoy Seal</t>
  </si>
  <si>
    <t>Rajender Sharma</t>
  </si>
  <si>
    <t>Rajkumar Sharma</t>
  </si>
  <si>
    <t>Manish Kumar Upadhyay</t>
  </si>
  <si>
    <t>Vivek Kataria</t>
  </si>
  <si>
    <t>Shiuli Bhattacharya</t>
  </si>
  <si>
    <t>Ray Janardan Kumar</t>
  </si>
  <si>
    <t>Indranil Mukherjee</t>
  </si>
  <si>
    <t>Rakhi Pandhi</t>
  </si>
  <si>
    <t>Lakshay .</t>
  </si>
  <si>
    <t>Gopinath Mayavan</t>
  </si>
  <si>
    <t>Shanti Sharma</t>
  </si>
  <si>
    <t>Rahul Bedi</t>
  </si>
  <si>
    <t>Soumya Swamy</t>
  </si>
  <si>
    <t>Abhinav Srinivasan Chakravarty</t>
  </si>
  <si>
    <t>Sudhir Rajaram Manyar</t>
  </si>
  <si>
    <t>Sanjeev Kumar Singh</t>
  </si>
  <si>
    <t>Rupesh Kumar Rohit</t>
  </si>
  <si>
    <t>Somshankar Ghale</t>
  </si>
  <si>
    <t>Alekya Malka</t>
  </si>
  <si>
    <t>Virender Kumar</t>
  </si>
  <si>
    <t>Syed Simab Hashmi</t>
  </si>
  <si>
    <t>Abdul Rahim Nazar</t>
  </si>
  <si>
    <t>Ponselvam Devasagayam</t>
  </si>
  <si>
    <t>Mohammad Irshad Ahmed</t>
  </si>
  <si>
    <t>Niranjan Patnaik</t>
  </si>
  <si>
    <t>Barun Ghosh</t>
  </si>
  <si>
    <t>Raj Kumar</t>
  </si>
  <si>
    <t>Partha Nath</t>
  </si>
  <si>
    <t>Abid Ahmad Mir</t>
  </si>
  <si>
    <t>Pramatesh V. Kumar</t>
  </si>
  <si>
    <t>Charu Singla</t>
  </si>
  <si>
    <t>This spot is to recognize Sneha's incredible ownership and speed in driving viewership on Tata Play Mobile App. The Ro-Ko of our cricket team may or may not always be in their top form, but Sneha delivers a perfect yorker every single time. Whether it's a test series like Border-Gavaskar airing at odd hours, a bilateral series missing marquee players, a Champions trophy sparking world cup nostalgia or the much-anticipated return of the IPL on our app - Sneha always generates excitement among subscribers and brings them in with timely, contextual communication.</t>
  </si>
  <si>
    <t>We acknowledge Sachin's significant contribution to the development of a monitoring tool, enabling Live monitoring changes during the schedule migration to XTI format, despite the scheduler's limitations.&lt;br/&gt;Sachin's dedication and expertise in delivering the monitoring tool within the timeline, ensuring seamless live monitoring changes during the migration process.</t>
  </si>
  <si>
    <t>I would like to express my deep appreciation for Abhishek's exceptional contribution along with Binu in creating the CPM Dashboard Data Extraction tool.&lt;br/&gt;Despite the complexity and time-consuming in nature the tool was developed in short span of time.&lt;br/&gt;Thank you for being the part of the development of the tool.</t>
  </si>
  <si>
    <t>Binu's exceptional problem-solving skills and technical expertise made our requirement leading to the development of CPM dashboard data extraction tool that streamlined our NTO 4 readiness process, saved us time/oversite issues and also enhanced the accuracy of our PCF (Package Creation Form) attribute checks. Multiple PCF's can now be reviewed simultaneously, enabling efficient verification.&lt;br/&gt;Thanks to Binu for developing this solution within an impressively short timeframe.&lt;br/&gt;</t>
  </si>
  <si>
    <t>Let’s give a warm shoutout to Swamy, our teammate who’s quick, great at working together, and always ready to take the lead!&lt;br/&gt;&lt;br/&gt;Swamy’s the one who keeps infra issues from slowing us down, making sure our deliverables stay on track. This week, when the Prod Deployment for Get Help Bot ran into trouble with the LLM model move, he didn’t hesitate. He took ownership, teamed up with everyone involved, and found a way forward - probably with a coffee in one hand and a plan in the other.&lt;br/&gt;&lt;br/&gt;Because of him, we got those changes deployed smoothly. Thanks, Swamy—keep doing what you do so well!</t>
  </si>
  <si>
    <t>Dear Vivek, this is an acknowledgement of your contribution towards the Coco project. You have held it together and ensured that the project moves ahead. Appreciation from Harit &amp; Pallavi is proof of the great work that you have done.</t>
  </si>
  <si>
    <t>Deepti Yadav's performance during the asset physical verification at the Tech Centre was exemplary. Her commitment to accuracy, exceptional organizational skills, and proactive problem-solving abilities contributed significantly to the successful completion of this important task. Her dedication and hard work are highly commendable and deserve recognition.</t>
  </si>
  <si>
    <t>Jignesh has carried out highest number of MDU Audits across the whole team. He worked extra hours &amp; on weekends to reduce pendency of MDU Capex Audits so that vendor can be paid timely.  Keep it up</t>
  </si>
  <si>
    <t>Thank you, Geeta, for the quick turnaround on the report requested on the TPMA performance for World TV premieres. Geeta proactively mentioned about sharing this data and supporting us with the required details. Thank You Geeta . Keep it up.</t>
  </si>
  <si>
    <t xml:space="preserve">One day prior to IPL 2025, there was a last-minute request to Pooja for the DD slate. Received quick turnaround and help from her. I appreciate the support given to us during to everchanging dynamics of the Broadcaster. </t>
  </si>
  <si>
    <t xml:space="preserve">It was IPL 2025. Due to everchanging programming dynamics of the broadcaster, there was an ad hoc support required from Shiuli post office hours. Thanks for for the quick turnaround and support. </t>
  </si>
  <si>
    <t xml:space="preserve">One of the Toughest Site of Doordarshan news MDU work completed before timelines.&lt;br/&gt;Rajendra took ownership and get it done on super speed. </t>
  </si>
  <si>
    <t xml:space="preserve">Helped in Agreement </t>
  </si>
  <si>
    <t>Thank you for your prompt assistance for creating MDU drawing for Noida Repair center.&lt;br/&gt;your quick response helped us to meet our deadline.</t>
  </si>
  <si>
    <t xml:space="preserve">Very cooperative. Extended support of him because of him past experience and back office experience. </t>
  </si>
  <si>
    <t>Thanks Vivek, for prompt response on designing the network for Noida RC ALT chamber.</t>
  </si>
  <si>
    <t>I would like to appreciate Pooja for email channel communication. Throughout the year she has mange the creatives on time for multiple email campaigns. Most of our promotions are planned on weekend. Many time we got the approval on Friday late night or Saturday early morning but still she has executed all the campaigns for weekend by going extra mile on weekends. She has collaborated with external partners very well. </t>
  </si>
  <si>
    <t>I would like to appreciate Mahendra Gupta for managing the campaigns for Retention LOB. Retention campaigns are important &amp; critical for Business. In the campaign team, we get a lot of requirements to win back deactive subscribers. Mahendra has demonstrated great collaboration skills while working with the Retention team. Due to his hard work &amp; dedication, we were able to launch multiple critical &amp; important campaigns on time. Good Job Mahendra &amp; Keep up the good work.</t>
  </si>
  <si>
    <t>Would like to take this opportunity to appreciate Madhan for his outstanding efforts put during the new UPS installation at the Bangalore office. The entire process was very well planned, coordinated with various stakeholders and executed. His unwavering commitment, including staying back late in the office, played a crucial role in ensuring a smooth installation process. </t>
  </si>
  <si>
    <t xml:space="preserve">This is to appreciate the contributions of Gaurav Nanda during the installation of the UPS at the Bangalore office. His technical expertise was instrumental in ensuring the successful timely completion of the project. Gaurav’s ability to navigate and manage the technical glitches that arose during the installation process was truly commendable specially the one was solved late night during installation process. His meticulous approach, combined with his foresight in anticipating potential issues and addressing them efficiently ensured project success.&lt;br/&gt; &lt;br/&gt; </t>
  </si>
  <si>
    <t>Thank you for being such a supportive colleague. Whenever there is any issue with Siebel, you always provide solution promptly. Your willingness to collaborate and support others is truly commendable.</t>
  </si>
  <si>
    <t>Tata Play Binge Whitelabel has been expanding its presence over the past two years, and establishing a strong web presence was crucial for showcasing our product portfolio and supporting campaign activations. Mitalee’s exceptional contributions in designing and refining the UI/UX for our website have been instrumental in bringing this vision to life. Despite working with tight deadlines, she proactively incorporated feedback from multiple stakeholders and significantly enhanced the visual appeal of the platform. Her dedication, agility, and hard work ensured that the website was ready just in time to support our campaign activation. The impact of her work in attracting and retaining the target audience will go a long way in driving our business goals. On behalf of the Binge Whitelabel team, we sincerely appreciate her outstanding contribution to this initiative.</t>
  </si>
  <si>
    <t>Excellent efforts to help with onboarding teams onto newly introduced Jira for easier management of worklogs and efforts Tata Play wide. Added appreciations alongside for remarkable administration of multiple teams involved with PRMNXT project to enable integrations with all applications impacting the new PRMNXT flows. Always a charm to handle EAI1 CRs letting timely go-lives with committed timelines of UAT and E2E releases.</t>
  </si>
  <si>
    <t>I would like to appreciate Saumya’s work on the TPMA dark mode UI/UX project.&lt;br/&gt;It is a significant change for the user experience on TPMA. Starting from identifying different screens to designing them in dark mode and performing thorough checks during UAT, she has showcased ownership and dedication. She has successfully delivered UI screens within the timelines, which helped us release the dark mode feature on time.</t>
  </si>
  <si>
    <t>Sandra Machado - I'd like to take a moment to recognize Vinodkumar Jakkala for his outstanding work in managing the floater channel inventory and schedule for different languages. His dedication, coordination, and attention to detail have ensured seamless implementation and revenue growth on these channels. Thank you Vinod for taking ownership and doing a great job!"</t>
  </si>
  <si>
    <t>Kaushal Kumar Jha - Vineet, I would like to express my appreciation for your outstanding contribution to taking Custom Search live on Binge+. You took ownership of the project end to end and collaborated with Product &amp; Delivery teams, playing a crucial role in prioritization, negotiating timelines, technical discussions &amp; managing stakeholder expectations to ensure the feature was taken live with a significant impact on the search KPIs. This feature has helped in increasing the click from 27% to 63% on search result page which is remarkable. Keep up the good work</t>
  </si>
  <si>
    <t>Mitalee Pradhan - Vinanthini did a commendable job with delivery for the Binge whitelabel page for UAT on the website. She collaborated with her vendor teams for development and ensured a timely UAT delivery. There were many changes to be done in the given tight timeline of 2 days. Her assistance in understanding the requirement from UI perspective and translating the same to dev and getting them on the website in a quick time is greatly appreciated..</t>
  </si>
  <si>
    <t>Ratan Kumar Vishwakarma - Suraj has done exemplary work in testing the new Binge Plus optimization TV App build. Not only he captured many bugs related to forward/reverse EPG download, but he also identified multiple blockers in the build and ensured all the bugs are fixed before the final roll-out. He did rigorous testing and now we are live with the new TV App which will not only improve user experience in LIVE TV &amp; OTT viewing but will also enhance overall performance of the Binge Plus STB. Keep progressing and keep up the great work. Kudos!</t>
  </si>
  <si>
    <t>Vishal Sethi - Thank you Sunny for your support for completing the task on priority. Your willingness to help &amp; support is truly appreciable.</t>
  </si>
  <si>
    <t>Karn Kishor Ojha - He always ready to help out.</t>
  </si>
  <si>
    <t xml:space="preserve">Sirmad Hasan - Srinivas is one of the most dedicated and helpful individual I have collaborated with at Tata Play. He takes things up responsibly and always delivers results on time. He is ever ready to support business and provides different angles through data. He represents Tata Play in the true sense by taking by ownership and delivering tasks with speed. </t>
  </si>
  <si>
    <t>Dhruv Gilani - Shreyas is playing an instrumental role from IT side our quest for Reduction of OTT APPs and Account Level Exceptions between IT- COMVIVA, TECH-TTN, Systems.In close co-ordination with IT-BI, TTN-Binge+, Comviva teams Gaps , fixes like FDO [ Future Date Orders ] have led to reduction of exceptions and other findings like Binge+ STB Swap Cases are also being looked into with Shreyas front ending from IT Side and sharing his knowledge and problem-solving approach for intricacies of issues to be understood and resolved permanentlyShreyas is single handedly taking care of Tata Play Fiber recon too with stakeholders. We Appreciate his in-depth knowledge of IT systems and the ability to deep dive and reach to RCA with internal as well as vendor teamsWe thank Shreyas for his continued support, enthusiasm to achieve the objective of Reduction of OTT APPs and Account Level Exceptions and also for handling Tata Play Fiber recon</t>
  </si>
  <si>
    <t>Somshankar Ghale - Rajesh you have been integral part of our Trade Marketing Team.The speed of delivery of yours in regard to your recent work such as Competition package evaluation and analysis which you completed in very small span of time is commendable &amp; much appreciated by everyone.Maintain the same energy &amp; zeal.Best Wishes!!</t>
  </si>
  <si>
    <t>Nikhil Sinha - Radha do all Given Task within timeliness , proper Coordination with team, timely data sharing.</t>
  </si>
  <si>
    <t>Bharti Samant - Rabiya has been a key player in helping us during Mahashivratri promotions with any app related queries or issues.Her expertise, calm demeanour and can-do attitude have been instrumental in ensuing the success of our event.</t>
  </si>
  <si>
    <t>Mitalee Pradhan - Pradeep was the product lead for the mSales and PRM revamp project. His ownership in resolving the queries / connecting with the business teams and dev team for any open points, helped bring the modules to a closure as per the defined timelines. He was also involved in the PRM requirement and gave valuable suggestions to improvise the same. He was a critical mediator between my team and dev team and helped facilitate productive discussions to bring things to a common ground. Would like to thank for the support given through the entire large-scale project to bring it to conclusion as planned.</t>
  </si>
  <si>
    <t>Bharti Samant - Sincerest appreciation to Nagesh for his exceptional support and dedication during Mahashivratri promotions.He demonstrated commitment, availability and expertise ensuring seamless execution and resolving any issues promptly, often outside regular working hours.</t>
  </si>
  <si>
    <t>Kishore Kumar B. - Abhishek has done an excellent job in creating the automation suite for testing the 21 Star live channel and catch-up content on the TPMA Mobile app. This automation helped us identify the redirection issue with the Star catch-up contents, reducing our testing time from three days to just one day. Best of all, it requires no manual intervention.</t>
  </si>
  <si>
    <t>Alekya Malka - I would like to thank Deep for the excellent work he has been doing. His ability to understand our business requirements and translate them into actionable solutions has been valuable. His suggestions to make the solution efficient has added additional advantage to Business requirements. Deep's coordination with partners and dedication to ensuring smooth delivery and streamlined development is truly commendable. Keep up the fantastic work, and know that your contributions are highly appreciated :D</t>
  </si>
  <si>
    <t>Abhinav Aggarwal - Bharti has been instrumental in driving high-impact content initiatives, from Mahakumbh and Mahashivratri to the launch of Anime Local. Each of these has significantly contributed to TPMA growth and other pull channels. Her dedication and thorough execution ensured these initiatives reached their full potential, leaving no stone unturned.</t>
  </si>
  <si>
    <t>Amitanshu Shankar - Mahakumbh and Mahashivratri coming together was the largest event of the year for Tata Play Services. Aradhana service was promoted across multiple channels all throughout the 45 day event. Tata Play Mobile App stood tall as the second largest contributor to subscriber acquisitions during the event with 40k gross adds. Abhinav’s meticulous planning and execution leveraged the religious event and helped in January to cross 1 lac Services gross adds and 90k gross adds in Feb via TPMA. Ownership of the goal, execution speed and collaboration with key teams has resulted in achievement of the milestone.</t>
  </si>
  <si>
    <t>Arpit Mutha - Aarushi has been instrumental in driving gross adds for Tata Play Specials via Tata Play Mobile App. She joined us in December and has caught up in a short time!She created detailed GTM plans jointly with all stakeholders for app and ensured execution excellence on each line item. All these efforts led to TPMA becoming the second largest channel, contributing 1/5th of all Tata Play Aradhana gross adds during the crucial Mahakumbh and Mahashivratri event days. Additionally Tata Play Specials achieved 100K gross adds through TPMA in Jan’25 owning to the outcomes on Mahakumbh as well.</t>
  </si>
  <si>
    <t>Nandini . &amp; Ray Janardan Kumar - Thank you, Vivek, for all your efforts to provide the network diagram to effectively meet Consumer Technology team requirements for having LIVE signal access in Hub building, new AB wing, You have guided and collaborated effectively to resolve issues and have this completed, Great Job, Vivek!&lt;br/&gt;I would like to take a moment to express my sincere appreciation for your efforts/guidance in enabling LH services in the system and ensuring its smooth operation at Courtyard by Marriott, RanchiYour dedication, technical expertise, and prompt support have played a crucial role in making this implementation seamless.The successful rollout is a testament to the hard work and collaboration of the entire team.Although you were on leave, but you prioritized organizational goal and customer satisfaction.Thank you once again for your commitment and support. Looking forward to continued success together!</t>
  </si>
  <si>
    <t>Syed Simab Hashmi, Manish Kumar Upadhyay &amp; Raj Kumar - Help or guide when ever required support on any issue related to system and vendor mangement.&lt;br/&gt;Thank you for share process regarding Installer movement.&lt;br/&gt;Thank you for the resolution of my PRM work order related concern.</t>
  </si>
  <si>
    <t xml:space="preserve">Pradeep Tambade &amp; Mitalee Pradhan-Neha has done an outstanding job working on MSales and MServices app designs project as a project manager. These are large-scale projects with multiple modules and stakeholders. She played a crucial role in ensuring complete clarity on project progress, status updates, blockers, and regular communications. Her proactive approach and attention to detail have greatly helped in resolving open points, managing dependencies, and keeping everything on track. We truly appreciate Neha’s hard work.&lt;br/&gt;Neha has helped and ensured that the revamp project of mSales, mServices and PRM stayed on course and the deliveries happen in the committed timelines. The vast scale of project with over 115 modules required managing and co-ordinating with multiple teams at the same time. She was on top of this and ensured all the pre and post work before working on any drops are done on time. This helped me to close on the sub-modules and UI for the same as planned. </t>
  </si>
  <si>
    <t>Mohammad Irshad Ahmed &amp; Barun Ghosh - Thank you for help partner termination.&lt;br/&gt;Thanks for prompt assist whenever we get help from you.</t>
  </si>
  <si>
    <t>Virender Kumar &amp; Mahesh Puthukattil - Daman took full ownership and responsibility for the backend operations of flagship EVD UPI Integration project (Razorpay Platform). He brought down the TAT for concern resolution from almost 6 days to 2 days.&lt;br/&gt;Damandeep is doing a wonderful work in supporting the field team in the Razor Pay project. Since its a financial project, his skills in managing meticulous financial details and solving the field problems is commendable.Keep doing the good work.</t>
  </si>
  <si>
    <t>Nandini . &amp; Mohd Imran Ansari - Thank you so much, Anwar, for all your efforts on having LIVE signal access in Hub building, new AB wing, You have collaborated effectively with internal &amp; external stakeholders &amp; resolved all pending pain points to have this completed, Great Job, Anwar!&lt;br/&gt;A big shoutout to Anwar Ali for successfully completion of project, provisioning the live signals (Universal/Super/SatCR) to the AB wing office area! Your dedication, teamwork, and problem-solving made all the difference. Truly appreciate your efforts in making this happen. Well done!</t>
  </si>
  <si>
    <t>Thank you for developing the automation project to monitor the Binge app during the ICC CT final match between India and New Zealand.  Binge Android Mobile app automation allowed us to track the app’s performance seamlessly throughout the match without any manual intervention. The best part of the automation was receiving reports every 30 minutes, ensuring continuous monitoring.   Great job to you and your team!</t>
  </si>
  <si>
    <t>Thanks for the support provided for getting the asset audit done smoothly. Also, identifying the assets &amp; getting them validated on time.</t>
  </si>
  <si>
    <t xml:space="preserve">I take this moment to say thanks to Raj Kumar for his valuable support for every time whenever we raise a request, you have been very supportive till this time and we expect same going forward. Thanks Raj&lt;br/&gt;&lt;br/&gt;Regards,&lt;br/&gt;Satish Kp&lt;br/&gt;  </t>
  </si>
  <si>
    <t>Het played a key role in streamlining the framework of Hero banners for new UI UX on the Binge app. He came up with a solid approach which helped both design and development teams. He proactively got the teams involved to do QAs and ensured we released only high quality product designs which would improve overall user experience on the Binge app.</t>
  </si>
  <si>
    <t>Thank you, Pooja. During the Champions Trophy, Pooja provided us with swift turnaround on packaged promos, enabling us to take them live promptly. Given the scenarios with broadcasters, Pooja has a thorough understanding of the current realities with partners and consistently extends her timely support smoothly.</t>
  </si>
  <si>
    <t>Good Job - Stocking Dealer Feb 25</t>
  </si>
  <si>
    <t>Good job - Stocking Dealer Feb 25</t>
  </si>
  <si>
    <t xml:space="preserve">Rajesh you have been integral part of our Trade Marketing Team.&lt;br/&gt;The speed of delivery of yours in regard to your recent work such as Competition package evaluation and analysis which you completed in very small span of time is commendable &amp; much appreciated by everyone.&lt;br/&gt;Maintain the same energy &amp; zeal.&lt;br/&gt;Best Wishes!! </t>
  </si>
  <si>
    <t>Last 2 Month Top ASM in Region and Circle. Take ownership and do great execution</t>
  </si>
  <si>
    <t>Bharti has been instrumental in driving high-impact content initiatives, from Mahakumbh and Mahashivratri to the launch of Anime Local. Each of these has significantly contributed to TPMA growth and other pull channels. Her dedication and thorough execution ensured these initiatives reached their full potential, leaving no stone unturned.</t>
  </si>
  <si>
    <t>Aarushi has been instrumental in driving gross adds for Tata Play Specials via Tata Play Mobile App. She joined us in December and has caught up in a short time!&lt;br/&gt;She created detailed GTM plans jointly with all stakeholders for app and ensured execution excellence on each line item. All these efforts led to TPMA becoming the second largest channel, contributing 1/5th of all Tata Play Aradhana gross adds during the crucial Mahakumbh and Mahashivratri event days. Additionally Tata Play Specials achieved 100K gross adds through TPMA in Jan’25 owning to the outcomes on Mahakumbh as well.</t>
  </si>
  <si>
    <t>Mahakumbh and Mahashivratri coming together was the largest event of the year for Tata Play Services. Aradhana service was promoted across multiple channels all throughout the 45 day event. Tata Play Mobile App stood tall as the second largest contributor to subscriber acquisitions during the event with 40k gross adds. Abhinav’s meticulous planning and execution leveraged the religious event and helped in January to cross 1 lac Services gross adds and 90k gross adds in Feb via TPMA. Ownership of the goal, execution speed and collaboration with key teams has resulted in achievement of the milestone.</t>
  </si>
  <si>
    <t>Shreyas is playing an instrumental role from IT side our quest for Reduction of OTT APPs and Account Level Exceptions between IT- COMVIVA, TECH-TTN, Systems.&lt;br/&gt;In close co-ordination with IT-BI, TTN-Binge+, Comviva teams Gaps , fixes like FDO [ Future Date Orders ] have led to reduction of exceptions and other findings like Binge+ STB Swap Cases are also being looked into with Shreyas front ending from IT Side and sharing his knowledge and problem-solving approach for intricacies of issues to be understood and resolved permanently&lt;br/&gt;Shreyas is single handedly taking care of Tata Play Fiber recon too with stakeholders. We Appreciate his in-depth knowledge of IT systems and the ability to deep dive and reach to RCA with internal as well as vendor teams&lt;br/&gt;We thank Shreyas for his continued support, enthusiasm to achieve the objective of Reduction of OTT APPs and Account Level Exceptions and also for handling Tata Play Fiber recon</t>
  </si>
  <si>
    <t>Rabiya has been a key player in helping us during Mahashivratri promotions with any app related queries or issues.&lt;br/&gt;Her expertise, calm demeanour and can-do attitude have been instrumental in ensuing the success of our event.</t>
  </si>
  <si>
    <t>Sincerest appreciation to Nagesh for his exceptional support and dedication during Mahashivratri promotions.&lt;br/&gt;He demonstrated commitment, availability and expertise ensuring seamless execution and resolving any issues promptly, often outside regular working hours.</t>
  </si>
  <si>
    <t xml:space="preserve">He always ready to help out </t>
  </si>
  <si>
    <t>I would like to thank Deep for the excellent work he has been doing. His ability to understand our business requirements and translate them into actionable solutions has been valuable. His suggestions to make the solution efficient has added additional advantage to Business requirements. Deep's coordination with partners and dedication to ensuring smooth delivery and streamlined development is truly commendable. Keep up the fantastic work, and know that your contributions are highly appreciated :D&lt;br/&gt;</t>
  </si>
  <si>
    <t xml:space="preserve">Daman took full ownership and responsibility for the backend operations of flagship EVD UPI Integration project (Razorpay Platform). He brought down the TAT for concern resolution from almost 6 days to 2 days. </t>
  </si>
  <si>
    <t xml:space="preserve">Thank you, Vivek, for all your efforts to provide the network diagram to effectively  meet Consumer Technology team requirements for having LIVE signal access in Hub building, new AB wing, You have guided and collaborated effectively to resolve issues and have this completed, Great Job, Vivek! </t>
  </si>
  <si>
    <t xml:space="preserve">Thank you so much, Anwar, for all your efforts on having LIVE signal access in Hub building, new AB wing, You have collaborated effectively with internal &amp; external stakeholders &amp; resolved all pending pain points to have this completed, Great Job, Anwar! </t>
  </si>
  <si>
    <t>Vineet,  I would like to express my appreciation for your outstanding contribution to taking Custom Search live on Binge+. You took ownership of the project end to end and collaborated with Product &amp; Delivery teams, playing a crucial role in prioritization, negotiating timelines, technical discussions &amp; managing stakeholder expectations to ensure the feature was taken live with a significant impact on the search KPIs. This feature has helped in increasing the click from 27% to 63% on search result page which is remarkable. Keep up the good work</t>
  </si>
  <si>
    <t>Suraj has done exemplary work in testing the new Binge Plus optimization TV App build. Not only he captured many bugs related to forward/reverse EPG download, but he also identified multiple blockers in the build and ensured all the bugs are fixed before the final roll-out. He did rigorous testing and now we are live with the new TV App which will not only improve user experience in LIVE TV &amp; OTT viewing but will also enhance overall performance of the Binge Plus STB. Keep progressing and keep up the great work. Kudos!</t>
  </si>
  <si>
    <t xml:space="preserve">A big shoutout to Anwar Ali for successfully completion of project, provisioning the live signals (Universal/Super/SatCR) to the AB wing office area! Your dedication, teamwork, and problem-solving made all the difference. Truly appreciate your efforts in making this happen. Well done! </t>
  </si>
  <si>
    <t>Help or guide when ever required support on any issue related to system and vendor mangement</t>
  </si>
  <si>
    <t xml:space="preserve">Damandeep is doing a wonderful work in supporting the field team in the Razor Pay project. &lt;br/&gt;Since its a financial project, his skills in managing meticulous financial details and solving the field problems is commendable.&lt;br/&gt;Keep doing the good work. </t>
  </si>
  <si>
    <t>I wanted to take a moment to express my sincere appreciation for your outstanding contribution to the implementation of the UAT automation tool. Your dedication and hard work were instrumental in its timely and successful launch of the UAT automation tool Fireflink.&lt;br/&gt;&lt;br/&gt;Specifically, your coordination with various stakeholders from IT to enable on-prem server access across different departments was crucial. You navigated complex technical challenges and ensured seamless communication, which significantly streamlined the implementation process.&lt;br/&gt;&lt;br/&gt;Thank you Lakshay for your invaluable contribution and will look forward for the same support for further enhancements, way forward.</t>
  </si>
  <si>
    <t>Your training content and presentation today were truly insightful. Your initiatives and contributions towards elevating the Binge Mobile upsell to the next level are highly commendable. Great work!&lt;br/&gt;Additionally, Gopinath Mayavan, your innovative ideas and proactive approach have significantly contributed to the success of our initiatives. Thank you for your hard work and creativity.</t>
  </si>
  <si>
    <t>Your training content and presentation today were truly insightful. Your initiatives and contributions towards elevating the Binge Mobile upsell to the next level are highly commendable. Great work!&lt;br/&gt;Additionally, Andrews J, your innovative ideas and proactive approach have significantly contributed to the success of our initiatives. Thank you for your hard work and creativity.</t>
  </si>
  <si>
    <t>Appreciate your effort in taking ownership of escalated customer Anuj Mohan and converting his agony to delight...</t>
  </si>
  <si>
    <t>It was a great pleasure in witnessing the Cricketing event where our Employees participated (South Zone Cricket Tournament), and it was a treat to our eye the way they were involved in their Game. However, making the event more fruitful and blissful, Madhan ensured that he took care of the players by facilitating additional support like, keeping them hydrated with water &amp; Juices, timely food &amp; Snacks for the Players, as well as other participants (Other Employees and the family members of the employees who came to cheer). Additionally, providing Air Coolers was a very thoughtful act by Madhan, which helped in beating the heat during the day and also helped the players to relax and get ready for their next match. Keep up the good work Madhan and wishing you many more achievements in future.</t>
  </si>
  <si>
    <t>Dear Somesh, I just wanted to take a moment to appreciate the fantastic work you’ve done in implementing the story point release system. Your efforts have significantly improved our planning and delivery process, making our sprints more predictable and efficient. The structured approach has not only helped in better workload distribution but also enhanced team collaboration and overall productivity. Your initiative and execution have truly made a positive impact, and I wanted to thank you for your dedication and hard work.&lt;br/&gt;&lt;br/&gt;Looking forward to more such great contributions from you!</t>
  </si>
  <si>
    <t>Thank you Sunny for your support for completing the task on priority. &lt;br/&gt;Your willingness to help &amp; support is truly appreciable.</t>
  </si>
  <si>
    <t xml:space="preserve">Thank you for help partner termination </t>
  </si>
  <si>
    <t>Soumya Poojary - One of the corporate account wanted an exclusive feature which was to be enabled for better viewership. Vivek was the one who thought out of box to collaborate with the respective teams like sales, service, technology and vendors and ensure the requirement was fulfilled by the Basically, they didn't want 100 channel ad's reflecting when the STBs were switched on. Vivek worked on the same and ensured Tata play logo displayed instead of the channel ad's which was accepted by the corporate account and the client was satisfied.</t>
  </si>
  <si>
    <t>Pradeep Tambade-Sagar consistently takes ownership of his responsibilities and ensures that every possible use case is thoroughly tested, making sure the Tata Play mobile app performs seamlessly and remains bug-free.His outstanding expertise in testing has been evident across various critical features, including Picture-In-Picture(PIP),APV and Netflix packs handling,Native self-care search,Dhamaka customer restrictions, and many more.Sagar’s proactive approach and attention to detail have been instrumental in ensuring these features function flawlessly.Moreover, his strong collaboration skills have been a key factor in closing testing efforts within the given timelines, enabling the timely release of new app versions. Sagar also goes above and beyond by providing valuable suggestions for improvements, contributing significantly to the app’s overall quality and the enhancement of the customer experience. Sagar plays a pivotal role in maintaining the high standards of TataPlay mobile app</t>
  </si>
  <si>
    <t>Ashish Jain - Your proactive approach and sense of ownership in managing FSD circle financial responsibility are truly commendable. Your foresight and commitment ensure we stay on track to achieve our goal / targets.</t>
  </si>
  <si>
    <t>Alekya Malka - Ritika was versatile in delivery the requirements with superior quality and her insights has shaped the requirement well. She has been approachable and agile throughout the project and interaction.</t>
  </si>
  <si>
    <t>Pramatesh V. Kumar - Excellent work done by Ivan to organise the west/corporate cricket tournament. His dedication, hard work and eye for detail has ensured that the event was well appreciated by all concerned.</t>
  </si>
  <si>
    <t>Arnab Basu - Shanti has been very effective supporting the Circle on absence of a very Critical Resource (TMI) since last few months on both on and off the field.she has taken the ownership of this role and supported many Business requirements at Circle and Regional Level. This is an bright example of the culture that we inherit in our organization. hence she has gone extra mile to support the Business and created an example of Collaboration and Ownership.</t>
  </si>
  <si>
    <t>Kishore V. Reddy - Mitalee, it has been great working with you on the PRMNXT project UI design. Considering the quantum of modules that were to be implemented as part of this project, the speed at which you got the UI designed is commendable.You have a great team &amp; with your leadership, the designs which was initially planned for Feb-2025 for all modules has been completed 2 months in advance.This achievement is commendable. You are a super asset to company. Appreciate your leadership too.Happy to have worked with you. Hope to work on more projects with you.</t>
  </si>
  <si>
    <t>Abid Ahmad Mir - job well done</t>
  </si>
  <si>
    <t>Abid Ahmad Mir - well done</t>
  </si>
  <si>
    <t>Mohit Goel - I have been working with Sarath during BUAT testing, I found him very calm and helpful. Together we have achieved multiple tuff deadlines and milestones. In December release we worked together and delivered sprint timely. We worked in Small screen platforms and delivered sprint timely. Thanks for support, collaboration at every step.</t>
  </si>
  <si>
    <t>Bipin Shukla - Shivank have proactively identified recon data difference of TRAI Audit Count of Irdeto CAS (count during last audit was small, the difference between the current year is substantial) and taken initiative after office hours and helped in resolving it on time. Thank You.</t>
  </si>
  <si>
    <t>Jeevan Kumar K. - This SPOT is to thank and appreciate solving an important concern of all our employees who go through the pain of managing Payroll portal passwords.Since the payroll application is a platform solution of Darashaw, it took efforts from your end to convince the partner to take up the solution of SSO integration so as to provide a seamless login for our employees using Tata Play universe post login.I appreciate the efforts put in by you to go through multiple rounds of integration tests, and changes, finally achieving the desired results.This SPOT is for demonstrating the CEO skills. Collaborations: You effectively collaborated with Darashaw and the Finance/HR teams for a long period holding the threads. Experimentation: You tried all possible options of integrating testing and finally achieving the goal Ownership: Taking end-to-end ownership of the solution and driving it till delivery and Going live</t>
  </si>
  <si>
    <t>Partha Nath - thanks anoop for support at such critical situation where one of my partner stopped operation , and we need late evening installation . as extended your support by other ISP who is not taking care that area . you arrange installer for that installation and support for that installation and stop loose one customer . its great support by your end where you take ownership of that installation ID 1548933397 , excellent support anoop . keep it continue .</t>
  </si>
  <si>
    <t>Pavan Kumar Garg - You have achieved 121% BMP target by taking ownership.</t>
  </si>
  <si>
    <t>Ajay Harwani - Maneesha has been testing all the large screen platforms including Android Smart TV, Fire TV Sticks, LG Smart TV and Samsung Smart TV. She has been proactively reporting all the bugs and I have received all the required support for timely build deliveries in every release. In December release, she supported on verification of the critical features like UI/UX revamp, Zee5 RMN integration on Samsung, etc. Thanks for the efforts put down towards successful deliveries. Much appreciated.. !!!</t>
  </si>
  <si>
    <t>Pavan Kumar Garg - You have achieved 100% BMP target by taking ownership.</t>
  </si>
  <si>
    <t>Manjiri Mazgaonkar - Thank you for your Innovation</t>
  </si>
  <si>
    <t>I'd like to take a moment to recognize Vinodkumar Jakkala for his outstanding work in managing the floater channel inventory and schedule for different languages. His dedication, coordination, and attention to detail have ensured seamless implementation and revenue growth on these channels. &lt;br/&gt;Thank you Vinod for taking ownership and doing a great job!"</t>
  </si>
  <si>
    <t>Kudos for the seamless support in managing facilities and logistics for the Badminton and Cricket Tournament! Your efforts ensured a smooth experience for all participants, creating the perfect setup for an engaging and spirited event. Your dedication and attention to detail truly made a difference!</t>
  </si>
  <si>
    <t>Dear Atul Joshi&lt;br/&gt;&lt;br/&gt;I appreciate your positive efforts with nice Collaboration towards sending desire frequent reports to all ISP and Team ASM specially for MER Execution + Miss live tv + FR 24 Hrs. tat with Reward + ISP Contest Scheme.&lt;br/&gt;&lt;br/&gt;In last 3 months as this reports, you kept sending on regular interval so as result ISP Owner shown positive interest wherein automated reports with desire data came to him without any follow up which in turn added Reward to Partner invoice.&lt;br/&gt;&lt;br/&gt;Even circle level as these reports were going on regular interval so all ASM were got opportunity to discuss with ISP staff on data so as to get desire result.&lt;br/&gt;&lt;br/&gt;Due to your Report W5 Circle was top consecutive 2 month in MER Execution and LIVE TV Too and Few Upsell Initiate like BMP Conversion %&lt;br/&gt;&lt;br/&gt;Keep implementing such new ideas to have win win situation for Partner and all Staff&lt;br/&gt;&lt;br/&gt;Regards&lt;br/&gt;&lt;br/&gt;&lt;br/&gt;</t>
  </si>
  <si>
    <t>Dear Pankaj &lt;br/&gt;&lt;br/&gt;I appreciate your Ownership wherein Being new in System you understand need of Binge mobile conversion . In Nov Month you were in Bottom at Circle and you taken challenge in Dec to get Top in West Region and Circle too. For same you personally taken new initiative to work with Installer and ISP owner level by making few good contest to have race in bet ween ISP installer and as result in Dec 24 Month you get Top Position in W5 Circle  with BMP Conversion @ 18.59% and as you maintain same positive efforts at ground in Jan month also you deliver BMP Conversion @ 18.32 % and became West Region Top ASM in BMP Conversion.&lt;br/&gt;&lt;br/&gt;</t>
  </si>
  <si>
    <t xml:space="preserve">Thanks for prompt assist whenever we get help from you  </t>
  </si>
  <si>
    <t>thankyou for share process regarding Installer movement</t>
  </si>
  <si>
    <t>Thank you for the resolution of my PRM work order related concern.</t>
  </si>
  <si>
    <t>Abhishek has done an excellent job in creating the automation suite for testing the 21 Star live channel and catch-up content on the TPMA Mobile app. This automation helped us identify the redirection issue with the Star catch-up contents, reducing our testing time from three days to just one day. Best of all, it requires no manual intervention.</t>
  </si>
  <si>
    <t>Srinivas is one of the most dedicated and helpful individual I have collaborated with at Tata Play. He takes things up responsibly and always delivers results on time. He is ever ready to support business and provides different angles through data. He represents Tata Play in the true sense by taking by ownership and delivering tasks with speed.  &lt;br/&gt;</t>
  </si>
  <si>
    <t>Vinanthini did a commendable job with delivery for the Binge whitelabel page for UAT on the website. She collaborated with her vendor teams for development and ensured a timely UAT delivery. There were many changes to be done in the given tight timeline of 2 days. Her assistance in understanding the requirement from UI perspective and translating the same to dev and getting them on the website in a quick time is greatly appreciated.&lt;br/&gt;.</t>
  </si>
  <si>
    <t>I would like to take a moment to express my sincere appreciation for your efforts/guidance in enabling LH services in the system and ensuring &lt;br/&gt;its smooth operation at Courtyard by Marriott, Ranchi&lt;br/&gt;Your dedication, technical expertise, and prompt support have played a crucial role in making this implementation seamless.&lt;br/&gt;The successful rollout is a testament to the hard work and collaboration of the entire team.&lt;br/&gt;Although you were on leave, but you prioritized organizational goal and customer satisfaction.&lt;br/&gt;Thank you once again for your commitment and support. Looking forward to continued success together!</t>
  </si>
  <si>
    <t>Neha has done an outstanding job working on MSales and MServices app designs project as a project manager. These are large-scale projects with multiple modules and stakeholders. She played a crucial role in ensuring complete clarity on project progress, status updates, blockers, and regular communications.&lt;br/&gt; Her proactive approach and attention to detail have greatly helped in resolving open points, managing dependencies, and keeping everything on track. &lt;br/&gt; We truly appreciate Neha’s hard work.</t>
  </si>
  <si>
    <t>Neha has helped and ensured that the revamp project of mSales, mServices and PRM stayed on course and the deliveries happen in the committed timelines. The vast scale of project with over 115 modules required managing and co-ordinating with multiple teams at the same time. She was on top of this and ensured all the pre and post work before working on any drops are done on time. This helped me to close on the sub-modules and UI for the same as planned. She also went above her core role of PM and managed any feedback / meetings / handholding to be done across teams in my absence. Would like to thank her and her efforts that were really critical and that helped deliver the project drops on time.</t>
  </si>
  <si>
    <t>Pradeep was the product lead for the mSales and PRM revamp project. His ownership in resolving the queries / connecting with the business teams and dev team for any open points, helped bring the modules to a closure as per the defined timelines. He was also involved in the PRM requirement and gave valuable suggestions to improvise the same. He was a critical mediator between my team and dev team and helped facilitate productive discussions to bring things to a common ground. Would like to thank for the support given through the entire large-scale project to bring it to conclusion as planned.</t>
  </si>
  <si>
    <t>Radha do all Given Task within timeliness , proper Coordination with team, timely data sharing</t>
  </si>
  <si>
    <t>Satheesh KG, your ownership and dedication in resolving the request from Mr. Karthik, a famous singer, were commendable. The issue was faced by his parents, who wanted their entertainment restored. Your effort in restoring the connection was highly appreciated by the customer. Excellent job!</t>
  </si>
  <si>
    <t>Vignesh, your ownership and dedication in resolving the request from Mr. Karthik, a famous singer, were commendable. The issue was faced by his parents, who wanted their entertainment restored. Your effort in restoring the connection was highly appreciated by the customer. Excellent job!</t>
  </si>
  <si>
    <t>Shanti has been very effective supporting the Circle on absence of a very Critical Resource (TMI) since last few months on both on and off the field.&lt;br/&gt;she has taken the ownership of this role and supported many Business requirements at Circle and Regional  Level. This is an bright example of the culture &lt;br/&gt;that we inherit in our organization. hence she has gone extra mile to support the Business and created an example of Collaboration and Ownership.</t>
  </si>
  <si>
    <t xml:space="preserve">thanks anoop for support at such critical situation where one of my partner stopped operation , and we need late evening installation . as extended your support by other ISP who is not taking care that area . you arrange installer for that installation and support for that installation and stop loose one customer . &lt;br/&gt;its great support by your end where you take ownership of that installation ID 1548933397 , excellent support anoop . keep it continue .   </t>
  </si>
  <si>
    <t>This SPOT is to thank and appreciate solving an important concern of all our employees who go through the pain of managing Payroll portal passwords.&lt;br/&gt;Since the payroll application is a platform solution of Darashaw, it took efforts from your end to convince the partner to take up the solution of SSO integration so as to provide a seamless login for our employees using Tata Play universe post login.&lt;br/&gt;I appreciate the efforts put in by you to go through multiple rounds of integration tests, and changes, finally achieving the desired results.&lt;br/&gt;This SPOT is for demonstrating the CEO skills. Collaborations: You effectively collaborated with Darashaw and the Finance/HR teams for a long period holding the threads. Experimentation: You tried all possible options of integrating testing and finally achieving the goal Ownership: Taking end-to-end ownership of the solution and driving it till delivery and Going live</t>
  </si>
  <si>
    <t>well done</t>
  </si>
  <si>
    <t>job well done</t>
  </si>
  <si>
    <t>Thank you for your Innovation</t>
  </si>
  <si>
    <t>Mitalee, it has been great working with you on the PRMNXT project UI design. Considering the quantum of modules that were to be implemented as part of this project, the speed at which you got the UI designed is commendable.&lt;br/&gt;You have a great team &amp; with your leadership, the designs which was initially planned for Feb-2025 for all modules has been completed 2 months in advance.&lt;br/&gt;This achievement is commendable. You are a super asset to company. Appreciate your leadership too.&lt;br/&gt;Happy to have worked with you. Hope to work on more projects with you.</t>
  </si>
  <si>
    <t xml:space="preserve">Excellent work done by Ivan to organise the west/corporate cricket tournament. His dedication, hard work and eye for detail has ensured that the event was well appreciated by all concerned. </t>
  </si>
  <si>
    <t>Ritika was versatile in delivery the requirements with superior quality and her insights has shaped the requirement well. She has been approachable and agile throughout the project and interaction.</t>
  </si>
  <si>
    <t xml:space="preserve">You have achieved 100% BMP target by taking ownership. </t>
  </si>
  <si>
    <t xml:space="preserve">You have achieved 121% BMP target by taking ownership. </t>
  </si>
  <si>
    <t>Your proactive approach and sense of ownership in managing FSD circle financial responsibility are truly commendable. &lt;br/&gt;Your foresight and commitment ensure we stay on track to achieve our goal / targets.</t>
  </si>
  <si>
    <t>Shallu has been incredibly helpful in managing internal stakeholders for the pre-sales white-label initiative. Her work with the legal team on NDAs and contracts for various clients has been invaluable. Additionally, her collaboration with the communications team to create outreach content for the white-label initiative has been instrumental, and her efforts on APOS were outstanding. Thank you for your dedication and hard work!</t>
  </si>
  <si>
    <t>Pavan has been pivotal in driving the pre-sales efforts for the white-label initiative of Binge. His dedication in managing the RFP process independently, maintaining seamless communication with clients, and effectively collaborating with internal stakeholders is truly commendable. His contributions to the RFPs for Proximus and Cignal, as well as managing the set-top box track and the relationship with ByteDance, have been outstanding. Thank you for your hard work</t>
  </si>
  <si>
    <t>Deep Dayal Gupta - I just wanted to say a HUGE thank you for being an absolute rockstar! Your help with Binge Bot Migration from OriServe to Omnichannel Bot Platform (Time bound migration project), Get Help Rasa to LLM migration (First LLM model integration Project to go Live), and GenAI Agent Assist setup has been invaluable.Your dedication to ensuring our environments is always available for development is impressive, especially when it means reviewing and approving requests at crazy hours. You're the real MVP!Thanks for being an amazing colleague and for keeping our cloud infrastructure running smoothly. I'm so grateful to have you on our team!</t>
  </si>
  <si>
    <t>Niraj Waghmode - Great Job Pawan in Critical work order follow up, you take good ownership, keep it up!!</t>
  </si>
  <si>
    <t>Vishwas Pawar &amp; Niraj Waghmode - Great Initiative by doing 54 nos in a day in Binge&lt;br/&gt;Great Job on doing 50+ Binge app in single day.... Great and motivational execution... Proud to have team member like you... All the best!!!</t>
  </si>
  <si>
    <t>Rohit Kharbanda - Thanks RiteshJi for timely planning of Stocks to all partners during the festival period and also delivery on time so that all the partners are highly motivated and delivered excellent numbers during the festival period, Infact all the TSRAs are also happy for getting the timely sufficient material for festival period.</t>
  </si>
  <si>
    <t>Sumeet Vaishnav - Hi Sachin last month you Did Good Job in all KPI and showed us that in tough time also how you can give your best by Taking ownership and speed .</t>
  </si>
  <si>
    <t>Ravinder Kumar - Prashant has done exceptionally well in Binge contest and showed his presence at national level in Binge contest, He educated the partners &amp; installers on DTH Binge and improved from 3-4% to &gt;13% , with his efforts and collaboration every partner of the area engaged in the program which gave the overall good productivity. keep up the good work!!!</t>
  </si>
  <si>
    <t>Vikrant Sehgal - Appreciate your efforts and leadership quality for consistent delivery on LDP (12% Plus) and BMP (15% plus) for last 4 months consistently.</t>
  </si>
  <si>
    <t>Pinaki Kumar - I want to express my heartfelt appreciation for your dedication to implementing best practices in the repair centre, especially for Jade models. Your initiative in comparing test point impedances with golden samples has greatly enhanced repair quality.Also, your commitment to rigorously following the initiatives discussed during the TOT calls demonstrates your focus on continuous improvement and adherence to excellence. Your efforts are truly commendable and play a vital role in achieving our quality goals.Thank you for your outstanding contributions!</t>
  </si>
  <si>
    <t>Mayur Wadulkar - Deep Dayal Gupta is the primary contact at Tata Play when it comes to What's App (Chat Bot) related changes. I am sincerely grateful to Deep for his efforts in addressing all development CR's. He consistently adheres to deadlines and delivers Change Requests to UAT on the given timelines. Deep has also provided invaluable assistance and guidance to the UAT team in resolving defects.Moreover, Deep has been instrumental in resolving production issues, even during weekends, often with minimal support. I genuinely appreciate his dedication and assistance in these situations.</t>
  </si>
  <si>
    <t>Krupa Shah - Thank you Geeta for fuelling the successful AB test for Hero Banner on TPMA with data led insights! The data analysis helped decide the future roadmap for content personalization on TPMA!</t>
  </si>
  <si>
    <t>Krupa Shah - Thank you for providing detailed statistical insights for the Hero Banner AB test on TPMA, right from creating the plan, shortlisting the KPIs and performing the tests! The insights shared provided helped inform the product on the future roadmap for Home Page design!</t>
  </si>
  <si>
    <t>Krishnendu Dasgupta - Ruturaj has driven the Partner NPS project with the IT team to fruition. This project involvement working with multiple stakeholders and understanding intricacies that went beyond his role. Congratulations to him!</t>
  </si>
  <si>
    <t>T. Shanmugamanivel &amp; R. Malarvizhi - Ramanathan T has demonstrated exceptional commitment and ownership in his role, particularly in sustaining zero document dispatch pending for the entire circle. This remarkable achievement is a testament to his dedication and meticulous attention to detail.Thank you, Ramanathan, for your unwavering commitment and outstanding performance. Your hard work and dedication are truly appreciated and have made a substantial impact.Keep up the excellent work, Ramanathan! Your contributions are highly valued. 🌟&lt;br/&gt;World will always remember who was first, you are always being first to give an update on work order document dispatch, Thanks for being first and always consistent</t>
  </si>
  <si>
    <t>Shrinidhi DC - Pavan Jagannath has successfully closed the long pending - WFH &amp; WFO calculation for both the partners for 1 year. He has coordinated with different stake holders to close it successfully.</t>
  </si>
  <si>
    <t>Karn Kishor Ojha - he is very supportive</t>
  </si>
  <si>
    <t>Karn Kishor Ojha - good experimental knowledge</t>
  </si>
  <si>
    <t>Neha Veling - Saumya’s strong ownership and collaborative approach were key to the successful go-live of the Native NPS journey, resulting in a more user-friendly and business-effective survey experience. She effectively led the project from design through UAT to go-live, working closely with stakeholders across Research, Product, Tech, and IT. Her efforts have not only improved the customer journey but also contributed to the company’s broader goals of enhancing user satisfaction and increasing upselling potential. With the Native NPS journey now live, significant improvements were seen, including a +5-point increase in the Recharge NPS score and +6-point increase in the Manage Packs NPS score.</t>
  </si>
  <si>
    <t>Manish Kumar Sethi - Excellent work on the assigned task. you have set a high standard for future projects. your attention to detail and commitment to quality are truly valued. great job on NPS &amp; BMP.</t>
  </si>
  <si>
    <t>Vinodkumar Anandan - Hello Surya,This award is to recognize your contribution towards building OB Dashboards in Tableau. Appreciate your sincerity in learning the tool via online and in classroom to move all OB Retention dashboards from excel to Digital. Moreover, making the dashboards available by 9am is fantastic as this enables the stakeholders to design a proper plan for the day. With eye catching visualizations, these dashboards are helpful in further analytics and helps in driving better floor performance. The testimonies of the end users are also very encouraging and boosts the morale for the entire team. Keep up the good work.</t>
  </si>
  <si>
    <t>Debasish Patra, Avisekh Banerjee &amp; Sambuddha Sen - we was facing difficulties in Chittaranjan area for new installation and then we jointly visited and Successfully created new TSRA with a good collaboration. Today the area is running without complain&lt;br/&gt;As a buddy Tapas guided me a lot during my joining to this organisation. Apart from that he is very flexible and good human being . He has a good Ownership skill in system , The way of approach to train new joiner and CCO is very collaborative and fruitful.&lt;br/&gt;My buddy Tapas Kumar Pal has made me understand the ISP operation thoroughly during my initial days and all other parameters were made me cleared by him which helped me a lot in my understanding and performance in my working days when I handled my ISP. It was a very fruitful learning curve for me with Tapas and I cordially thank him for the same.</t>
  </si>
  <si>
    <t>Shrinidhi DC - Thara studied the budget report and identified the required GL movement and also coordinated with internal team to short close the excess amount in PO to make sure all the required PR &amp; PO are created for the Q2 &amp; Q3. And Thara have ensured all the necessary payments are released to vendors avoiding by coordinating with internal &amp; vendor team.</t>
  </si>
  <si>
    <t>T. Shanmugamanivel - Vignesh N's binge renewal trend highlights his sustainable approach and consistent effort. His ability to maintain a steady renewal trend, even in the face of minor setbacks, is a testament to his dedication and hard work. Vignesh's contributions are highly valued, and his commitment to maintaining high standards is greatly appreciated.</t>
  </si>
  <si>
    <t>Manoj Jadhav - Good job done by Vinod by taking sole ownership of Bulk activity for West II circle, and we have seen very good momentum in it. Your guidance to team is also very fruitful as team is confident on bulk now. Keep up doing good work.</t>
  </si>
  <si>
    <t>Pinaki Kumar - Thank you for your exceptional support in helping identify the root causes of recent field swap cases. Your in-depth analysis and insights have been crucial in addressing key challenges and implementing best practices to enhance our processes.Your expertise and proactive guidance continue to make a significant impact, and I truly value the opportunity to work with you.</t>
  </si>
  <si>
    <t>Manish Kumar Sethi - Bharath your efforts in handling the tough territory over the last five months have not gone unnoticed. keep up the excellent work and i am sure in coming days your performance will help circle to achieve 100% on it. Big improvement was seen on critical workorder &amp; quality workorder closer. keep it up the good work continue.</t>
  </si>
  <si>
    <t>T. Shanmugamanivel - Yuvaraj has demonstrated outstanding dedication and problem-solving skills in his recent collaboration with the F&amp;F vendor. Faced with a challenging situation that had escalated to a legal stage, Yuvaraj's relentless efforts were instrumental in identifying and recovering blocked stocks. His meticulous approach in locating these stocks and ensuring their timely return to the warehouse significantly supported the organization in reducing outstanding value.Yuvaraj's ability to navigate complex issues and deliver effective solutions showcases his commitment to the organization's success. His constant efforts and proactive attitude are highly appreciated and deserving of this recognition.Congratulations, Yuvaraj! Your remarkable achievements are truly commendable. 🌟</t>
  </si>
  <si>
    <t>Pradeep Kumar - Appreciating Sandeep for drafting the test cases of CR820 &amp; CR 834 as these CRs have multiple new critical functionalities and will deploy on live very soon. You focused on basic types of test requirement &amp; covered all possible scenarios. As resulted, identified many critical bugs so far like UI issues &amp; some other issues. Good Sandeep keep up fantastic work!”</t>
  </si>
  <si>
    <t>Geetesh Fulari - congratulations Prakash for your extra ordinary hard work and dedication made you win 2 stocking dealers' contests Dubai and Goa trip .Great show keep shining .wining is habit make it habit</t>
  </si>
  <si>
    <t>Jaipal Singh Bhandari - Thanks for your extended support in searching of new Repair center, supporting in pre-examiner activities and engaging me in technology activity for my knowledge &amp; skill development.</t>
  </si>
  <si>
    <t>Nandini . - Thank you, Imran, for managing Synamedia Nova &amp; Phoenix HD STB maintenance software upgrades, completed recently, expected to improve performance in field. Good work!</t>
  </si>
  <si>
    <t>T. Shanmugamanivel - Mohan's journey over these months highlights his resilience and determination. His ability to maintain focus and strive for improvement, even when faced with challenges, is commendable. Mohan's contributions are highly valued, and his sustained efforts in binge renewal are greatly appreciated.Keep up the great work, Mohan! Your dedication and hard work are truly making a difference. 🌟</t>
  </si>
  <si>
    <t>Siladitya Sengupta - Good job done in last 3 days new dealer opening.</t>
  </si>
  <si>
    <t>Karan Mehta - Mansi took charge of Tata Play Binge’s social media as handover and she drove the platform’s first reel to cross 1M organic views and helped a YouTube long-form video hit 17k+ views - both unprecedented numbers for the platform! Her efforts boosted follower growth across platforms and set new benchmarks. On top of that, she smoothed &amp; streamlined processes between the agency, internal teams, and content partners. Truly going above and beyond!</t>
  </si>
  <si>
    <t>Pradeep Kumar &amp; Nandini . - “Appreciating Manender for drafting the test cases of CR850 Synamedia project (CR829, CR818 &amp;CR819) as this project have multiple new critical functionalities and facing lot of challenges to validate E2E functionality of Synamedia STBs. You focused on basic types of test requirement &amp; covered all possible scenarios during drafting the test cases. As resulted, identified many critical bugs (approx. 20 bugs) so far like satellite NIT3 issue, maintenance reboot issue etc, Good Manender keep up fantastic work!”&lt;br/&gt;Thank you, Manender, for testing Synamedia Phoenix ( 42xx/43xx series) maintenance build , it is on air now &amp; expected to improve performance in field. Good job!</t>
  </si>
  <si>
    <t>Manish Kumar Sethi - Lacha great Job in driving the CCO team to achieve 100% non-closed workorder closure within the given timeline, your dedication to our business KPIs is truly appreciated. your efforts in ensuring timely workorder closure have significantly contributed to circle to achieve 100% non-closed workorder in time. Keep it up the good work continue.</t>
  </si>
  <si>
    <t>T. Shanmugamanivel - I would like to extend my heartfelt appreciation to Satheesh KG for his crucial role in clearing all non-closed work orders as part of the new implementation from Head Office. Satheesh consistently coordinated with all partners, ensuring that their pending closures were addressed promptly. His relentless efforts and effective communication have resulted in zero pending closures.Satheesh's dedication and proactive approach have been instrumental in the success of this implementation. His commitment to excellence and teamwork has set a high standard for all of us.Thank you, Satheesh, for your outstanding contributions and for being an invaluable asset to our team. Your hard work and dedication do not go unnoticed, and we are truly grateful for your efforts.</t>
  </si>
  <si>
    <t>Sunil Kumar Gupta - I appreciate Karn to show case effective collaboration and team leading skill during Regional Cricket Tournament. he managed well all the team members from different circles to delivering best out of them.</t>
  </si>
  <si>
    <t>Karan Mehta - Himanshu has been a key support in managing and leading the creative efforts for Binge Digital. His meticulous approach to processes and his timely coordination in securing content approvals have been crucial in ensuring smooth and efficient project execution. </t>
  </si>
  <si>
    <t>Deevanshu Aggarwal - Jeevan's knowledge of CR process and profound guidance during implementation of same within JIRA was the key factor of delivering this transformation project. He has been helpful and has been guiding us from day one for all the deliverables. Thanks for taking time out of your busy schedules and helping us along the way.</t>
  </si>
  <si>
    <t>Anshul Nuwal - Deevanshu did a brilliant job in implementing release / CR management and Documentation Repository in Atlassian tools (JIRA and Confluence).CR management and Documentation were everlasting problems in managing the work. Now with these implementations, all requirements can be tracked in proper flow from BRD phase to deployment phase.Also, Deevanshu is very agile in onboarding all the teams / departments in Tata Play to JIRA, so that it becomes a one stop solution for all teams to do CR / Release management.</t>
  </si>
  <si>
    <t>Rohit Kharbanda - Heartiest Congratulations Geetesh for Closing 17 Bulk Properties and with 640 Bulk Activations with Nationally Highest Bulk Activations in a month and ensuring 130 % overall activations target which reflects the Hard work and dedication in closing the Bulk accounts .</t>
  </si>
  <si>
    <t>Niraj Waghmode - Congratulation and Great Job in Overall execution of KPI in west region, Proud to have Team member like you that you achieved top position in Mumbai circle and in West region... All the best!!</t>
  </si>
  <si>
    <t>Geetesh Fulari - I want congratulate Chandan for remarkable achievement during the Diwali season. Completing 100 activations consecutively for 3 days in the Thought Market and overall achieving ever highest for this financial year  Your commitment has set a benchmark for excellence, and your efforts have been truly inspiring. Great show  Keep up the great work!Winning is Habit make it Habit</t>
  </si>
  <si>
    <t>Rohan Swarnkar &amp; Manvith Reddy Billa - December release being critical with multiple key business impacting features, Nikhil took the ownership to spearhead the UAT efforts and has been instrumental in ensuring the release is done in time, within constrained timelines.&lt;br/&gt;Nikhil demonstrated exceptional Ownership and Speed in the Binge LDPs and Dhamaka Balance Lock projects. He was instrumental is testing these critical projects to identify issues that would impact the end user or business and ensure that the outcome is as per the requirements. And all this was done on a very tight schedule. Thank you, Nikhil !</t>
  </si>
  <si>
    <t>Priyanka Gupta &amp; Gaurav Tripathi - I wanted to express my sincere gratitude for the support you have provided me whenever required. Your expertise and timely responses have greatly contributed to my learning and progress.&lt;br/&gt;Sales Manager with effective skills in Distribution, Channel and Team Handling. Highly organized and disciplined.</t>
  </si>
  <si>
    <t>Deepak Singh - Dear Bhupendra , You are really a great support to team. Your coordination is also excellent. You yourself call every team member whenever they require support. You manage everything so well and within time.</t>
  </si>
  <si>
    <t>Deevanshu Aggarwal - With Anil's guidance and help, we were able to make Jira and Confluence live in a short span of time. His support and knowledge are far more valuable and should be recognized in every way possible. Thanks for believing and guiding us during the span of this project.</t>
  </si>
  <si>
    <t>Niraj Waghmode - Great Job IN BMP score in national contest!!! Proud moment for me that you completed buddy program with me... All the best for your bright future. Keep glowing and growing!!</t>
  </si>
  <si>
    <t>T. Shanmugamanivel - I would like to extend my sincere appreciation to Andrew for his outstanding coordination and dedication. Yesterday, Andrew demonstrated exceptional teamwork by effectively collaborating with all team members and working diligently to clear all non-closed work orders well before the deadline. This effort was crucial in supporting the new implementation initiated by Head Office.Moreover, Andrew has been instrumental in maintaining zero hard-closed work orders for many months, showcasing his consistent commitment and reliability. His proactive approach and unwavering determination have significantly contributed to our team's success and efficiency.Thank you, Andrew, for your remarkable efforts and for being an invaluable asset to our team. Your dedication and hard work do not go unnoticed, and we are truly grateful for your contributions.</t>
  </si>
  <si>
    <t>Vinodkumar Anandan - Hi Akash,Appreciate your efforts in moving OB excel reports to Digital Dashboards. Good job in learning Tableau and implementing the same for all OB LOB's. Dashboards with various data cuts with slicers &amp; dicers enables the stakeholders to analyze the data and strategize for upcoming days. The Pictographical representations helps in comparative study of large data sets. Also immensely appreciate your efforts in aligning your PR's and delivering within timeline. Overall good work done on owning the transformation activity and the speed at which the requirements were met. It is observed that the stakeholders are using the tool extensively and benefitting from digital dashboards, received positive feed backs from all end users.</t>
  </si>
  <si>
    <t>Geetesh Fulari - I want to extend my heartfelt appreciation for your remarkable achievement during the Diwali season. by doing 121% activation for the month of Nov 24 . Your efforts have been truly inspiring. Great show  wining is Habit make it habit</t>
  </si>
  <si>
    <t>Thanx for the help in pin code formating.</t>
  </si>
  <si>
    <t xml:space="preserve">I'd like to appreciate his working physically in market and as well as updating various data, which really helps DSRs to achieve their target like Bandhan achievement and supports to display where they have to keep focus.&lt;br/&gt;&lt;br/&gt;Thanks </t>
  </si>
  <si>
    <t>Very Supportive and Helpful</t>
  </si>
  <si>
    <t>Aashna Bhutani</t>
  </si>
  <si>
    <t>Thanks Saptha for being so helpful and prompt in providing the data requirements for the digital projects which has helped us in our analysis. You have been a dependable colleague.</t>
  </si>
  <si>
    <t>Anisha Bajaj</t>
  </si>
  <si>
    <t>Sathish  J</t>
  </si>
  <si>
    <t>Nithya S.</t>
  </si>
  <si>
    <t>Navdeep Bhakal</t>
  </si>
  <si>
    <t>B P  Kirthesh</t>
  </si>
  <si>
    <t>Anup P. Lobo</t>
  </si>
  <si>
    <t>Vikas Kumar</t>
  </si>
  <si>
    <t>Prashanth N</t>
  </si>
  <si>
    <t>Poornachandran .</t>
  </si>
  <si>
    <t>Shameer PB</t>
  </si>
  <si>
    <t>M Ranjith .</t>
  </si>
  <si>
    <t>Shashwat Sharma</t>
  </si>
  <si>
    <t>Abhigyan Parashar</t>
  </si>
  <si>
    <t>Kalivarapu Girijasankara Rao</t>
  </si>
  <si>
    <t>B Vinod Krishnan</t>
  </si>
  <si>
    <t>Mithun C L</t>
  </si>
  <si>
    <t>K Dileep Reddy</t>
  </si>
  <si>
    <t>Tanisha Nayak</t>
  </si>
  <si>
    <t>Jithender Yadav</t>
  </si>
  <si>
    <t>Devadas Shenoy K.P.</t>
  </si>
  <si>
    <t>Yash Kanungo</t>
  </si>
  <si>
    <t>Rahul Kumar Gupta</t>
  </si>
  <si>
    <t>Shayor Das</t>
  </si>
  <si>
    <t>Amit Kumar Mishra</t>
  </si>
  <si>
    <t>Shaji C</t>
  </si>
  <si>
    <t xml:space="preserve">Kudos to Zain for being instrumental in ensuring data security for Native app NPS by successfully driving the removal of RMNs. His proactive alignment with the TTN team and swift initiation of development played a crucial role in accelerating the RMN removal activity. </t>
  </si>
  <si>
    <t>Recognising Vivek for his ownership to drive project Coco and bring it alive!</t>
  </si>
  <si>
    <t>Recognising Anisha for her ownership across different projects and collaborative nature.</t>
  </si>
  <si>
    <t>Nominating Ruturaj for his exceptional work for the ‘NPS Calculation Logic Change Activity’. As per previous practice the NPS score was calculated basis [Promoters: Those who rated us 5 (Minus) Detractors: Those who rated us either 3 or 2 or 1]&lt;br/&gt;As per Leadership’s recommendation NPS calculation had to be changed to – [Promoters: Those who rated us either 5 or 4 (Minus) Detractors: Those who rated us either 2 or 1]&lt;br/&gt;Changing NPS calculation is not an easy task. We had to make changes at multiple levels – NPS survey, survey UI / UX, Agency dashboard (Litmus) and NPS reports. &lt;br/&gt;Following are the activities he executed:&lt;br/&gt;1] He immediately transitioned all NPS reports (weekly &amp; monthly NPS reports) as per new logic &lt;br/&gt;2] He changed UI / UX of all NPS surveys (across 17 touch points). He personally verified all UAT preview links.&lt;br/&gt;3] He extensively worked with the Litmus on their dashboard &amp; went Live with new logic change for all touch points. This was achieved very quickly within 2 months.</t>
  </si>
  <si>
    <t>Huge Thanks to Shreyas for his incredible speed in understanding platform issues on S360. Your ability to swiftly tackle blockers—whether it's Social CRM Reassociation issues or any other operational challenges—makes a real difference. Your support is truly valued and doesn’t go unnoticed!"</t>
  </si>
  <si>
    <t>Greate work for management of multiple teams to build new NPS pattern for more secured NPS communication means.</t>
  </si>
  <si>
    <t>Great work on building new WhatsApp framework for GTM team with EAI for efficient and convenient reportings.</t>
  </si>
  <si>
    <t>Great work on collaborating with Enterprise applications for CI/CD pipeline automations using Gitlab.</t>
  </si>
  <si>
    <t>Great work on accelerating EAI2 progress with innovations and reviews</t>
  </si>
  <si>
    <t>I would like to express my sincere appreciation for your consistent collaboration and unwavering support across both TPMA and Binge platform. Your reliability whether during weekends or late evenings - demonstrates your exceptional commitment to the team.&lt;br/&gt;You consistently take ownership of tasks and actively support all BAU activities, ensuring smooth operations and timely delivery. Your dedication and proactive approach are truly commendable.&lt;br/&gt;Thank you for being such a dependable and valued team member.</t>
  </si>
  <si>
    <t>I would like to extend my sincere appreciation for your outstanding support during the implementation of the new UI hero banners on the Binge platforms. Your proactive collaboration with both our internal teams and external agencies to ensure alignment with the updated guidelines was truly commendable.&lt;br/&gt;Your thoughtful consideration of operational perspectives while developing features in both the CMS and front-end has been particularly valuable and reflects your deep understanding of our workflows.&lt;br/&gt;Thank you once again for your exceptional efforts and for consistently going above and beyond to support our shared goals. Your dedication is greatly appreciated, and I look forward to continuing our successful partnership.</t>
  </si>
  <si>
    <t>Noida RC is new center and training to the technical/non-technical staff was very important, Prashant taken ownership to make sure NRC performs in line with PRC &amp; BRC which are very much stable in performance. Provided repair training NRC Repair technician/FT QC Technicians via teams.&lt;br/&gt;and proactive spares arranged for Noida RC for smooth repairs.</t>
  </si>
  <si>
    <t>Satish have done an excellent job when IT grid issue on LDP pack mapping 26th Jun25, due to this 802-subscriber accounts incorrect LDP pack provisioned. &lt;br/&gt;He dropped the incorrect LDP pack and add correct LDP pack with necessary credits to avoid the subscriber dissatisfaction.</t>
  </si>
  <si>
    <t>Abhilash have done an excellent job when IT grid issue on LDP pack mapping 26th Jun25, due to this 968-subscriber done the recharge but requested LDP pack not provisioned. He taken the ownership and provisioned the correct LDP packs on subscriber accounts. For this issue Bulk Tool did not support for pack addition but still he rectified manually very effectively to avoid the subscriber dissatisfaction.</t>
  </si>
  <si>
    <t xml:space="preserve">Radha Krishna Is Very helpful  providing all the data in Customized Manner required by me and my Partner he is Available whatever i required , he is 100% Committed towards Circle Growth </t>
  </si>
  <si>
    <t>Indranil has taken ownership of the business and has driven very good Visibility and connect with the dealer base in his territory on consistent basis. This is not done in a month alone, but this is a result of inputs like regular dealer visit, KRO engagement which has resulted in steady growth in EVD Active and TSK active base in his territory despite market slowdown. Indranil has also been instrumental in driving UPP visibility and awareness thru one pager across his territory. Well done Indranil and keep up the good job in coming months too.</t>
  </si>
  <si>
    <t xml:space="preserve">Krishangi has been very proactive in driving Fancode Sports communication since launch. 
From quickly grasping the nuances of communication for each Formula 1 race to consistently analysing performance and optimising for growth, her contribution has been instrumental. 
Fancode Sports has now emerged as a strong pull product, with holdings crossing 25K - a milestone to which Krishangi’s silent efforts have significantly contributed. </t>
  </si>
  <si>
    <t>I would like to acknowledge Sehar for her significant contribution in bringing in the freshness through design language for special &amp;  topical event rails on Binge app. She consistently collaborates with the programming team and demonstrates a spirit of innovation while also taking complete ownership of idea to execution workflows.&lt;br/&gt;&lt;br/&gt;Her commitment was particularly evident in the timely closure of design tasks for the Prime Video CX journeys, where she handled last-minute iterations with agility and focus. Sehar is driven, responsive, and brings a positive attitude to every task..  qualities that will undoubtedly take her far in her career.</t>
  </si>
  <si>
    <t>Big shoutout to Sharath for being an absolute pillar in driving our content operations!&lt;br/&gt;&lt;br/&gt; From on-time onboarding to publishing of trailers, managing content featuring with precision, Sharath brings structure, reliability, and speed to our workflows. His excellent collaboration across teams has made execution seamless and efficient.&lt;br/&gt;</t>
  </si>
  <si>
    <t xml:space="preserve">effective Training session of HMS portal which help us understand train other team member </t>
  </si>
  <si>
    <t>Kudos to you for the excellent collaboration with the team and your dedicated support in successfully configuring the HMS feature across all set-top boxes at Hotel Novotel Goa. The hotel is extremely satisfied with the outcome, and this unique feature is sure to enhance our value proposition and help onboard more hotels in Goa. Great job!&lt;br/&gt;</t>
  </si>
  <si>
    <t>Sharath K S - "Great job on developing the tool to retrieve sports IDs from the partner app! This innovation has significantly helped Binge ops team to streamline in publishing the sports highlights on Binge, enabling us to deliver the highlights content faster and more efficiently. Your technical expertise and problem-solving skills are truly valued. Thanks for your hard work and dedication to improving our workflow!"</t>
  </si>
  <si>
    <t>Chirag P. Thakar - Thank you for your active support in closing the ITGC Audit. Your assistance in providing accurate inputs and clear explanations to the auditors was invaluable, helping us resolve all queries promptly. We truly appreciate your help and cooperation.</t>
  </si>
  <si>
    <t>Velu C - Dear Lokesh,I am writing to express my sincere gratitude for your outstanding support during the recent Dhamaka 3k-3.6k testing, box price changes, and additional binge and linear packaging activities.Your willingness to extend your support on weekends as well as your commitment to working late into the evening, has been truly remarkable. Your efforts have been crucial in ensuring the successful execution of these critical tasks, including the significant price increase of Rs. 700.Your professionalism, dedication, and hard work are truly commendable. You have set a high standard for excellence, and your contributions have made a significant impact on our team's success.Thank you once again for your exceptional efforts and for going above and beyond to support our goals.</t>
  </si>
  <si>
    <t>Velu C - Hi Vasu, Appreciate your outstanding support during the recent Dhamaka 3k-3.6k testing, box price changes, and additional Binge and linear packaging activities.Your willingness to extend your support on weekends as well as your commitment to working late into the evening, has been truly remarkable. Your efforts have been crucial in ensuring the successful execution of these critical tasks, including the significant price increase of Rs. 700.Your professionalism, dedication, and hard work are truly commendable. You have set a high standard for excellence, and your contributions have made a significant impact on our team's success.Thank you once again for your exceptional efforts and for going above and beyond to support our goals.</t>
  </si>
  <si>
    <t>Velu C - Dear Mahesh, Appreciate your outstanding support during the recent Dhamaka 3k-3.6k testing and the implementation of the box price changes.Your willingness to extend your support on weekends and holidays, as well as your commitment to working extended hours during the day, has been truly remarkable. Your efforts in preparing, validating the gaps, and sharing valuable inputs have been crucial to the success of these initiatives, including the significant price increase of Rs. 700.Additionally, your assistance with deployment and accommodating post-deployment checks has been invaluable. Your professionalism, dedication, and hard work have set a high standard for excellence and have made a significant impact on our team's success.Thank you once again for your exceptional efforts and for going above and beyond to support our goals. Your dedication is greatly appreciated, and I look forward to continuing to work with you.</t>
  </si>
  <si>
    <t xml:space="preserve">Amit Kumar Mishra - He is very Supportive and always ready to help....Doing Market visit and hotel visit with me on Time to time Timely Sharing All the report i.e Dist Payout, FOS Payout, and all the MIS </t>
  </si>
  <si>
    <t>Velu C - I Appreciate Mayur for his exceptional work on the NTO 3 (officially NTO 4) project, especially in managing the PCF configurations and migrations. his attention to detail and proactive approach, Collaboration with the Configuration, UAT, and BI teams was truly commendable which has ensured data accuracy and also support in thorough testing was instrumental in achieving a smooth and successful deployment.I truly appreciate the positive impact you've made on this project. Thank you once again for your hard work and commitment!</t>
  </si>
  <si>
    <t>Nirmal Abraham - I just wanted to sincerely appreciate the incredible work Nithya has done on developing the Sony RIO text blocker/scramble application. Turning around such a critical piece of work in a short time span—and delivering it without any bugs—is truly commendable. Your dedication, attention to detail, and ability to understand and implement the requirement based on STB time and delivering the time-based blocker text app so quickly made a huge difference. The successful delivery of this app not only helped us to be ready to block/scramble the time-based Sony text, but also reinforced confidence in our team's ability to execute under pressure</t>
  </si>
  <si>
    <t>Komal Sahu - I want to extend my thanks for your exceptional efforts in winning back NHPC BANDIPORA Srinagar corporate account without extension of any discounts. Your relationship with customer, and persistence played a pivotal role in restoring this account. It’s no small feat to regain a client’s trust, especially in a competitive market, and your ability to do so without compromising on our pricing structure speaks volumes about your negotiation skills and deep understanding of client needs. Your efforts has not only safeguarded our revenue but also reinforced our reputation for reliability and value. This achievement reflects your leadership and the confidence you inspire in both clients and our team. Thank you for going above and beyond to ensure this success. </t>
  </si>
  <si>
    <t>T. Shanmugamanivel-Kirtesh has played a pivotal role in conceptualizing and driving partner engagement initiatives, i.e., Happy Weekend, significantly empowering ASMs to enhance customer experience and deliver impactful results aligned with organizational goals. His dedication and strategic contributions have been instrumental in fostering collaboration and achieving excellence.Dear Kirtesh,Your outstanding contribution and dedicated efforts in developing and deploying the CCO Score Card are greatly appreciated. Your hard work and commitment have been instrumental in the success of this project.Thank you for your exceptional work!</t>
  </si>
  <si>
    <t xml:space="preserve">T. Shanmugamanivel-Anup has been instrumental in conceptualizing and executing impactful partner engagement initiatives like 'Happy Weekend,' which have empowered ASMs to elevate customer experience and drive results aligned with our organizational goals. Beyond this, his proactive support in managing escalations and consistently being available for team calls has made a significant difference in maintaining service excellence and team morale. His dedication, responsiveness, and collaborative spirit are truly commendable.Dear Anup,Your exceptional contribution and dedicated efforts in developing and deploying the CCO Score Card are deeply appreciated. Your hard work and commitment have been pivotal to the success of this project.Thank you for your outstanding work!. </t>
  </si>
  <si>
    <t>Thank you Pintu for your immediate response and assistance in resolving my issue related to MDU Technician. Keep it up</t>
  </si>
  <si>
    <t>thanks a lot Vikas for the immediate support you extended every time when required.&lt;br/&gt;thanks for helping me to close the OLD Pending F&amp;F</t>
  </si>
  <si>
    <t>“I want to take a moment to sincerely appreciate the dedication and responsiveness you've consistently demonstrated in your cross-functional role. &lt;br/&gt;Your efforts in ensuring that all processes remain up-to-date and aligned with operational standards have been appreciated. &lt;br/&gt;Your proactive approach, attention to detail, and willingness to collaborate across teams have greatly contributed to the smooth functioning of our workflows.&lt;br/&gt;It’s truly encouraging to see a team member demonstrate such reliability and initiative. You’ve set a commendable example for your peers, and I look forward to your continued contributions in the times ahead.’’</t>
  </si>
  <si>
    <t>Appreciate your effort and ownership in resolving the customer request through a direct visit. Keep up the customer-first approach—it's this dedication that will propel you to the next phase of growth. All the best</t>
  </si>
  <si>
    <t>I appreciate your efforts in winning over the customer from Amazon prime. The opportunities are significant. Keep up the great work and continue to grow!</t>
  </si>
  <si>
    <t>Meghna collaborated with UI UX team to bring topical and celeb content special rails to life. She ensured defining the upcoming event calendar in terms of critical days celebrated globally and Bollywood &amp; south celeb birthday calendars for these special rails. She also worked out the programing for these rails which increased the click throughs and watch time for content through these rails. </t>
  </si>
  <si>
    <t>Yogapriya has been pivotal in the planning and delivery of the Recharge Campaign Page requirement for TPMA. Her well-structured approach, attention to detail, and clarity of the requirement objective have helped us in facilitating the discussions with all stakeholders smoothly. She has been instrumental in assisting us with the required clarity of various scenarios during the testing phase, helping us curate the critical tracking plan, and with her unwavering focus towards the end-to-end execution of the project. Her sincere efforts are deeply valued and they reflect her strategic planning, collaborative planning, and adaptability skills.</t>
  </si>
  <si>
    <t>Abhaya Kumar Mishra - Thank you for always going the extra mile. </t>
  </si>
  <si>
    <t>Somesh Singh - I want to express my deepest gratitude to Saumya for her pivotal role in the successful launch of Project Recharge 2.0. This project demanded meticulous attention to detail and numerous design iterations, encompassing a wide range of complex scenarios. Saumya's ability to effectively manage and incorporate feedback, while consistently delivering timely revisions, was absolutely critical to our success. Her dedication to ensuring the design met all requirements and her exceptional responsiveness were invaluable. Saumya's commitment to excellence and her proactive approach were instrumental in bringing this project to fruition, and her contributions are greatly appreciated by the entire team.</t>
  </si>
  <si>
    <t>Shaji C - Shameer did an exceptionally good job in Binge Mobile by acuiring 11 Annual BMP customer in March despite of all his market challenges.Thanks for the Hard work and your achievement has been an inspiration to others. Your dedication and your focus on results are a positive example for the entire team.</t>
  </si>
  <si>
    <t>Somesh Singh - I want to extend my sincere appreciation to Zain for his exceptional dedication and unwavering commitment in bringing Project Recharge 2.0 to a successful live launch. This project, with its intricate IT dependencies and rigorous testing phases, presented numerous challenges. Zain's proactive approach, persistent follow-ups with the IT team, and meticulous management of multiple testing iterations were absolutely crucial. He ensured a smooth and hassle-free go-live, demonstrating remarkable problem-solving skills and a steadfast focus on achieving our project goals. Zain's contributions were truly instrumental, and his efforts are highly valued by the entire team.</t>
  </si>
  <si>
    <t>Pavan Kumar Garg - Niraj,You have done fantastic delivery yesterday by making Zero No Visit In Home call Survey for the Circle.Keep maintain it!!!</t>
  </si>
  <si>
    <t>Pavan Kumar Garg - Pawan,You have maintained critical wo under control last month and some days with Zero.Good show, keep maintain it!!!</t>
  </si>
  <si>
    <t>Rahul Dutta - Sandra has effectively managed advertising inventory with multiple changes coming in over the weekend and demonstrated exceptional organizational skills and ability to prioritise and optimise inventory to maximise revenue. Showcasing a keen understanding of the business requirements and helping us in driving business results. </t>
  </si>
  <si>
    <t>Nishant Bangar - Anirudh has played a pivotal role in expanding Binge via TPMA across multiple touchpoints, driving Binge subscriptions through strategic content-asset mapping. His data-driven approach, backed by multiple experiments, has helped identify the most effective messaging for higher conversions. He also piloted key experiments, including slash pricing, app count variations (4 apps vs. 13 apps for the ₹199 proposition), and proposition led vs multiple content-led A/B tests. These insights enabled Binge team to make informed decisions and scale successful strategies across all channels.This Spot Award recognises his analytical mindset, initiative, and impact. </t>
  </si>
  <si>
    <t>Meghana Nagaraj - Vasumathy has been a pillar of strength in the UAT team, ensuring every use case is meticulously tested before sign-off. Her keen eye for detail and thorough approach leave no corner case unaddressed. She has played a crucial role in testing all Fiber Binge Bundle use cases from its inception to date. The seamless customer experience in pack activation and handling is a testament to her dedication and expertise. Our Fiber partnership has come a long way, and Vasumathy’s contributions have been instrumental in making it a success!</t>
  </si>
  <si>
    <t>Somesh Singh - M. Ranjith's exceptional contributions were instrumental in the successful launch of the Recharge 2.0 project. As a key member of the IT team, his pivotal role was truly invaluable. He adeptly managed our partners and the internal IT team, demonstrating accountability and fostering a collaborative environment. Furthermore, M. Ranjith's proactive handling of escalations ensured the smooth progress of the project and the timely resolution of critical issues. His dedication, expertise, and unwavering commitment were vital to achieving this significant milestone for the company. We deeply appreciate his hard work and the positive impact he has made on the Recharge 2.0 initiative.</t>
  </si>
  <si>
    <t>Paurav S Choubal - Inder's business direction was critical in the success of Recharge 2.0 both for subscribers and Tata Play. The journey has turned out to be an easy 1 step recharge journey and has shown increase in Flexi adoption and ARPU. </t>
  </si>
  <si>
    <t>Abhaya Kumar Mishra - Congratulations on the success of the” AI in Procurement Project”. I appreciate your commitment and collaboration in making this project a reality. </t>
  </si>
  <si>
    <t>Pragya Shekhar - Vinod helped in mentoring our new content resource on the Broadview Software, guiding her along all her steps and helping her gain confidence for working on the software in a very less time. He showed true mentorship and collaboration.</t>
  </si>
  <si>
    <t>Komal Sahu - I would like appreciate Geeta for her contribution in Recharge 2.0 project. Her work in building reports and various dashboards has provided business team with clear, accurate, and actionable insights. Right from understanding the business requirement to translating into analytical reports, she has taken ownership and delivered in timely fashion. She ensured that every piece of data is accurately represented, improved ways to visualize and interpret our metrics. This have enabled us to identify trends, monitor performance, and make informed decisions with ease. Beyond her technical expertise, she was always welcoming feedback and enhancing the reports on the go. Their commitment to excellence and continuous improvement is truly commendable. Thank you for your outstanding work. </t>
  </si>
  <si>
    <t>Rabiya Sidiqa - Abhishek developed a tool that facilitated the generation of Sports content IDs from partner applications. This feature significantly aided us in publishing the Browse By Sports pages. He took ownership of the project and implemented this feature for all major partners. And delivered it in a short span. It saved a lot of our team effort and time.</t>
  </si>
  <si>
    <t>Rabiya Sidiqa - Binu assisted us in developing a tool that enabled the generation of content IDs from partner applications. This feature greatly contributed to the publication of the Browse By Sports pages. He collaborated with a team member to take on this project and successfully implemented this feature for all major partners. As a result, our team was able to publish content efficiently and on time.</t>
  </si>
  <si>
    <t>Sarbojit Sarkar - Thank you Tapan for putting an extra effort to complete Full &amp; Final of 2 SSD in Vacant area, he put great effort to close long peding full &amp; final from receivable to status to payble and close end to end.Good job done.</t>
  </si>
  <si>
    <t>Mohit Goel &amp; Mohammad Zain Khan - Thanks Brajesh for helping and sorting IT related things. your quick response and support, helps to achieve task quickly and efficiently.&lt;br/&gt;This is to appreciate for your exceptional support during our ongoing JIRA onboarding process. Your expertise and dedication were instrumental in ensuring a smooth and efficient transition for our team and your continuous supports is much appreciated. Your proactive approach and willingness to go above and beyond to address our queries and concerns have not gone unnoticed. Your efforts in resolving all the queries related to VPN and JIRA onboarding have been immensely helpful.Thanks to all your efforts and help in resolving all the queries.</t>
  </si>
  <si>
    <t>Mitalee Pradhan &amp; Komal Sahu - Akshat has played a pivotal role in the A/B testing feature in TPMA, aligning UI, Subscriber Marketing, Analytics, and Tech teams. He contributed significantly by understanding 20+ use cases from UI and suggesting improvements. He helped deliver features earlier than planned, like the GIF in bottom navigation, while ensuring scalability for creative flexibility. His patient approach in meetings helps reach consensus.&lt;br/&gt;In Recharge 2.0, Akshat was instrumental in orchestrating A/B testing and coordinating TTN, Analytics, Business, Tech, and IT teams. Previously, we struggled with incomplete recharge data in Mixpanel, but Akshat helped visualize the full journey, providing accurate insights that enhanced timely decision-making for the launch. Thank you for your outstanding work.</t>
  </si>
  <si>
    <t>Mitalee Pradhan &amp; Komal Sahu - I would like to appreciate Shashwat for going the extra mile with Recharge 2.0 data. He was key in creating the data model and monitoring offer display during A/B testing, which led to the new journey going live. After the 100% rollout, I urgently requested performance data. Despite being in a full-day workshop, Shashwat provided the necessary details the same day, including not just numbers but key analysis. He explained data highs, lows, and trends, giving me a holistic view I might have missed. His data model helped identify the right target base for LDP offers. His planning and analysis drove LDP uptake, ensured smooth NBA file uploads, and enabled proactive execution changes. His timely input on business rules personalized offers based on subscriber behavior, improving offer prioritization. Thank you for your outstanding work!</t>
  </si>
  <si>
    <t>Saumya Siotia &amp; Somesh Singh - Grateful acknowledgment to Komal for her invaluable support and guidance during the Recharge 2.0 project. As the business stakeholder, her deep insights and timely interventions were crucial in bringing perspective as well as addressing key queries throughout the Recharge 2.0 design and implementation phases.Her responsiveness during UAT testing and her thoughtful feedback greatly contributed to enhancing the overall journey, ensuring a smooth transition towards project completion. Her leadership, commitment, and collaboration have been instrumental to the project's success. I want to extend my heartfelt thanks to Komal for her extraordinary contributions to the successful launch of Project Recharge 2.0. As a key member of the business retention team, Komal's intensive support in testing and providing insightful feedback was absolutely pivotal. Her openness to adapting business rules and her proactive approach to enhancing user experience were invaluable.</t>
  </si>
  <si>
    <t>Mitalee Pradhan &amp; Komal Sahu-I would like to recognise Somesh for his outstanding ownership and end-to-end management of the Recharge 2.0 project. As the key product owner, he successfully streamlined collaboration across UI, business, technology, and analytics teams, ensuring alignment and smooth progress at every stage.He has been a great support to the design team, helping resolve queries promptly and providing much-needed clarity that enhanced the design process. This was epecially essential with the multiple scenarios, logics that were to be developed.His strategic direction, proactive problem-solving, and constant support were crucial to driving the project forward and helped in delivering a seamless experience as seen through the A/B testing for this project as well.I would like appreciate Somesh for his contribution in Recharge 2.0 project. From understanding the business rules to making IT/Tech execute those rules and giving pragmatic solutions for various complex challenges.</t>
  </si>
  <si>
    <t>Congratulations on receiving the Zee Kyoorius Baby Blue Elephant Award award for the creative Reel Shik Shak Shok (garnering 15M views, 97K likes, 256K likes)&lt;br/&gt; Also, great work done as April 2025 recorded highest ever shares (north-star metric) on IG - 400K, Highest ever views (north-star metric) on YT - 4.7M (higher than all of FY25 combined), views sustained over May 2025 - 1.4M (higher than any quarter of FY25); highlighting strong growth over Q1 2025</t>
  </si>
  <si>
    <t>Abhigyan spearheaded a series of strategic initiatives that significantly enhanced both lead quality and conversion rates. Through focused efforts:&lt;br/&gt;&lt;br/&gt;- Improved Conversion Rates: Increased overall lead conversion from 2.3% to 2.8% by optimizing push channel strategies across Meta and Google.&lt;br/&gt;- Enhanced Lead Quality: Prioritized high-intent lead generation, ensuring better qualification through performance-driven push campaigns.&lt;br/&gt;- Regional Language Innovation: Identified language as a key barrier in Andhra Pradesh and Telangana, and implemented a regional campaign with Telugu-speaking agents. This yielded a higher conversion rate (3.1%) compared to standard campaigns (2.8%), validating the hypothesis and demonstrating the power of hyperlocal personalization.&lt;br/&gt;&lt;br/&gt;Abhigyan’s data-backed, user-centric approach directly contributed to both business growth and user satisfaction, making a strong case for this recognition.</t>
  </si>
  <si>
    <t>Thank you for contributing to such a well-executed and impactful project presentation. Your effort, clarity, and attention to detail truly made a difference.&lt;br/&gt;I sincerely appreciate the dedication and hard work you put into making it insightful and engaging. Well done!</t>
  </si>
  <si>
    <t>I want to extend my sincere appreciation for the exceptional presentation you delivered on the project topic. Your insights were not only well-researched and clearly articulated, but also demonstrated a deep understanding of the subject matter.&lt;br/&gt;The effort you put into crafting such a thoughtful and impactful presentation truly stood out. It was both informative and inspiring, and it added great value to our discussions.&lt;br/&gt;Thank you for your dedication and excellence. Looking forward to more such contributions!</t>
  </si>
  <si>
    <t>Dileep, your participation and contribution during today’s session were truly commendable. We appreciate your engagement and encourage you to continue contributing actively. Let’s keep up the momentum and work together to drive even better performance. Wishing you all the best!</t>
  </si>
  <si>
    <t>Tanisha, your participation and contribution during today’s session were truly commendable. We appreciate your engagement and encourage you to continue contributing actively. Let’s keep up the momentum and work together to drive even better performance. Wishing you all the best!</t>
  </si>
  <si>
    <t>Jithender, your participation and contribution during today’s session were truly commendable. We appreciate your engagement and encourage you to continue contributing actively. Let’s keep up the momentum and work together to drive even better performance. Wishing you all the best!</t>
  </si>
  <si>
    <t xml:space="preserve">Kapil shown Great Performance in May and Ranked Number 1 ASM In Circle Ranking </t>
  </si>
  <si>
    <t>I want to extend my thanks for your exceptional efforts in winning back NHPC BANDIPORA Srinagar corporate account without extension of any discounts. Your relationship with customer, and persistence played a pivotal role in restoring this account. It’s no small feat to regain a client’s trust, especially in a competitive market, and your ability to do so without compromising on our pricing structure speaks volumes about your negotiation skills and deep understanding of client needs. Your efforts has not only safeguarded our revenue but also reinforced our reputation for reliability and value. This achievement reflects your leadership and the confidence you inspire in both clients and our team. Thank you for going above and beyond to ensure this success. </t>
  </si>
  <si>
    <t>I just wanted to sincerely appreciate the incredible work Nithya has done on developing the Sony RIO text blocker/scramble application. Turning around such a critical piece of work in a short time span—and delivering it without any bugs—is truly commendable. Your dedication, attention to detail, and ability to understand and implement the requirement based on STB time and delivering the time-based blocker text app so quickly made a huge difference. The successful delivery of this app not only helped us to be ready to block/scramble the time-based Sony text, but also reinforced confidence in our team's ability to execute under pressure</t>
  </si>
  <si>
    <t>We appreciate for you good support always...keep it up</t>
  </si>
  <si>
    <t>Anup has been instrumental in conceptualizing and executing impactful partner engagement initiatives like 'Happy Weekend,' which have empowered ASMs to elevate customer experience and drive results aligned with our organizational goals. Beyond this, his proactive support in managing escalations and consistently being available for team calls has made a significant difference in maintaining service excellence and team morale. His dedication, responsiveness, and collaborative spirit are truly commendable.</t>
  </si>
  <si>
    <t>Kirtesh has played a pivotal role in conceptualizing and driving partner engagement initiatives, i.e., Happy Weekend, significantly empowering ASMs to enhance customer experience and deliver impactful results aligned with organizational goals. His dedication and strategic contributions have been instrumental in fostering collaboration and achieving excellence.</t>
  </si>
  <si>
    <t>I Appreciate Mayur for his exceptional work on the NTO 3 (officially NTO 4) project, especially in managing the PCF configurations and migrations. his attention to detail and proactive approach, Collaboration with the Configuration, UAT, and BI teams was truly commendable which has ensured data accuracy and also support in thorough testing was instrumental in achieving a smooth and successful deployment.&lt;br/&gt;I truly appreciate the positive impact you've made on this project. Thank you once again for your hard work and commitment!</t>
  </si>
  <si>
    <t>Repeat FR Creation and Completion KPI is a very critical Field Service KPI. and it has lot of complexities with respect to identification of areas, reasons or people who are leading to high Repeat FR. Timely identification of people responsible and reason responsible for high Repeat FR helps us to do course correction. This requirement was shared with Shrikant and I asked him to create a Dashboard which can give cockpit view about all Repeat related parameters. The Dashboard created by Shrikant is very powerful and it gives MoM Trends of different Repeat related KPIs for different levels like Region, Circles, ASMs, even till Service Partner level. Not only it tells MoM % it also pinpoints the reason codes which are contributing high in repeat WO creation or completion which help us to understand the causes of higher repeat too. I am sure this dashboard will help us to monitor the Repeat parameter much more effectively now.</t>
  </si>
  <si>
    <t>He is very Supportive and always ready to help....&lt;br/&gt;Doing Market visit and hotel visit with me on Time to time &lt;br/&gt;Timely Sharing All the report i.e Dist Payout, FOS Payout, and all the MIS &lt;br/&gt;</t>
  </si>
  <si>
    <t>I would like to commend Zenaida for her proactive communication and timely interventions during the F1 - Tata Play Fancode launch. Her clear &amp; effective updates/solves not only bridged gaps between our team and the partner but also ensured we met our launch timelines.  She consistently goes above and beyond, demonstrating a strong commitment to collaboration and excellence. Your support has been invaluable—thank you!!</t>
  </si>
  <si>
    <t>Dear Mahesh, Appreciate your outstanding support during the recent Dhamaka 3k-3.6k testing and the implementation of the box price changes.&lt;br/&gt;Your willingness to extend your support on weekends and holidays, as well as your commitment to working extended hours during the day, has been truly remarkable. Your efforts in preparing, validating the gaps, and sharing valuable inputs have been crucial to the success of these initiatives, including the significant price increase of Rs. 700.&lt;br/&gt;Additionally, your assistance with deployment and accommodating post-deployment checks has been invaluable. Your professionalism, dedication, and hard work have set a high standard for excellence and have made a significant impact on our team's success.&lt;br/&gt;Thank you once again for your exceptional efforts and for going above and beyond to support our goals. Your dedication is greatly appreciated, and I look forward to continuing to work with you.</t>
  </si>
  <si>
    <t>Hi Vasu, Appreciate your outstanding support during the recent Dhamaka 3k-3.6k testing, box price changes, and additional Binge and linear packaging activities.&lt;br/&gt;Your willingness to extend your support on weekends as well as your commitment to working late into the evening, has been truly remarkable. Your efforts have been crucial in ensuring the successful execution of these critical tasks, including the significant price increase of Rs. 700.&lt;br/&gt;Your professionalism, dedication, and hard work are truly commendable. You have set a high standard for excellence, and your contributions have made a significant impact on our team's success.&lt;br/&gt;Thank you once again for your exceptional efforts and for going above and beyond to support our goals.</t>
  </si>
  <si>
    <t>Dear Lokesh,I am writing to express my sincere gratitude for your outstanding support during the recent Dhamaka 3k-3.6k testing, box price changes, and additional binge and linear packaging activities.&lt;br/&gt;Your willingness to extend your support on weekends as well as your commitment to working late into the evening, has been truly remarkable. Your efforts have been crucial in ensuring the successful execution of these critical tasks, including the significant price increase of Rs. 700.&lt;br/&gt;Your professionalism, dedication, and hard work are truly commendable. You have set a high standard for excellence, and your contributions have made a significant impact on our team's success.&lt;br/&gt;Thank you once again for your exceptional efforts and for going above and beyond to support our goals.</t>
  </si>
  <si>
    <t>Appreciate your unwavering dedication and exceptional support during the recent Dhamaka 3k-3.6k testing and the implementation of the box price changes.&lt;br/&gt;Your willingness to extend your support on weekends and holidays, as well as your commitment to working late into the evening are really commendable. Your efforts have been instrumental in ensuring the successful execution of these critical tasks, including the significant price increase of Rs. 700.&lt;br/&gt;Your professionalism, hard work, and dedication are truly commendable. You have set a high standard for excellence, and your contributions have made a significant impact on our team's success.&lt;br/&gt;Thank you once again for your outstanding efforts and for going above and beyond to support our goals. Your dedication is greatly appreciated, and I look forward to continuing to work with you.</t>
  </si>
  <si>
    <t>appreciate your exceptional support in managing the exceptions related to Dhamaka and box price changes. Your careful handling of these intricate scenarios, particularly where credits needed to be extended without affecting activations, has been truly remarkable.&lt;br/&gt;Your dedication and meticulous attention to detail have ensured smooth operations and have greatly contributed to our team's success. Your ability to navigate these challenges with such precision and efficiency is highly commendable.&lt;br/&gt;Thank you for your unwavering commitment and for going above and beyond to ensure everything runs seamlessly.</t>
  </si>
  <si>
    <t>Thank you for your active support in closing the ITGC Audit. Your assistance in providing accurate inputs and clear explanations to the auditors was invaluable, helping us resolve all queries promptly. We truly appreciate your help and cooperation.</t>
  </si>
  <si>
    <t>Dear Anup,&lt;br/&gt;&lt;br/&gt;Your exceptional contribution and dedicated efforts in developing and deploying the CCO Score Card are deeply appreciated. Your hard work and commitment have been pivotal to the success of this project.&lt;br/&gt;Thank you for your outstanding work!&lt;br/&gt;&lt;br/&gt;Best regards,</t>
  </si>
  <si>
    <t>Dear Kirtesh,&lt;br/&gt;&lt;br/&gt;Your outstanding contribution and dedicated efforts in developing and deploying the CCO Score Card are greatly appreciated. Your hard work and commitment have been instrumental in the success of this project.&lt;br/&gt;Thank you for your exceptional work!&lt;br/&gt;&lt;br/&gt;Best regards,</t>
  </si>
  <si>
    <t>"Great job on developing the tool to retrieve sports IDs from the partner app! This innovation has significantly helped Binge ops team to streamline in publishing the sports highlights on Binge, enabling us to deliver the highlights content faster and more efficiently. Your technical expertise and problem-solving skills are truly valued. Thanks for your hard work and dedication to improving our workflow!"</t>
  </si>
  <si>
    <t>Great initiative taken by Ivan for the Women's day hamper. He was able to identify a unique proposition and align multiple stakeholders within very sharp timelines. This included closing on the final hamper selections, sourcing from multiple product lines, managing for the first time delivering hampers to all pan-India branch locations and ensure last mile delivery before the event day. This was much appreciated by women employees and has set up a new benchmark for the event. Kudos to him for successfully trying out a new initiative in spite of the many challenges it posed</t>
  </si>
  <si>
    <t>I would like to recognise Somesh for his outstanding ownership and end-to-end management of the Recharge 2.0 project. As the key product owner, he successfully streamlined collaboration across UI, business, technology, and analytics teams, ensuring alignment and smooth progress at every stage.&lt;br/&gt;He has been a great support to the design team, helping resolve queries promptly and providing much-needed clarity that enhanced the design process. This was epecially essential with the multiple scenarios, logics that were to be developed.&lt;br/&gt;His strategic direction, proactive problem-solving, and constant support were crucial to driving the project forward and helped in delivering a seamless experience as seen through the A/B testing for this project as well.&lt;br/&gt; </t>
  </si>
  <si>
    <t>Grateful acknowledgment to Komal for her invaluable support and guidance during the Recharge 2.0 project. As the business stakeholder, her deep insights and timely interventions were crucial in bringing perspective as well as addressing key queries throughout the Recharge 2.0 design and implementation phases.&lt;br/&gt;Her responsiveness during UAT testing and her thoughtful feedback greatly contributed to enhancing the overall journey, ensuring a smooth transition towards project completion. Her leadership, commitment, and collaboration have been instrumental to the project's success.</t>
  </si>
  <si>
    <t>Thank you Tapan for putting an extra effort to complete Full &amp; Final of 2 SSD in Vacant area, he put great effort to close long peding full &amp; final from receivable to status to payble and close end to end.&lt;br/&gt;&lt;br/&gt;Good job done</t>
  </si>
  <si>
    <t>Vishal Sethi - Thank you for being such a supportive colleague. Whenever there is any issue with Siebel, you always provide solution promptly. Your willingness to collaborate and support others is truly commendable.</t>
  </si>
  <si>
    <t>Viral Modi - I would like to appreciate Mahendra Gupta for managing the campaigns for Retention LOB. Retention campaigns are important &amp; critical for Business. In the campaign team, we get a lot of requirements to win back deactive subscribers. Mahendra has demonstrated great collaboration skills while working with the Retention team. Due to his hard work &amp; dedication, we were able to launch multiple critical &amp; important campaigns on time. Good Job Mahendra &amp; Keep up the good work.</t>
  </si>
  <si>
    <t>Sudhir Rajaram Manyar - Deepti Yadav's performance during the asset physical verification at the Tech Centre was exemplary. Her commitment to accuracy, exceptional organizational skills, and proactive problem-solving abilities contributed significantly to the successful completion of this important task. Her dedication and hard work are highly commendable and deserve recognition.</t>
  </si>
  <si>
    <t>Siladitya Sengupta - Good Job - Stocking Dealer Feb 25</t>
  </si>
  <si>
    <t>Shekh Aashif - One of the Toughest Site of Doordarshan news MDU work completed before timelines.Rajendra took ownership and get it done on super speed.</t>
  </si>
  <si>
    <t>Sheeja P.A. - We acknowledge Sachin's significant contribution to the development of a monitoring tool, enabling Live monitoring changes during the schedule migration to XTI format, despite the scheduler's limitations.Sachin's dedication and expertise in delivering the monitoring tool within the timeline, ensuring seamless live monitoring changes during the migration process.</t>
  </si>
  <si>
    <t>Sheeja P.A. - I would like to express my deep appreciation for Abhishek's exceptional contribution along with Binu in creating the CPM Dashboard Data Extraction tool.Despite the complexity and time-consuming in nature the tool was developed in short span of time.Thank you for being the part of the development of the tool.</t>
  </si>
  <si>
    <t>I take this moment to say thanks to Raj Kumar for his valuable support for every time whenever we raise a request, you have been very supportive till this time and we expect same going forward. Thanks RajRegards,Satish Kp</t>
  </si>
  <si>
    <t>Rochelle R Rajguru - Thank you, Geeta, for the quick turnaround on the report requested on the TPMA performance for World TV premieres. Geeta proactively mentioned about sharing this data and supporting us with the required details. Thank You Geeta . Keep it up.</t>
  </si>
  <si>
    <t>Pranshul Gupta - This spot is to recognize Sneha's incredible ownership and speed in driving viewership on Tata Play Mobile App. The Ro-Ko of our cricket team may or may not always be in their top form, but Sneha delivers a perfect yorker every single time. Whether it's a test series like Border-Gavaskar airing at odd hours, a bilateral series missing marquee players, a Champions trophy sparking world cup nostalgia or the much-anticipated return of the IPL on our app - Sneha always generates excitement among subscribers and brings them in with timely, contextual communication.</t>
  </si>
  <si>
    <t>Pradeep Tambade - I would like to appreciate Saumya’s work on the TPMA dark mode UI/UX project.It is a significant change for the user experience on TPMA. Starting from identifying different screens to designing them in dark mode and performing thorough checks during UAT, she has showcased ownership and dedication. She has successfully delivered UI screens within the timelines, which helped us release the dark mode feature on time.</t>
  </si>
  <si>
    <t>Pavan Satpute - Tata Play Binge Whitelabel has been expanding its presence over the past two years, and establishing a strong web presence was crucial for showcasing our product portfolio and supporting campaign activations. Mitalee’s exceptional contributions in designing and refining the UI/UX for our website have been instrumental in bringing this vision to life. Despite working with tight deadlines, she proactively incorporated feedback from multiple stakeholders and significantly enhanced the visual appeal of the platform. Her dedication, agility, and hard work ensured that the website was ready just in time to support our campaign activation. The impact of her work in attracting and retaining the target audience will go a long way in driving our business goals. On behalf of the Binge Whitelabel team, we sincerely appreciate her outstanding contribution to this initiative.</t>
  </si>
  <si>
    <t>Paurav S Choubal - Het played a key role in streamlining the framework of Hero banners for new UI UX on the Binge app. He came up with a solid approach which helped both design and development teams. He proactively got the teams involved to do QAs and ensured we released only high quality product designs which would improve overall user experience on the Binge app.</t>
  </si>
  <si>
    <t>Deep Dayal Gupta - Let’s give a warm shoutout to Swamy, our teammate who’s quick, great at working together, and always ready to take the lead!Swamy’s the one who keeps infra issues from slowing us down, making sure our deliverables stay on track. This week, when the Prod Deployment for Get Help Bot ran into trouble with the LLM model move, he didn’t hesitate. He took ownership, teamed up with everyone involved, and found a way forward - probably with a coffee in one hand and a plan in the other.Because of him, we got those changes deployed smoothly. Thanks, Swamy—keep doing what you do so well!</t>
  </si>
  <si>
    <t>Arpajit Adhikary - Excellent efforts to help with onboarding teams onto newly introduced Jira for easier management of worklogs and efforts Tata Play wide. Added appreciations alongside for remarkable administration of multiple teams involved with PRMNXT project to enable integrations with all applications impacting the new PRMNXT flows. Always a charm to handle EAI1 CRs letting timely go-lives with committed timelines of UAT and E2E releases.</t>
  </si>
  <si>
    <t>Anshul Kapoor - Thanks for the support provided for getting the asset audit done smoothly. Also, identifying the assets &amp; getting them validated on time.</t>
  </si>
  <si>
    <t>Rupesh Kumar Rohit &amp; Sanjeev Kumar Singh - Very cooperative. Extended support of him because of him past experience and back office experience.&lt;br/&gt;Helped in Agreement.</t>
  </si>
  <si>
    <t>Kishore Kumar B. &amp; Sheeja P.A. - Thank you for developing the automation project to monitor the Binge app during the ICC CT final match between India and New Zealand. Binge Android Mobile app automation allowed us to track the app’s performance seamlessly throughout the match without any manual intervention. The best part of the automation was receiving reports every 30 minutes, ensuring continuous monitoring. Great job to you and your team!&lt;br/&gt;Binu's exceptional problem-solving skills and technical expertise made our requirement leading to the development of CPM dashboard data extraction tool that streamlined our NTO 4 readiness process, saved us time/oversite issues and also enhanced the accuracy of our PCF (Package Creation Form) attribute checks. Multiple PCF's can now be reviewed simultaneously, enabling efficient verification.Thanks to Binu for developing this solution within an impressively short timeframe.</t>
  </si>
  <si>
    <t>Jaipal Singh Bhandari &amp; Rajaneesh Chaubey - Thank you for your prompt assistance for creating MDU drawing for Noida Repair center.your quick response helped us to meet our deadline.&lt;br/&gt;Thanks Vivek, for prompt response on designing the network for Noida RC ALT chamber.</t>
  </si>
  <si>
    <t>Rochelle R Rajguru &amp; Viral Modi - One day prior to IPL 2025, there was a last-minute request to Pooja for the DD slate. Received quick turnaround and help from her. I appreciate the support given to us during to everchanging dynamics of the Broadcaster. &lt;br/&gt;Thank you, Pooja. During the Champions Trophy, Pooja provided us with swift turnaround on packaged promos, enabling us to take them live promptly. Given the scenarios with broadcasters, Pooja has a thorough understanding of the current realities with partners and consistently extends her timely support smoothly.&lt;br/&gt;I would like to appreciate Pooja for email channel communication. Throughout the year she has mange the creatives on time for multiple email campaigns. Most of our promotions are planned on weekend. Many time we got the approval on Friday late night or Saturday early morning but still she has executed all the campaigns for weekend by going extra mile on weekends. She has collaborated with external partners very well. </t>
  </si>
  <si>
    <t xml:space="preserve"> Binu assisted us in developing a tool that enabled the generation of content IDs from partner applications. This feature greatly contributed to the publication of the Browse By Sports pages. He collaborated with a team member to take on this project and successfully implemented this feature for all major partners. As a result, our team was able to publish content efficiently and on time.</t>
  </si>
  <si>
    <t>Abhishek developed a tool that facilitated the generation of Sports content IDs from partner applications. This feature significantly aided us in publishing the Browse By Sports pages. He took ownership of the project and implemented this feature for all major partners. And delivered it in a short span. It saved a lot of our team effort and time.</t>
  </si>
  <si>
    <t>thank you, Shashi, really appreciate your help and ownership for splitting the subscriber IDs.  These subscribers are from Defense and due to the present situation in Manipur their only source is TV, so they came to us for splitting the old ID as everyone wants their own connection. Your role is commendable as without any issue you help the field team for splitting the IDs and moreover that customers are very happy and many of them go for yearly recharge also.  thank you for the support</t>
  </si>
  <si>
    <t>I would like to appreciate Shashwat for the extra mile he went when I needed in the Recharge 2.0 data. Shaswat was a key member in creating the data model and monitoring the offer display during the A/B testing of Recharge 2.0.Basis the results of the A/B testing, the new journey went live. &lt;br/&gt;I needed to understand &amp; present the performance of the new journey post the 100% rollout. I requested Shaswat for the data and needed it little on priority.  While he was in a full day workshop, he still took the time out post the workshop to send in the necessary details the same day.&lt;br/&gt;What I would appreciate is that he not only shared the excel with the numbers, but also the key analysis for it. He took the time out to even explain even the highs and lows in the data and the analytical trends and reasons for the same. These key analytics or trend  observations are something from UI perspective, I might have missed otherwise, but due to it, it helped me get a holistic view of the performance.</t>
  </si>
  <si>
    <t>Akshat has played a pivotal role in the entire A/B testing feature in TPMA. He has the key task of aligning all the teams – UI, Subscriber Marketing, Analytics and Tech.    I would like to appreciate Akshat for his contribution in building up the feature further. He understood the 20 plus different use cases suggested by UI team and suggested at times how to improvise them further. He also helped in bringing some features earlier than listed like GIF in bottom nav along with the planned bottom nav use cases in the same development timeframe. He is also mindful wrt scalability of the feature and which  gave us the flexibility in trying different creatives and styling.   His patient approach in tackling multiple viewpoints in the larger meetings is also appreciated which helps in reaching a consensus. Thank you for your support.</t>
  </si>
  <si>
    <t xml:space="preserve">Thank you for always going the extra mile. </t>
  </si>
  <si>
    <t>I would like appreciate Geeta for her contribution in Recharge 2.0 project. Her work in building reports and various dashboards has provided business team with clear, accurate, and actionable insights. Right from understanding the business requirement to translating into analytical reports, she has taken ownership and delivered in timely fashion. She ensured that every piece of data is accurately represented, improved ways to visualize and interpret our metrics. This have enabled us to identify trends, monitor performance, and make informed decisions with ease. Beyond her technical expertise, she was always welcoming feedback and enhancing the reports on the go. Their commitment to excellence and continuous improvement is truly commendable. Thank you for your outstanding work. </t>
  </si>
  <si>
    <t>Vinod helped in mentoring our new content resource on the Broadview Software, guiding her along all her steps and helping her gain confidence for working on the software in a very less time. He showed true mentorship and collaboration.</t>
  </si>
  <si>
    <t xml:space="preserve">I would like appreciate Akshat for his contribution in Recharge 2.0 project. His has been instrumental in orchestrating AB testing of Rech 2.0 and analytics are in place from day 1. His has been constantly coordinating and aligning multiple teams - TTN, Analytics, Business, Tech, and IT to get the necessary output. Before Rech 2.0, as business team we used to struggle to get data insights because multiple recharge events were not in place in Mixpanel. Akshat helped us to visualize the complete recharge journey and gave clarity in bringing correct numbers and analytics in Mixpanel. This has significantly enhanced our decision-making process on making Rech 2.0 live in timely manner. Thank you for your outstanding work. </t>
  </si>
  <si>
    <t>I would like appreciate Somesh for his contribution in Recharge 2.0 project. From understanding the business rules to making IT/Tech execute those rules and giving pragmatic solutions for various complex challenges, he has demonstrated meticulous planning and execution skills. During UAT, BETA and go-live phase, he ensured to check every business rule and built a process to re-work on the failed cases which resulted in clarity on where the issue is stuck. In closing phase of UAT, we (business team) gave him list of 37 test cases to check before we moved to beta, he took our test cases list and shared the analysis within 2days. This helped us to do extensive UAT testing and resulted in seamless go-live of this project. Thank you for your outstanding work. </t>
  </si>
  <si>
    <t>I would like appreciate Shashwat for his contribution in Recharge 2.0 project. His data model helped us to identify right target base to show LDP recharge offer. His meticulous planning and insightful analysis have been instrumental in driving LDP offer uptake. He not only ensured the smooth implementation of data model upload in the NBA file but also provided data insights that helped to proactively make necessary changes in the execution. His timely inputs in setting up business rules was pivotal in personalizing every recharge offer as per subscriber’s historical behavior. The sharp shooting of the offers to different segment has improved offer prioritization for every subscriber. Thank you for your outstanding work. </t>
  </si>
  <si>
    <t xml:space="preserve">Thanks Brajesh for helping and sorting IT related things. your quick response and support, helps to achieve task quickly and efficiently </t>
  </si>
  <si>
    <t>Congratulations on the success of the” AI in Procurement Project”. I appreciate your commitment and collaboration in making this project a reality. </t>
  </si>
  <si>
    <t xml:space="preserve">Congratulations on the success of the” AI in Procurement Project”. I appreciate your commitment and collaboration in making this project a reality. </t>
  </si>
  <si>
    <t xml:space="preserve">Inder's business direction was critical in the success of Recharge 2.0 both for subscribers and Tata Play. The journey has turned out to be an easy 1 step recharge journey and has shown increase in Flexi adoption and ARPU. </t>
  </si>
  <si>
    <t>M. Ranjith's exceptional contributions were instrumental in the successful launch of the Recharge 2.0 project. As a key member of the IT team, his pivotal role was truly invaluable. He adeptly managed our partners and the internal IT team, demonstrating accountability and fostering a collaborative environment. Furthermore, M. Ranjith's proactive handling of escalations ensured the smooth progress of the project and the timely resolution of critical issues. His dedication, expertise, and unwavering commitment were vital to achieving this significant milestone for the company. We deeply appreciate his hard work and the positive impact he has made on the Recharge 2.0 initiative.</t>
  </si>
  <si>
    <t>Vasumathy has been a pillar of strength in the UAT team, ensuring every use case is meticulously tested before sign-off. Her keen eye for detail and thorough approach leave no corner case unaddressed. She has played a crucial role in testing all Fiber Binge Bundle use cases from its inception to date. The seamless customer experience in pack activation and handling is a testament to her dedication and expertise. Our Fiber partnership has come a long way, and Vasumathy’s contributions have been instrumental in making it a success!</t>
  </si>
  <si>
    <t>As the JioHotstar uncertainty loomed large over Binge, Himanshu jumped right into it and worked relentlessly to first drop the app across all the touchpoints and campaigns and then bring it back within a span of a week. What ensued was not just the number of creatives that he had to change, but also the overnight work to create a fresh communication roster and assets with content titles from other apps so that Binge marketing wouldn't get subdued. Himanshu tackled this entire project with speed and rigour and unwavering dedication!</t>
  </si>
  <si>
    <t xml:space="preserve">Anirudh has played a pivotal role in expanding Binge via TPMA across multiple touchpoints, driving Binge subscriptions through strategic content-asset mapping. His data-driven approach, backed by multiple experiments, has helped identify the most effective messaging for higher conversions. He also piloted key experiments, including slash pricing, app count variations (4 apps vs. 13 apps for the ₹199 proposition), and proposition led vs multiple content-led A/B tests. These insights enabled Binge team to make informed decisions and scale successful strategies across all channels.&lt;br/&gt;This Spot Award recognises his analytical mindset, initiative, and impact. </t>
  </si>
  <si>
    <t>This is to appreciate for your exceptional support during our ongoing JIRA onboarding process. Your expertise and dedication were instrumental in ensuring a smooth and efficient transition for our team and your continuous supports is much appreciated. &lt;br/&gt;Your proactive approach and willingness to go above and beyond to address our queries and concerns have not gone unnoticed. Your efforts in resolving all the queries related to VPN and JIRA onboarding have been immensely helpful.&lt;br/&gt;Thanks to all your efforts and help in resolving all the queries.</t>
  </si>
  <si>
    <t xml:space="preserve">Sandra has effectively managed advertising inventory with multiple changes coming in over the weekend and demonstrated exceptional organizational skills and ability to prioritise and optimise inventory to maximise revenue. Showcasing a keen understanding of the business requirements and helping us in driving business results. </t>
  </si>
  <si>
    <t>Pawan,&lt;br/&gt;&lt;br/&gt;You have maintained critical wo under control last month and some days with Zero.&lt;br/&gt;Good show, keep maintain it!!!</t>
  </si>
  <si>
    <t>Niraj,&lt;br/&gt;&lt;br/&gt;You have done fantastic delivery yesterday by making Zero No Visit In Home call Survey for the Circle.&lt;br/&gt;Keep maintain it!!!</t>
  </si>
  <si>
    <t>I want to extend my heartfelt thanks to Komal for her extraordinary contributions to the successful launch of Project Recharge 2.0. As a key member of the business retention team, Komal's intensive support in testing and providing insightful feedback was absolutely pivotal. Her openness to adapting business rules and her proactive approach to enhancing user experience were invaluable. Komal's unwavering availability and her willingness to go above and beyond ensured we met our tight deadlines. She truly served as the primary point of contact and go-to person from the business side, and her dedication and commitment were instrumental in making this project a resounding success. Deeply grateful for her hard work and collaborative spirit</t>
  </si>
  <si>
    <t>I want to express my deepest gratitude to Saumya for her pivotal role in the successful launch of Project Recharge 2.0. This project demanded meticulous attention to detail and numerous design iterations, encompassing a wide range of complex scenarios. Saumya's ability to effectively manage and incorporate feedback, while consistently delivering timely revisions, was absolutely critical to our success. Her dedication to ensuring the design met all requirements and her exceptional responsiveness were invaluable. Saumya's commitment to excellence and her proactive approach were instrumental in bringing this project to fruition, and her contributions are greatly appreciated by the entire team.</t>
  </si>
  <si>
    <t>I want to extend my sincere appreciation to Zain for his exceptional dedication and unwavering commitment in bringing Project Recharge 2.0 to a successful live launch. This project, with its intricate IT dependencies and rigorous testing phases, presented numerous challenges. Zain's proactive approach, persistent follow-ups with the IT team, and meticulous management of multiple testing iterations were absolutely crucial. He ensured a smooth and hassle-free go-live, demonstrating remarkable problem-solving skills and a steadfast focus on achieving our project goals. Zain's contributions were truly instrumental, and his efforts are highly valued by the entire team.</t>
  </si>
  <si>
    <t>Shameer did an exceptionally good job in Binge Mobile by acuiring 11 Annual BMP customer in March despite of all his market challenges.&lt;br/&gt;Thanks for the Hard work and your achievement has been an inspiration to others. Your dedication and your focus on results are a positive example for the entire team.&lt;br/&gt;</t>
  </si>
  <si>
    <t>Q1-FY26</t>
  </si>
  <si>
    <t>Rohit Kumar Gupta</t>
  </si>
  <si>
    <t>Anoop Raj</t>
  </si>
  <si>
    <t>Himavat Chaudhuri</t>
  </si>
  <si>
    <t>Abhinav ensured that the remuneration cycle planning was carried out meticulously and was executed end to end as per the plan &amp; timelines. He ably guided his team in optimizing the process while ensuring outcome linkages ensuring a quick turnaround during the cycle with manual interventions outside the process. Additionally, he &amp; team partnered with the payroll team &amp; IT team to ensure timely payouts despite a crunched timeline of only 7 days. &lt;br/&gt;Kudos to Abhinav for ensuring a seamless remuneration exercise for 2024-2025.</t>
  </si>
  <si>
    <t>&lt;br/&gt;Automating Document Attachments: Implemented automation to attach supporting documents for employee claims from Q2T to SAP, enhancing compliance with internal policies and audit requirements &lt;br/&gt;Streamlining Corporate Airfare: Successfully enabled personal ticket booking for employees under corporate airfare, allowing them to benefit from streamlined processes.&lt;br/&gt;Cost Savings: Migrated all invoice processing to a Zycus portal and surrendered RPA BOT, resulting in cost savings.&lt;br/&gt;Employee Engagement: Conducted employee surveys on the reimbursement portal to identify areas for improvement and implemented changes to strengthen the process.&lt;br/&gt;Shared Services management : Successfully conducted reward and recognition (R&amp;R) initiatives to encourage and motivate our service partners team members , boosting morale and productivity.&lt;br/&gt; &lt;br/&gt;These initiatives have not only improved process efficiency but also enhanced employee experience, compliance, and cost-effectiveness. We believe our team's dedication an</t>
  </si>
  <si>
    <t>Anirudh Das has demonstrated remarkable ownership and strategic execution in driving Binge subscriptions through TPMA and Tata Play Fiber—two of our key acquisition channels.&lt;br/&gt; Anirudh took charge and worked collaboratively with the TPMA linear and Communications teams to plan and execute a multi-touchpoint campaign within TPMA. His efforts led to a significant uplift in subscriptions—closing FY numbers at ~80K, nearly a 10X growth over the previous year. &lt;br/&gt;In parallel, Anirudh partnered closely with the Tata Play Fiber team to enhance the D7 app selection journey. By creatively refreshing campaign content and introducing new customer touchpoints, including within the Fiber app itself, he helped boost app selection rates from 33% to 67%, directly impacting Binge conversion potential. &lt;br/&gt;Looking ahead, Anirudh is set to expand his impact by unlocking new subscription opportunities through Binge+ and Field Service channels, further strengthening our acquisition engine.&lt;br/&gt;</t>
  </si>
  <si>
    <t>Jignesh has performed well. He has achieved excellent productivity. He demonstrated Grow Partnership, Put Customer First &amp; Deliver Results competencies. He has carried out highest number of MDU Audits across the whole team. He worked extra hours &amp; on weekends to reduce pendency of MDU Capex Audits so that vendor can be paid timely.</t>
  </si>
  <si>
    <t>Anitha led the Sony depackaging activity exceptionally well.  This activity required multiple stakeholder management ensuring all teams are aligned with the activities and deriving the depackaging plan.  The entire depackaging plan was executed in 9 days across 200+ packs with 8 million subs. Very meticulously planned and proactive collaboration made a significant impact in managing the project and meeting business timelines.</t>
  </si>
  <si>
    <t>He put a lot of effort for preparing the SCTE transport streams for a new project centered around the Binge+ set-top box, paying close attention to every detail as per the requirement. This task required him to effectively coordinate with multiple teams, allowing him to implement essential system modifications seamlessly at both the Playout and Compression Headends. Furthermore, he conducted thorough analyses of the generated transport streams, carefully checking each component to ensure they met the vendor's specific requirements before final delivery. His dedication and expertise were evident throughout the entire process.</t>
  </si>
  <si>
    <t>Long due task of managing the inhouse STB inventory through online portal has been successfully completed by Parikshit. Thousands of STBs were scanned and updated across all distribution levels withing TG user departments and across vendors. Online portal with the help of IT team was developed for real time monitoring.</t>
  </si>
  <si>
    <t>Excellent work done on Repair Center Spare Management to optimize and limit the spare procurement to min levels and increasing utilization to highest level. This resulted in big cost saving and continues.</t>
  </si>
  <si>
    <t>Abhilash is being nominated for Job well done award for his exceptional contribution towards identification of package related issues and proactive resolution to the impacted subscribers.   This has resulted in lesser escalations and disputes from subscribers.&lt;br/&gt;During NTO migration, Dance studio service was suspended however the charges were getting debited from the subscriber's account. Abhilash proactively identified the impacted base (43455 accounts) and reversed the charges in the subscriber's account.&lt;br/&gt;On 26th June, there was an issue related to Package configuration grid resulted in LDP pack addition failures.  Abhilash took complete ownership in identifying the impacted base and added the requested LDP pack along with appropriate credits in the system.&lt;br/&gt;He also contributed towards UAT process testing of package related products so that there is no impact on the product roll out&lt;br/&gt;&lt;br/&gt; His contribution towards improving customer experience is commendable and appreciated by stake holders.</t>
  </si>
  <si>
    <t xml:space="preserve">Dharmendra was very instrumental while Retaining Big Bulks at Ahmedabad.Being a Trade ASM Dharmendra doing well in his Trade KPIs but beyond his KPIs Dharmendra taking ownership of Retaining Big Bulk Like KD Hospitals -140nos and Regenta Ahmedabad-110 nos as both these Accounts got the lower quotes from Competition but he met the customer Multiple times and built a Strong Relationship with them and gave them confidence of Superior Services.Finally he able to retain both these Accounts without matching competition lower rates.&lt;br/&gt;This Ensure not only intact our net addition but also shows that without lower down costing we can WIN the Accounts by our Sales skills.&lt;br/&gt;Finally, he not only retain 250 nos  but also Ensure Annual Recharge to these customers to ensure longevity of these Bulk Accounts. </t>
  </si>
  <si>
    <t>&lt;br/&gt;Grow Partnership – Aryan has successfully established strong and consistent relationships in the market, which have played a key role in helping him achieve his monthly targets. He demonstrates a clear vision for long-term business growth .&lt;br/&gt;Chase Results – In Q1, Aryan achieved 107% of his ACT target, along with 20% growth over Q4, which highlights his strong execution and focus on results.&lt;br/&gt;Set Long-Term Goals – His consistent performance and approach reflect his commitment to long-term objectives. I have seen his enthusiasm and dedication, especially in expanding and exploring new territories.&lt;br/&gt;I recommend him for this recognition.</t>
  </si>
  <si>
    <t>Anwar handled STB project management of Irdeto software upgrade of 3 additional EPG languages (Kannada, Bengali &amp; Malayalam) and improve on STB software performance through maintenance reboot and other enhancements. The software is on aired in April’25, achieves important milestone for Tata Play. All 3 languages are now available for customer. He has coordinated very well internal and external stake holders for software deliveries, Head End, testing, bug prioritization &amp; software upgrade.  Good Job, Anwar, keep it up!</t>
  </si>
  <si>
    <t>Champa has been instrumental in driving the performance of Binge specialized desk along with rolling out the Agent chat feature on Binge BOT. She has coordinated with cross functional teams and ensured timely delivery of projects. Below are the key points performed by her.&lt;br/&gt;&lt;br/&gt;End to end project management of Agent chat on Binge BOT – Golive is planned on 3rd Jul’25&lt;br/&gt;Single point of contact for overall project from BE end&lt;br/&gt;Creation of SOW&lt;br/&gt;Coordination with Ops &amp; planning&lt;br/&gt;Training content creation with the help of L&amp;D&lt;br/&gt;System level readiness – Call logs, Access&lt;br/&gt;Listing down Ops requirements and converting it in technical ask with the help of Nishant/IT&lt;br/&gt;Binge- Comviva desk TAT improvement – TAT% has improved from 39% Dec’24 to 73% in June’25&lt;br/&gt;Pilot to change the re-attempt call count &amp; implementing the revised unreachable process&lt;br/&gt;Daily monitoring of pending cases with TTN and Ops&lt;br/&gt;Weekly calibration connects with Ops and TTN to find the actionable&lt;br/&gt;Analysis of user education issue and improvement</t>
  </si>
  <si>
    <t xml:space="preserve">I would like to nominate Rohit for his exemplary performance and dedication. He successfully handled the bulk connection for one of the most prime properties in Ranchi – Ramada – single-handedly, overcoming numerous challenges and stiff competition.&lt;br/&gt;Rohit's initiative, perseverance, and ability to deliver under pressure reflect true professionalism and commitment. His work not only showcases his individual capability but also significantly contributes to the team's reputation and success.. This achievement deserves special recognition </t>
  </si>
  <si>
    <t xml:space="preserve">Srinidhi has done billing automation for Inbound billing and NVSD Billing using Knime, SQL and Power BI.&lt;br/&gt;He also also created an invoice dashboard  in Power BI which helps to different users to update as well as see the status of the invoices which they have entered. This helps to track the various stages of P2P. </t>
  </si>
  <si>
    <t>I happy to recognize Sapthagiri with the Job Well Done Award for his outstanding contributions to Gen AI Report Automation. His innovative approach and technical expertise has brought a transformative edge to how we generate, manage, and deliver reporting insights.&lt;br/&gt;With the launch of GenAI, Sapthagiri has developed an automation framework that significantly reduce manual intervention, increase in reporting accuracy, and improve overall efficiency. These solutions have not only streamlined processes but also created new standards for agility and intelligence in our data workflows.&lt;br/&gt;Sapthagiri's dedication, problem-solving mindset, and relentless pursuit of excellence have made a measurable impact—empowering teams, saving time, and adding tremendous value to the business.&lt;br/&gt;Good Job Done Sapthagiri, fabulous work done and Keep the Good work going.</t>
  </si>
  <si>
    <t xml:space="preserve">Gopal has taken ownership of the business and has delivered well in input parameters like Stocking dealers, New Dealer appointment and UPP adaption in his territory on consistent basis. This is not done in a month alone, but this is a result of continual inputs like new dealer appointment and KRO engagement over a period of time which has given him the growth in Stocking dealers base, UPP penetration and better thruput from the marketplace. Gopal has done well in driving the UPP visibility and awareness drive amongst dealers thru one pager across his territory. Well done Gopal and keep up the good job in coming months too. </t>
  </si>
  <si>
    <t>Ganesh owns multiple initiatives across DTH and TPMA, some of the key projects are - building forecasting model for ARPU, pack level recommendation model for Services, various initiatives on TPMA - AB test, Search personalization, personalized recommendation. Ganesh was agile enough to take the transition over for TPMA projects and start delivering. He is a great team player, very disciplined and collaborates well with the stakeholders. Ganesh is always up for taking up new responsibilities like driving Gen AI use cases, learning/training sessions for the team. I wish Ganesh the very best!</t>
  </si>
  <si>
    <t xml:space="preserve">Akshaya has fueled Binge's growth through relentless data-driven digital marketing. His rigorous execution and constant optimization drove a 27% average monthly growth in Gross Adds from Organic and Performance Marketing during AMJ’25.&lt;br/&gt;Key contributions:&lt;br/&gt;Granular Campaign Management: Breaking down campaigns by keyword, geo, and content.&lt;br/&gt;Ad Copy Optimization: Increased brand search campaign CTR from ~30% to 51%.&lt;br/&gt;Budget &amp; Bidding Discipline: Maintained a CPS of </t>
  </si>
  <si>
    <t xml:space="preserve">Sahil has been instrumental in delivering results for Tata play services gross adds with contribution of more than 50% from customer operations. He works very closely with the team to ensure the output and compliance is intact. Over the last quarter there has been consistent growth of moving conversions from a 14.5% to 15.5% giving an overall lift of 20K for the quarter. His quick decisions in changing tactical strategies drive results and partners this well with commercial and external teams. Keep up the good work and keep performing. Good Job. </t>
  </si>
  <si>
    <t>Aparna worked on project Aqua from the Contracts Team end.  She was able to Deliver Results from her end by Collaborating with other stakeholders within the legal department and across other departments thereby Growing Partnerships to close out key deliverables to meet stringent timelines set by Tata Group.  Aparna's ownership of tasks on hand was a great benefit to everyone in the team.</t>
  </si>
  <si>
    <t>Manas Khopade</t>
  </si>
  <si>
    <t>Pradhyum Chaudhary</t>
  </si>
  <si>
    <t>Sanjay Dubey</t>
  </si>
  <si>
    <t>Manas has made an impressive mark within a short span of joining the team. He has been instrumental in driving Binge subscriptions through multiple key channels such as the call centre, CH100, and OSD.He took ownership of campaign planning and execution, significantly contributing to the recovery of ~1000 missed call leads per day. He also played a key role in improving IB conversion through NBA by identifying and addressing a gap in the WhatsApp stitch flow for insufficient balance cases. Furthermore, he partnered with IT to enable weekly updates to the agent pitch, which helped push conversion rates past 1%. During the critical transition period of JioHotstar’s removal and re-addition to Binge, Manas went above and beyond to support the customer ops team by creating clear, comprehensive FAQs to ensure they were fully equipped to handle customer queries effectively. He has also worked closely on Binge on Msales project with Sales team</t>
  </si>
  <si>
    <t>For outstanding contributions that set a high benchmark right from the start—spearheading initiatives such as Google Search A/B Testing, crafting the Weekly Content Digest, Subscription Funnel Analysis, Free Trial Experimentation, and key insights in Acquisition Analytics. Pradhyum brings meticulous attention to detail, communicates with poise and clarity, and manages stakeholder expectations with finesse. Always receptive to new ideas and driven by what’s best for the business, Pradhyum exemplifies the spirit of proactive innovation and collaborative excellence. We’re proud to recognize a debut marked by both impact and promise.</t>
  </si>
  <si>
    <t>Sanjay joined the data science team and within a short span has taken up multiple responsibilities across initiating Gen AI capabilities within the team, building Binge personas, developing VOC text analytics for Communications team. Sanjay is a good collaborator, team player and takes feedback very positively. I wish Sanjay the very best to help drive some key initiatives for the organization!&lt;br/&gt;&lt;br/&gt;#Innovator</t>
  </si>
  <si>
    <t>Tata Play Special &amp; NPD team envisioned 12 days rath yatra special pop-up, mobilized partner to create exclusive content mix of not just Live coverage from Puri but also stories around various facets of Rath Yatra, interactions with locals and priests and more. With innovative event-based pricing of Rs.11 for the first day and thereafter regular charges of Rs.2/day, communicated in brilliant creatives with simplified pricing to drive a 360 degree GTM across multiple channels. Leveraged the scale of Rath Yatra, by inviting viewers to follow the Yatra LIVE, 24x7. Once launched, piqued their interest with thematic comms highlighting key moments, temple mysteries, devotee bytes and much more a) Simplified and clear comms informing about the new event pricing to the price-sensitive subscriber b) as a first-time experiment, we played the Rath Yatra arti live on CH100 to increase engagement, backed by an always-on L Band CTA to drive subscriptions.</t>
  </si>
  <si>
    <t xml:space="preserve">I am delighted to present the Intra Function Award to the outstanding team (Lenin, Akash, Surya, Prasath and Esther) behind the Automation of Outbound Reports in the Tableau Digital Dashboard (13 Digital Dashboard Launches). Your collaborative efforts, technical ingenuity, and unwavering commitment have redefined how we drive data visibility and efficiency. Through your automation initiative, what was once a time-intensive reporting process has now become a streamlined, intelligent workflow—empowering stakeholders with trend insights, enhanced accuracy, and significantly improved turnaround times. The results are smarter decisions, faster actions, and a dashboard that speaks the language of innovation. Your achievement stands as a brilliant example of Intra-functional teamwork, problem-solving excellence, and a shared drive to push boundaries. Congratulations to each one of you for setting high standards and wishing you All the best for future endeavors in report Automation. </t>
  </si>
  <si>
    <t>Tata Play participated as part of the Tata Pavilion at the recently concluded WAVES summit (World Audio Visual &amp; Entertainment Summit) in Mumbai. The Tata Pavilion showcased tech capabilities &amp; solutions that power content, made in India focus and customer centricity in Media &amp; Entertainment from Tata Group companies and got the opportunity to demo these to the Tata Group Chairman, TRAI chairman, Global head of You Tube Music amongst thousands of other visitors. This nomination is to recognize the team who conceptualized and turned around the entire event planning and execution which involved UI and solution creation from scratch, creative development for the demos as well as intense planning and testing to ensure it all went smoothly.</t>
  </si>
  <si>
    <t>Shantanu Koushik Boruah</t>
  </si>
  <si>
    <t>Rajiv Singh</t>
  </si>
  <si>
    <t>Jagadish Padhi</t>
  </si>
  <si>
    <t>Abhishek Das</t>
  </si>
  <si>
    <t>Kudos to Nupur for nailing the UI for our regional subscription plan cards! The design is thoughtful and makes the card totally click worthy. Love the energy and collaboration team brings for each product we work on.</t>
  </si>
  <si>
    <t>T. Shanmugamanivel - Jithender, your participation and contribution during today’s session were truly commendable. We appreciate your engagement and encourage you to continue contributing actively. Let’s keep up the momentum and work together to drive even better performance. Wishing you all the best!</t>
  </si>
  <si>
    <t>T. Shanmugamanivel - Tanisha, your participation and contribution during today’s session were truly commendable. We appreciate your engagement and encourage you to continue contributing actively. Let’s keep up the momentum and work together to drive even better performance. Wishing you all the best!</t>
  </si>
  <si>
    <t>T. Shanmugamanivel - Dileep, your participation and contribution during today’s session were truly commendable. We appreciate your engagement and encourage you to continue contributing actively. Let’s keep up the momentum and work together to drive even better performance. Wishing you all the best!</t>
  </si>
  <si>
    <t>T. Shanmugamanivel - I want to extend my sincere appreciation for the exceptional presentation you delivered on the project topic. Your insights were not only well-researched and clearly articulated, but also demonstrated a deep understanding of the subject matter.The effort you put into crafting such a thoughtful and impactful presentation truly stood out. It was both informative and inspiring, and it added great value to our discussions.Thank you for your dedication and excellence. Looking forward to more such contributions!</t>
  </si>
  <si>
    <t>T. Shanmugamanivel - Thank you for contributing to such a well-executed and impactful project presentation. Your effort, clarity, and attention to detail truly made a difference.I sincerely appreciate the dedication and hard work you put into making it insightful and engaging. Well done!</t>
  </si>
  <si>
    <t>Rohit Mishra - Abhigyan spearheaded a series of strategic initiatives that significantly enhanced both lead quality and conversion rates. Through focused efforts:- Improved Conversion Rates: Increased overall lead conversion from 2.3% to 2.8% by optimizing push channel strategies across Meta and Google.- Enhanced Lead Quality: Prioritized high-intent lead generation, ensuring better qualification through performance-driven push campaigns.- Regional Language Innovation: Identified language as a key barrier in Andhra Pradesh and Telangana, and implemented a regional campaign with Telugu-speaking agents. This yielded a higher conversion rate (3.1%) compared to standard campaigns (2.8%), validating the hypothesis and demonstrating the power of hyperlocal personalization.Abhigyan’s data-backed, user-centric approach directly contributed to both business growth and user satisfaction, making a strong case for this recognition.</t>
  </si>
  <si>
    <t>Sharath Nair - Congratulations on receiving the Zee Kyoorius Baby Blue Elephant Award award for the creative Reel Shik Shak Shok (garnering 15M views, 97K likes, 256K likes) Also, great work done as April 2025 recorded highest ever shares (north-star metric) on IG - 400K, Highest ever views (north-star metric) on YT - 4.7M (higher than all of FY25 combined), views sustained over May 2025 - 1.4M (higher than any quarter of FY25); highlighting strong growth over Q1 2025</t>
  </si>
  <si>
    <t>Akshat Singh - Yogapriya has been pivotal in the planning and delivery of the Recharge Campaign Page requirement for TPMA. Her well-structured approach, attention to detail, and clarity of the requirement objective have helped us in facilitating the discussions with all stakeholders smoothly. She has been instrumental in assisting us with the required clarity of various scenarios during the testing phase, helping us curate the critical tracking plan, and with her unwavering focus towards the end-to-end execution of the project. Her sincere efforts are deeply valued and they reflect her strategic planning, collaborative planning, and adaptability skills.</t>
  </si>
  <si>
    <t>T. Shanmugamanivel - I appreciate your efforts in winning over the customer from Amazon prime. The opportunities are significant. Keep up the great work and continue to grow!</t>
  </si>
  <si>
    <t>T. Shanmugamanivel - Appreciate your effort and ownership in resolving the customer request through a direct visit. Keep up the customer-first approach—it's this dedication that will propel you to the next phase of growth. All the best</t>
  </si>
  <si>
    <t xml:space="preserve">Geetesh Fulari - Effective Training session of HMS portal which help us understand train other team member </t>
  </si>
  <si>
    <t>Ajay Pathak - Big shoutout to Sharath for being an absolute pillar in driving our content operations! From on-time onboarding to publishing of trailers, managing content featuring with precision, Sharath brings structure, reliability, and speed to our workflows. His excellent collaboration across teams has made execution seamless and efficient.</t>
  </si>
  <si>
    <t>Abhinav Aggarwal - Krishangi has been very proactive in driving Fancode Sports communication since launch.&lt;br/&gt;From quickly grasping the nuances of communication for each Formula 1 race to consistently analysing performance and optimising for growth, her contribution has been instrumental.&lt;br/&gt;Fancode Sports has now emerged as a strong pull product, with holdings crossing 25K - a milestone to which Krishangi’s silent efforts have significantly contributed. </t>
  </si>
  <si>
    <t>Thank you, Vishal, for your support for maintenance of Rain Gauge Setup on higher priority. Rain Gauge Setup is very crucial in monsoon season for observing rain outage across our competitors. You have demonstrated collaboration &amp; ownership. Your willingness to help &amp; support is highly appreciable. </t>
  </si>
  <si>
    <t xml:space="preserve">Shantanu Koushik Boruah is consistently doing his Disha visits in market. For last 2 months, he was doing average of 23 total dealer visits per day for 20 days in a month. </t>
  </si>
  <si>
    <t>Rajiv Singh had appointed 105 New Dealers in last 3 months, that is an average of 35 per month. Most of the dealers are in deep rural towns. He had identified the pockets where there is a score for a new dealer and accordingly appointed them. All these dealers were billed with TSK and EVD, many of them have started giving activation and regularly taking recharge.</t>
  </si>
  <si>
    <t xml:space="preserve">Our work on OSDs has increased many fold as we have taken a growth target for Missed Calls this year. Mohan has been very proactive &amp; always helpful in his support for scheduling OSDs. 
He does it with ownership &amp; always is ready to go the extra mile to execute the experiments we are running to understand subscriber behaviour better. 
Due to multiple feedbacks &amp; partner asset constraints we at times end giving assets much beyond the agreed timeline but Mohan still tries his very best always to schedule everything.
Thank you Mohan &amp; we hope to continue doing great work with you! </t>
  </si>
  <si>
    <t xml:space="preserve">Well done Sumit on driving UPI autoload penetration in your territory.You have achieved 77% penetration on UPI autoload in June -320 out of the total 417 EVD dlrs have transacted on UPI autoload in Jun that's amongst the best performances in the region. Well done once again !!   </t>
  </si>
  <si>
    <t xml:space="preserve">Well done Jagadish on achieving 83% penetration on UPI autoload in your territory in Jun'25.This is a reflection of the ownership you have demonstrated in driving the UPI autoload initiative in your territory with a total EVD dealer base of 542 dlrs and UPI autoload dlrs base of 452 in June.&lt;br/&gt;Well done once again !! </t>
  </si>
  <si>
    <t>Well done Sanjeev on increasing UPI autoload penetration in WB1 circle from 26% in April (% in Jun.This will go a long way in delivering improved convenience to rural dealers and help us win back the lost network over time.It is good to see WB1 circle adding an incremental 483 new UPI autoload dealers in Jun'25 over May'25.Keep up the good work &amp; lets target to get to 70% by Aug end!!</t>
  </si>
  <si>
    <t xml:space="preserve">Ritika redesigned the Waves MYOP journey within 2 days to make it user friendly for the touch screen kiosk TV. From designing the workflow to working closely with our IT and HFI teams, she was hands-on through every step ensuring every detail was thoroughly tested. Her commitment, collaboration and eye for detail truly made a difference and helped us go live on time.  </t>
  </si>
  <si>
    <t>I am pleased to nominate Srinidhi D C for the Spot of the month, in acknowledgment of his exceptional initiative and impactful contribution to automating the NVSD billing process. &lt;br/&gt;Through innovative problem-solving and deep technical expertise, Srinidhi has supported in transforming previously manual and time-intensive billing workflow into a streamlined automated system. This automation not only improved accuracy and reduced processing time but also enhanced operational efficiency and compliance standards delivering measurable value to the business.&lt;br/&gt;Srinidhi demonstrated remarkable ownership, persistence, and technical insight throughout this initiative. His work stands as evidence to our team's commitment to continuous improvement and operational excellence.</t>
  </si>
  <si>
    <t xml:space="preserve">Karan has been instrumental in driving and delivering the creatives for Binge Digital. There have been multiple changes, needing frequent creative changes for performance marketing campaigns such as JioHotstar &amp; SonyLiv deboarding, Sports &amp; Regional Packs, Proposition changes for 199 pack etc. He takes complete ownership and ensures to collaborate with the relevant internal &amp; agency teams, to get the required approvals &amp; deliver the creatives on time, sometimes with tight timelines &amp; multiple iterations. His efforts have helped in driving growth on Binge through digital channels.&lt;br/&gt;&lt;br/&gt;Keep up the good Work, Karan ! </t>
  </si>
  <si>
    <t>Velu C - appreciate your exceptional support in managing the exceptions related to Dhamaka and box price changes. Your careful handling of these intricate scenarios, particularly where credits needed to be extended without affecting activations, has been truly remarkable.Your dedication and meticulous attention to detail have ensured smooth operations and have greatly contributed to our team's success. Your ability to navigate these challenges with such precision and efficiency is highly commendable.Thank you for your unwavering commitment and for going above and beyond to ensure everything runs seamlessly.</t>
  </si>
  <si>
    <t>Velu C - Appreciate your unwavering dedication and exceptional support during the recent Dhamaka 3k-3.6k testing and the implementation of the box price changes.Your willingness to extend your support on weekends and holidays, as well as your commitment to working late into the evening are really commendable. Your efforts have been instrumental in ensuring the successful execution of these critical tasks, including the significant price increase of Rs. 700.Your professionalism, hard work, and dedication are truly commendable. You have set a high standard for excellence, and your contributions have made a significant impact on our team's success.Thank you once again for your outstanding efforts and for going above and beyond to support our goals. Your dedication is greatly appreciated, and I look forward to continuing to work with you.</t>
  </si>
  <si>
    <t>Barun Ghosh - We appreciate for you good support always...keep it up</t>
  </si>
  <si>
    <t>Satpute Dhuludev - THanks for your kind support customer has done 6 month Recharge but he was facing suscription issue and was pending from 2 days but after reaching to nithyanand,He given quick resolution and cleared mismatch.</t>
  </si>
  <si>
    <t>Satish T.- Dear Bhavya, Situation:Dhamaka Balance Lock CR from Msales Source UAT Testing had dependency on Customer operations team &amp; this was a showstopper on 27-Nov-24 &amp; was planned for golive on 28-Nov-24 Task: Account Creation, Tsk Registration, Package Addition, Work Order Creation, Activation for Commercial &amp; Corporate AccountsTsk Refund to be initiated for both Pending / Activation for both +ve &amp; -ve ScenarioAll of the Above Scenario’s were to be tested for both in UAT/Beta environmentActionable: Bhavya demonstrated Put Customer First/Teams up/Chase Result &amp; Calibration competency. Inspite of regular BAU she understood the business urgency &amp; crucial timelines of golive by taking necessary consent from her team. She exceled &amp; helped the team by Creating multiple commercial &amp; Corporate accounts. Result :Her Support &amp; Dedication helped not only on the timely closure of testing but also helped in meeting up the golive dates with Defect Free Deployment.</t>
  </si>
  <si>
    <t>Month- Year</t>
  </si>
  <si>
    <t>Assistant Manager – UI &amp; UX</t>
  </si>
  <si>
    <t>Manager - New Product Development</t>
  </si>
  <si>
    <t>Senior Manager - Programming</t>
  </si>
  <si>
    <t>General Manager - IT Operations</t>
  </si>
  <si>
    <t>Senior Manager - IT Operations</t>
  </si>
  <si>
    <t>Assistant Manager - IT Delivery</t>
  </si>
  <si>
    <t>Senior Manager - Human Resources</t>
  </si>
  <si>
    <t>Assistant General Manager - Subscriber Communications</t>
  </si>
  <si>
    <t>Manager – Mobile and Web Development</t>
  </si>
  <si>
    <t>General Manager - Subscriber Marketing</t>
  </si>
  <si>
    <t>Manager - MIS &amp; Business Information</t>
  </si>
  <si>
    <t>Ashvin Ojha</t>
  </si>
  <si>
    <t>Jayesh Joshi</t>
  </si>
  <si>
    <t>Pankaj Kumar</t>
  </si>
  <si>
    <t>Richesh Bohare</t>
  </si>
  <si>
    <t>S Suresh Babu</t>
  </si>
  <si>
    <t>Rahul Prasad</t>
  </si>
  <si>
    <t>Bhoopendra  Parasar</t>
  </si>
  <si>
    <t>Thanx for helping me out in my activites</t>
  </si>
  <si>
    <t>Thankyou Vikash, for support during the tough times.</t>
  </si>
  <si>
    <t>Thankyou Ashvin, for support during the hard times.</t>
  </si>
  <si>
    <t xml:space="preserve">Thankyou for guidance and support </t>
  </si>
  <si>
    <t>Thanks for the quick support/Turn around on sharing SR first response report...  This will help us take appropriate decision on changing the SR TAT and SL's in Siebel to improve overall experience&lt;br/&gt;</t>
  </si>
  <si>
    <t>I am writing to express my sincere appreciation for the exceptional work you have done in sorting the critical data packwise and managing CAID holdings and counts. Your expertise and dedication in writing the script to address this complex query have been incredibly helpful.&lt;br/&gt;The task was indeed tricky, and your ability to navigate through the challenges and deliver a solution in the required format is commendable. Your efforts have not only streamlined the process but also ensured accuracy and efficiency, which is vital for our operations.&lt;br/&gt;</t>
  </si>
  <si>
    <t>In the Absence of ASM ,  Saubhagya being trainer  did take extra responsibility of handling teritory and support very important Market Bhubaneswar, Cuttack &amp; Puri &amp; maintsain   good performance delivery. Good job done continue the good effort .&lt;br/&gt;&lt;br/&gt;Thank You!!!</t>
  </si>
  <si>
    <t>Hi Thanu, I would like to thank you for the RR process which you have started to follow as Expected. The one RR for the new Pack Modification which was enabled with Upsell Field, gave us the actual details what has to be implemented in the report. while we were confused from when we need to consider the new value, this RR helped. Thanks again and keep sharing the similar kind off RRs going forward. Thanks again.</t>
  </si>
  <si>
    <t>help  to identify genuine TSRA in upcountry market</t>
  </si>
  <si>
    <t>Thank you for clearance on GST related issue.</t>
  </si>
  <si>
    <t xml:space="preserve">He is very Sincear and kind person and also, he is very dedicated to his work. </t>
  </si>
  <si>
    <t>I am thrilled to tell you that we have a member in our team who always tries his best to make even the impossible possible.&lt;br/&gt;&lt;br/&gt;Yesterday, 33 connections with a 3K offer were to be installed in a service apartment in Le Papillon India but the society members objected to the installation of the dish and asked the corporate client to take local cable or Airtel.&lt;br/&gt;&lt;br/&gt;When the customer and the service team told me that society has refused to do the work&lt;br/&gt;&lt;br/&gt;While I was not in my base location, I called Balwant and told him that the society had refused to install the Tata Play dish. Then Balwant told me don't worry, we will go and talk to the society and will ensure that Tata Play connections are installed.&lt;br/&gt;&lt;br/&gt;In the evening, I got a call asking me to submit a work order and the installation work will be done. So, I give full credit to Balwant Singh Bora for bringing this account to Tata Play and hope that you will continue to provide your support like this in the future as well.</t>
  </si>
  <si>
    <t>Q2-FY26</t>
  </si>
  <si>
    <t>Q3-FY26</t>
  </si>
  <si>
    <t>Q4-FY26</t>
  </si>
  <si>
    <t>FY</t>
  </si>
  <si>
    <t>FY24-25</t>
  </si>
  <si>
    <t>FY25-26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</si>
</sst>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9"/>
      <color theme="1"/>
      <name val="Aptos Narrow"/>
      <family val="2"/>
      <scheme val="minor"/>
    </font>
    <font>
      <sz val="9"/>
      <color theme="1"/>
      <name val="Aptos Narrow"/>
      <family val="2"/>
      <scheme val="minor"/>
    </font>
    <font>
      <sz val="8"/>
      <name val="Aptos Narrow"/>
      <family val="2"/>
      <scheme val="minor"/>
    </font>
    <font>
      <sz val="9"/>
      <color rgb="FF000000"/>
      <name val="Calibri"/>
      <family val="2"/>
    </font>
    <font>
      <b/>
      <sz val="9"/>
      <color rgb="FFFFFFFF"/>
      <name val="Aptos Narrow"/>
      <family val="2"/>
    </font>
    <font>
      <b/>
      <sz val="9"/>
      <color rgb="FF000000"/>
      <name val="Aptos Narrow"/>
      <family val="2"/>
    </font>
    <font>
      <sz val="9"/>
      <color rgb="FF000000"/>
      <name val="Aptos Narrow"/>
      <family val="2"/>
    </font>
    <font>
      <b/>
      <i/>
      <sz val="9"/>
      <color rgb="FF70AD47"/>
      <name val="Aptos Narrow"/>
      <family val="2"/>
    </font>
    <font>
      <b/>
      <i/>
      <sz val="9"/>
      <color rgb="FF000000"/>
      <name val="Aptos Narrow"/>
      <family val="2"/>
    </font>
    <font>
      <sz val="9"/>
      <color theme="1"/>
      <name val="Aptos"/>
      <family val="2"/>
    </font>
    <font>
      <b/>
      <i/>
      <sz val="9"/>
      <color theme="1"/>
      <name val="Aptos"/>
      <family val="2"/>
    </font>
    <font>
      <b/>
      <sz val="9"/>
      <color theme="1"/>
      <name val="Aptos Display"/>
      <family val="2"/>
      <scheme val="major"/>
    </font>
    <font>
      <sz val="9"/>
      <color theme="1"/>
      <name val="Aptos Display"/>
      <family val="2"/>
      <scheme val="major"/>
    </font>
    <font>
      <b/>
      <sz val="11"/>
      <color theme="0"/>
      <name val="Aptos Narrow"/>
      <family val="2"/>
      <scheme val="minor"/>
    </font>
    <font>
      <b/>
      <sz val="9"/>
      <color theme="0"/>
      <name val="Aptos Narrow"/>
      <family val="2"/>
      <scheme val="minor"/>
    </font>
    <font>
      <sz val="10"/>
      <color theme="1"/>
      <name val="Aptos Narrow"/>
      <family val="2"/>
      <scheme val="minor"/>
    </font>
    <font>
      <b/>
      <sz val="10"/>
      <color theme="1"/>
      <name val="Aptos Narrow"/>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FFFFF"/>
        <bgColor rgb="FF000000"/>
      </patternFill>
    </fill>
    <fill>
      <patternFill patternType="solid">
        <fgColor theme="5" tint="0.79998168889431442"/>
        <bgColor indexed="64"/>
      </patternFill>
    </fill>
    <fill>
      <patternFill patternType="solid">
        <fgColor theme="6" tint="0.79998168889431442"/>
        <bgColor indexed="64"/>
      </patternFill>
    </fill>
    <fill>
      <patternFill patternType="solid">
        <fgColor rgb="FF4472C4"/>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bgColor indexed="64"/>
      </patternFill>
    </fill>
    <fill>
      <patternFill patternType="solid">
        <fgColor theme="3" tint="0.8999908444471571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0">
    <xf numFmtId="0" fontId="0" fillId="0" borderId="0" xfId="0"/>
    <xf numFmtId="0" fontId="2" fillId="0" borderId="1" xfId="0" applyFont="1" applyBorder="1" applyAlignment="1">
      <alignment horizontal="left"/>
    </xf>
    <xf numFmtId="0" fontId="1" fillId="2" borderId="2" xfId="0" applyFont="1" applyFill="1" applyBorder="1" applyAlignment="1">
      <alignment horizontal="left"/>
    </xf>
    <xf numFmtId="0" fontId="2" fillId="4" borderId="1" xfId="0" applyFont="1" applyFill="1" applyBorder="1" applyAlignment="1">
      <alignment horizontal="left"/>
    </xf>
    <xf numFmtId="0" fontId="2" fillId="5" borderId="1" xfId="0" applyFont="1" applyFill="1" applyBorder="1" applyAlignment="1">
      <alignment horizontal="left"/>
    </xf>
    <xf numFmtId="0" fontId="4" fillId="6" borderId="1" xfId="0" applyFont="1" applyFill="1" applyBorder="1" applyAlignment="1">
      <alignment horizontal="left"/>
    </xf>
    <xf numFmtId="0" fontId="4" fillId="0" borderId="1" xfId="0" applyFont="1" applyBorder="1" applyAlignment="1">
      <alignment horizontal="left"/>
    </xf>
    <xf numFmtId="0" fontId="0" fillId="0" borderId="0" xfId="0" applyAlignment="1">
      <alignment horizontal="left"/>
    </xf>
    <xf numFmtId="0" fontId="2" fillId="0" borderId="0" xfId="0" applyFont="1" applyAlignment="1">
      <alignment horizontal="left"/>
    </xf>
    <xf numFmtId="14" fontId="2" fillId="0" borderId="0" xfId="0" applyNumberFormat="1" applyFont="1" applyAlignment="1">
      <alignment horizontal="left"/>
    </xf>
    <xf numFmtId="0" fontId="2" fillId="0" borderId="0" xfId="0" applyFont="1"/>
    <xf numFmtId="14" fontId="2" fillId="0" borderId="0" xfId="0" applyNumberFormat="1" applyFont="1"/>
    <xf numFmtId="0" fontId="0" fillId="5" borderId="0" xfId="0" applyFill="1"/>
    <xf numFmtId="0" fontId="0" fillId="8" borderId="0" xfId="0" applyFill="1"/>
    <xf numFmtId="0" fontId="2" fillId="0" borderId="0" xfId="0" applyFont="1" applyAlignment="1">
      <alignment wrapText="1"/>
    </xf>
    <xf numFmtId="0" fontId="5" fillId="9" borderId="4" xfId="0" applyFont="1" applyFill="1" applyBorder="1" applyAlignment="1">
      <alignment horizontal="center" vertical="center" wrapText="1"/>
    </xf>
    <xf numFmtId="0" fontId="5" fillId="9" borderId="8" xfId="0" applyFont="1" applyFill="1" applyBorder="1" applyAlignment="1">
      <alignment horizontal="center" vertical="center" wrapText="1"/>
    </xf>
    <xf numFmtId="0" fontId="6" fillId="0" borderId="10" xfId="0" applyFont="1" applyBorder="1" applyAlignment="1">
      <alignment horizontal="center" vertical="center" wrapText="1"/>
    </xf>
    <xf numFmtId="0" fontId="7" fillId="0" borderId="7" xfId="0" applyFont="1" applyBorder="1" applyAlignment="1">
      <alignment vertical="center" wrapText="1"/>
    </xf>
    <xf numFmtId="0" fontId="7" fillId="0" borderId="7" xfId="0" applyFont="1" applyBorder="1" applyAlignment="1">
      <alignment horizontal="center" vertical="center" wrapText="1"/>
    </xf>
    <xf numFmtId="0" fontId="7" fillId="0" borderId="6" xfId="0" applyFont="1" applyBorder="1" applyAlignment="1">
      <alignment horizontal="left" vertical="center" wrapText="1"/>
    </xf>
    <xf numFmtId="0" fontId="8" fillId="0" borderId="7" xfId="0" applyFont="1" applyBorder="1" applyAlignment="1">
      <alignment horizontal="left" vertical="center" wrapText="1"/>
    </xf>
    <xf numFmtId="0" fontId="9" fillId="0" borderId="7" xfId="0" applyFont="1" applyBorder="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7" fillId="0" borderId="6"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11" fillId="7" borderId="0" xfId="0" applyFont="1" applyFill="1" applyAlignment="1">
      <alignment vertical="center" wrapText="1"/>
    </xf>
    <xf numFmtId="0" fontId="5" fillId="9" borderId="9" xfId="0" applyFont="1" applyFill="1" applyBorder="1" applyAlignment="1">
      <alignment horizontal="center" vertical="center" wrapText="1"/>
    </xf>
    <xf numFmtId="0" fontId="5" fillId="9" borderId="5" xfId="0" applyFont="1" applyFill="1" applyBorder="1" applyAlignment="1">
      <alignment horizontal="center" vertical="center" wrapText="1"/>
    </xf>
    <xf numFmtId="3" fontId="7" fillId="0" borderId="1" xfId="0" applyNumberFormat="1" applyFont="1" applyBorder="1" applyAlignment="1">
      <alignment vertical="center" wrapText="1"/>
    </xf>
    <xf numFmtId="0" fontId="2" fillId="10" borderId="0" xfId="0" applyFont="1" applyFill="1"/>
    <xf numFmtId="14" fontId="2" fillId="10" borderId="0" xfId="0" applyNumberFormat="1" applyFont="1" applyFill="1"/>
    <xf numFmtId="0" fontId="1" fillId="2" borderId="1" xfId="0" applyFont="1" applyFill="1" applyBorder="1" applyAlignment="1">
      <alignment horizontal="left"/>
    </xf>
    <xf numFmtId="0" fontId="2" fillId="5" borderId="2" xfId="0" applyFont="1" applyFill="1" applyBorder="1" applyAlignment="1">
      <alignment horizontal="left"/>
    </xf>
    <xf numFmtId="0" fontId="0" fillId="0" borderId="0" xfId="0" pivotButton="1"/>
    <xf numFmtId="0" fontId="1" fillId="11" borderId="1" xfId="0" applyFont="1" applyFill="1" applyBorder="1" applyAlignment="1">
      <alignment horizontal="left"/>
    </xf>
    <xf numFmtId="0" fontId="15" fillId="12" borderId="1" xfId="0" applyFont="1" applyFill="1" applyBorder="1" applyAlignment="1">
      <alignment horizontal="left"/>
    </xf>
    <xf numFmtId="0" fontId="14" fillId="12" borderId="0" xfId="0" applyFont="1" applyFill="1" applyAlignment="1">
      <alignment horizontal="centerContinuous"/>
    </xf>
    <xf numFmtId="0" fontId="15" fillId="12" borderId="2" xfId="0" applyFont="1" applyFill="1" applyBorder="1" applyAlignment="1">
      <alignment horizontal="left"/>
    </xf>
    <xf numFmtId="0" fontId="15" fillId="12" borderId="3" xfId="0" applyFont="1" applyFill="1" applyBorder="1" applyAlignment="1">
      <alignment horizontal="left"/>
    </xf>
    <xf numFmtId="0" fontId="16" fillId="0" borderId="1" xfId="0" applyFont="1" applyBorder="1" applyAlignment="1">
      <alignment horizontal="center" vertical="center"/>
    </xf>
    <xf numFmtId="0" fontId="0" fillId="12" borderId="0" xfId="0" applyFill="1"/>
    <xf numFmtId="0" fontId="1" fillId="11" borderId="1" xfId="0" applyFont="1" applyFill="1" applyBorder="1" applyAlignment="1">
      <alignment horizontal="center"/>
    </xf>
    <xf numFmtId="0" fontId="15" fillId="12" borderId="1" xfId="0" applyFont="1" applyFill="1" applyBorder="1" applyAlignment="1">
      <alignment horizontal="center"/>
    </xf>
    <xf numFmtId="0" fontId="2" fillId="0" borderId="1" xfId="0" applyFont="1" applyBorder="1" applyAlignment="1">
      <alignment horizontal="center"/>
    </xf>
    <xf numFmtId="0" fontId="15" fillId="12" borderId="2" xfId="0" applyFont="1" applyFill="1" applyBorder="1" applyAlignment="1">
      <alignment horizontal="center"/>
    </xf>
    <xf numFmtId="0" fontId="14" fillId="12" borderId="0" xfId="0" applyFont="1" applyFill="1"/>
    <xf numFmtId="0" fontId="2" fillId="0" borderId="0" xfId="0" applyFont="1" applyAlignment="1">
      <alignment horizontal="center"/>
    </xf>
    <xf numFmtId="0" fontId="2" fillId="0" borderId="1" xfId="0" applyFont="1" applyBorder="1"/>
    <xf numFmtId="1" fontId="2" fillId="0" borderId="1" xfId="0" applyNumberFormat="1" applyFont="1" applyBorder="1" applyAlignment="1">
      <alignment horizontal="left"/>
    </xf>
    <xf numFmtId="0" fontId="12" fillId="2" borderId="1" xfId="0" applyFont="1" applyFill="1" applyBorder="1" applyAlignment="1">
      <alignment horizontal="center"/>
    </xf>
    <xf numFmtId="14" fontId="2" fillId="0" borderId="1" xfId="0" applyNumberFormat="1" applyFont="1" applyBorder="1" applyAlignment="1">
      <alignment horizontal="center"/>
    </xf>
    <xf numFmtId="0" fontId="16" fillId="0" borderId="1" xfId="0" applyFont="1" applyBorder="1" applyAlignment="1">
      <alignment horizontal="center"/>
    </xf>
    <xf numFmtId="0" fontId="16" fillId="0" borderId="1" xfId="0" applyFont="1" applyBorder="1" applyAlignment="1">
      <alignment horizontal="left"/>
    </xf>
    <xf numFmtId="0" fontId="16" fillId="5" borderId="1" xfId="0" applyFont="1" applyFill="1" applyBorder="1" applyAlignment="1">
      <alignment horizontal="left"/>
    </xf>
    <xf numFmtId="14" fontId="16" fillId="5" borderId="1" xfId="0" applyNumberFormat="1" applyFont="1" applyFill="1" applyBorder="1" applyAlignment="1">
      <alignment horizontal="left"/>
    </xf>
    <xf numFmtId="0" fontId="17" fillId="5" borderId="1" xfId="0" applyFont="1" applyFill="1" applyBorder="1" applyAlignment="1">
      <alignment horizontal="left"/>
    </xf>
    <xf numFmtId="0" fontId="16" fillId="0" borderId="0" xfId="0" applyFont="1"/>
    <xf numFmtId="0" fontId="17" fillId="2" borderId="1" xfId="0" applyFont="1" applyFill="1" applyBorder="1" applyAlignment="1">
      <alignment horizontal="left"/>
    </xf>
    <xf numFmtId="0" fontId="16" fillId="5" borderId="1" xfId="0" applyFont="1" applyFill="1" applyBorder="1" applyAlignment="1">
      <alignment horizontal="center"/>
    </xf>
    <xf numFmtId="0" fontId="2" fillId="5" borderId="1" xfId="0" applyFont="1" applyFill="1" applyBorder="1" applyAlignment="1">
      <alignment horizontal="center"/>
    </xf>
    <xf numFmtId="0" fontId="2" fillId="5" borderId="1" xfId="0" applyFont="1" applyFill="1" applyBorder="1"/>
    <xf numFmtId="0" fontId="2" fillId="10" borderId="1" xfId="0" applyFont="1" applyFill="1" applyBorder="1" applyAlignment="1">
      <alignment horizontal="center"/>
    </xf>
    <xf numFmtId="14" fontId="2" fillId="10" borderId="1" xfId="0" applyNumberFormat="1" applyFont="1" applyFill="1" applyBorder="1" applyAlignment="1">
      <alignment horizontal="center"/>
    </xf>
    <xf numFmtId="14" fontId="2" fillId="0" borderId="1" xfId="0" applyNumberFormat="1" applyFont="1" applyBorder="1"/>
    <xf numFmtId="1" fontId="2" fillId="0" borderId="1" xfId="0" applyNumberFormat="1" applyFont="1" applyBorder="1"/>
    <xf numFmtId="0" fontId="17" fillId="2" borderId="2" xfId="0" applyFont="1" applyFill="1" applyBorder="1" applyAlignment="1">
      <alignment horizontal="left"/>
    </xf>
    <xf numFmtId="14" fontId="16" fillId="0" borderId="0" xfId="0" applyNumberFormat="1" applyFont="1"/>
    <xf numFmtId="0" fontId="16" fillId="0" borderId="1" xfId="0" applyFont="1" applyBorder="1"/>
    <xf numFmtId="0" fontId="16" fillId="10" borderId="1" xfId="0" applyFont="1" applyFill="1" applyBorder="1"/>
    <xf numFmtId="14" fontId="16" fillId="0" borderId="1" xfId="0" applyNumberFormat="1" applyFont="1" applyBorder="1"/>
    <xf numFmtId="0" fontId="16" fillId="5" borderId="1" xfId="0" applyFont="1" applyFill="1" applyBorder="1"/>
    <xf numFmtId="0" fontId="13" fillId="0" borderId="1" xfId="0" applyFont="1" applyBorder="1" applyAlignment="1">
      <alignment horizontal="left"/>
    </xf>
    <xf numFmtId="14" fontId="13" fillId="0" borderId="1" xfId="0" applyNumberFormat="1" applyFont="1" applyBorder="1" applyAlignment="1">
      <alignment horizontal="left"/>
    </xf>
    <xf numFmtId="0" fontId="12" fillId="0" borderId="1" xfId="0" applyFont="1" applyBorder="1" applyAlignment="1">
      <alignment horizontal="left"/>
    </xf>
    <xf numFmtId="0" fontId="13" fillId="7" borderId="1" xfId="0" applyFont="1" applyFill="1" applyBorder="1" applyAlignment="1">
      <alignment horizontal="left"/>
    </xf>
    <xf numFmtId="0" fontId="13" fillId="11" borderId="1" xfId="0" applyFont="1" applyFill="1" applyBorder="1" applyAlignment="1">
      <alignment horizontal="left"/>
    </xf>
    <xf numFmtId="1" fontId="2" fillId="0" borderId="1" xfId="0" applyNumberFormat="1" applyFont="1" applyBorder="1" applyAlignment="1">
      <alignment horizontal="center"/>
    </xf>
    <xf numFmtId="0" fontId="1" fillId="0" borderId="1" xfId="0" applyFont="1" applyBorder="1" applyAlignment="1">
      <alignment horizontal="center"/>
    </xf>
    <xf numFmtId="0" fontId="2" fillId="2" borderId="1" xfId="0" applyFont="1" applyFill="1" applyBorder="1" applyAlignment="1">
      <alignment horizontal="left"/>
    </xf>
    <xf numFmtId="0" fontId="2" fillId="3" borderId="1" xfId="0" applyFont="1" applyFill="1" applyBorder="1" applyAlignment="1">
      <alignment horizontal="left"/>
    </xf>
    <xf numFmtId="49" fontId="2" fillId="0" borderId="1" xfId="0" applyNumberFormat="1" applyFont="1" applyBorder="1" applyAlignment="1">
      <alignment horizontal="center"/>
    </xf>
    <xf numFmtId="49" fontId="2" fillId="5" borderId="1" xfId="0" applyNumberFormat="1" applyFont="1" applyFill="1" applyBorder="1" applyAlignment="1">
      <alignment horizontal="center"/>
    </xf>
    <xf numFmtId="0" fontId="1" fillId="4" borderId="1" xfId="0" applyFont="1" applyFill="1" applyBorder="1" applyAlignment="1">
      <alignment horizontal="center"/>
    </xf>
    <xf numFmtId="0" fontId="13" fillId="0" borderId="14" xfId="0" applyFont="1" applyBorder="1" applyAlignment="1">
      <alignment horizontal="left"/>
    </xf>
    <xf numFmtId="14" fontId="13" fillId="0" borderId="14" xfId="0" applyNumberFormat="1" applyFont="1" applyBorder="1" applyAlignment="1">
      <alignment horizontal="left"/>
    </xf>
    <xf numFmtId="0" fontId="1" fillId="13" borderId="1" xfId="0" applyFont="1" applyFill="1" applyBorder="1" applyAlignment="1">
      <alignment horizontal="center"/>
    </xf>
    <xf numFmtId="0" fontId="2" fillId="0" borderId="1" xfId="0" applyFont="1" applyBorder="1" applyAlignment="1">
      <alignment horizontal="left" wrapText="1"/>
    </xf>
    <xf numFmtId="0" fontId="2" fillId="0" borderId="12" xfId="0" applyFont="1" applyBorder="1" applyAlignment="1">
      <alignment horizontal="left" wrapText="1"/>
    </xf>
    <xf numFmtId="0" fontId="2" fillId="0" borderId="13" xfId="0" applyFont="1" applyBorder="1" applyAlignment="1">
      <alignment horizontal="left" wrapText="1"/>
    </xf>
    <xf numFmtId="0" fontId="2" fillId="0" borderId="11" xfId="0" applyFont="1" applyBorder="1" applyAlignment="1">
      <alignment horizontal="left"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yanta Chaudhuri/HR/MUM CORP/MH" refreshedDate="45674.667068055554" createdVersion="8" refreshedVersion="8" minRefreshableVersion="3" recordCount="152" xr:uid="{4BAC0E34-9D36-4E0A-9428-5CFF73BDB18F}">
  <cacheSource type="worksheet">
    <worksheetSource ref="A1:K153" sheet="CEO of the Qtr"/>
  </cacheSource>
  <cacheFields count="11">
    <cacheField name="Sl No." numFmtId="0">
      <sharedItems containsSemiMixedTypes="0" containsString="0" containsNumber="1" containsInteger="1" minValue="1" maxValue="152" count="1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sharedItems>
    </cacheField>
    <cacheField name="Emp ID" numFmtId="0">
      <sharedItems containsSemiMixedTypes="0" containsString="0" containsNumber="1" containsInteger="1" minValue="669" maxValue="7877"/>
    </cacheField>
    <cacheField name="Name" numFmtId="0">
      <sharedItems/>
    </cacheField>
    <cacheField name="Citation" numFmtId="0">
      <sharedItems longText="1"/>
    </cacheField>
    <cacheField name="Grade" numFmtId="0">
      <sharedItems count="4">
        <s v="M5"/>
        <s v="M3"/>
        <s v="M4"/>
        <e v="#N/A"/>
      </sharedItems>
    </cacheField>
    <cacheField name="Designation" numFmtId="0">
      <sharedItems/>
    </cacheField>
    <cacheField name="Department" numFmtId="0">
      <sharedItems/>
    </cacheField>
    <cacheField name="Region" numFmtId="0">
      <sharedItems count="5">
        <s v="South"/>
        <s v="North"/>
        <s v="Corporate"/>
        <s v="West"/>
        <s v="East"/>
      </sharedItems>
    </cacheField>
    <cacheField name="Quarter" numFmtId="0">
      <sharedItems count="5">
        <s v="Q4-FY24"/>
        <s v="Q1-FY25"/>
        <s v="Q2-FY 25"/>
        <s v="Q3-FY24"/>
        <s v="Q3-FY25"/>
      </sharedItems>
    </cacheField>
    <cacheField name="Award Name" numFmtId="0">
      <sharedItems/>
    </cacheField>
    <cacheField name="Award Name Quart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n v="7347"/>
    <s v="Anilkumar N"/>
    <s v="Amitabh Das - I really appreciate the effort put in by you in configuring the UNICA campaign for Binge Mobile Flexi 99 OB campaign Launch. You took end to end responsibility from raising the CR, to coordinating closely with IT and UAT teams to ensure the solution is created, tested, and deployed seamlessly within a very stiff timeline. A big thanks for your support and ownership."/>
    <x v="0"/>
    <s v="Assistant Manager - Systems Solutions &amp; Design - COSSG"/>
    <s v="Customer Operations"/>
    <x v="0"/>
    <x v="0"/>
    <s v="CEO of the Quarter"/>
    <s v="CEO of the Quarter Q4-FY24"/>
  </r>
  <r>
    <x v="1"/>
    <n v="4149"/>
    <s v="Joby George"/>
    <s v="Lolakshi Ashok Moolya - The Department of Telecommunications (DOT) issued an Office Order on October 1, 2022, eliminating NOCC charges for using the Space segment. TATA Play had already made advance payments to DOT for the entire year. Upon the order taking effect, efforts were made, particularly by Joby, who played a crucial role in meeting with officials to initiate the refund process. This involved extensive sharing of reconciliation and data to demonstrate timely payment of old dues. Finally, in September 2023, the refund was successfully received. Additionally, following the activation of GSAT 24, Joby diligently pursued the refund of WPC License fees paid in advance. After persistent follow-ups, a senior official agreed to offset these fees against the next year's Spectrum fees. The commendable efforts of Joby in navigating the complexities of government authorities to secure these refunds are truly appreciated."/>
    <x v="1"/>
    <s v="Assistant General Manager - Regulatory Affairs"/>
    <s v="Legal"/>
    <x v="1"/>
    <x v="0"/>
    <s v="CEO of the Quarter"/>
    <s v="CEO of the Quarter Q4-FY24"/>
  </r>
  <r>
    <x v="2"/>
    <n v="6805"/>
    <s v="Kumar Shubham"/>
    <s v="Shubham has played a pivotal role in assisting in setting up processes and spearheading the signage project Ravi and Versova. He brings to the table the ability to understand trade, the potential challenges on a project and managing key stakeholders through his relationships. Shubham has been relentless and reliable team member to ensure that the signage project keeps rolling on-time and in-full. He has also contributed to ensuring timely deliveries and execution of the long- term visibility elements including innovative elements such as sturdy standees in 2023 that has benefited the trade/business to a large extent."/>
    <x v="2"/>
    <s v="Senior Manager - Brand Marketing"/>
    <s v="Communications"/>
    <x v="2"/>
    <x v="0"/>
    <s v="CEO of the Quarter"/>
    <s v="CEO of the Quarter Q4-FY24"/>
  </r>
  <r>
    <x v="3"/>
    <n v="6375"/>
    <s v="P Yogapriya ."/>
    <s v="Ritesh Jain ( Commercial )-Yoga has extremely well managed 'Next Best Action' project. Right from creating Business Requirement Document to coordinating with various teams (Analytics, IT, Customer Operations..) and making sure that project is on track, Yoga has been instrumental in making this project successful. Intelligent product rules have been designed which made sure that subscribers are recommended right product there by maximizing the revenue opportunity. She made sure that at every step all the teams are aligned on the objective of the project leading to timely closure of the project. Post go live reporting has been also taken care of, daily reporting is helping teams to drive business better. Overall, an excellent work done on NBA. Keep up the good work Yoga."/>
    <x v="2"/>
    <s v="Senior Manager - Subscriber Marketing"/>
    <s v="Commercial"/>
    <x v="2"/>
    <x v="0"/>
    <s v="CEO of the Quarter"/>
    <s v="CEO of the Quarter Q4-FY24"/>
  </r>
  <r>
    <x v="4"/>
    <n v="7644"/>
    <s v="Sachin Ravasab Janaj"/>
    <s v="Anitha Joy ( Commercial )-Sachin has helped the content ops team in automating the daily schedule process for Tata Play Fun Learn , being new in the organisation, Sachin has been able to quickly understand content teams schedule requirement and has developed a tool to generated the various output schedules like Playout, EPG , AMS , Application schedule etc . Team used to take good amount of time to generate these schedules manually are now able to generate them with ease and manual errors are minimized through system generated schedules. Thank you Sachin."/>
    <x v="0"/>
    <s v="Executive - New Product Development"/>
    <s v="Commercial"/>
    <x v="0"/>
    <x v="0"/>
    <s v="CEO of the Quarter"/>
    <s v="CEO of the Quarter Q4-FY24"/>
  </r>
  <r>
    <x v="5"/>
    <n v="6356"/>
    <s v="Sushant Awasthi"/>
    <s v="Naveen Rawal ( Technology )-For a potential customer on white label product, the requirement was to provide them with detailed performance review of their existing STB and accessory items and hence offer our expertise. Sushant took ownership and successfully completed the hardware reliability testing activity on the received sample units within short span of time with critical improvement findings in the product. Sushant's contribution and commitment in completing this activity is valued and appreciated. Keep it up."/>
    <x v="0"/>
    <s v="Assistant Manager - Consumer Technology"/>
    <s v="Technology"/>
    <x v="1"/>
    <x v="0"/>
    <s v="CEO of the Quarter"/>
    <s v="CEO of the Quarter Q4-FY24"/>
  </r>
  <r>
    <x v="6"/>
    <n v="7658"/>
    <s v="Kaushal Kumar Jha"/>
    <s v="Meghana Nagaraj - Kaushal, I would like to express my appreciation for your outstanding contribution to taking Notifications live on Binge+. You took ownership of the project end to end and collaborated with Business &amp; Technology teams, playing a crucial role in prioritization, negotiating timelines, technical discussions &amp; managing stakeholder expectations to ensure the feature was taken live with a significant impact on the engagement KPIs. Your dedication is truly commendable and deeply appreciated! Your enthusiasm and determination always reflect in your outputs. Keep up the good work!"/>
    <x v="2"/>
    <s v="Senior Manager - New Product Development"/>
    <s v="Commercial"/>
    <x v="0"/>
    <x v="0"/>
    <s v="CEO of the Quarter"/>
    <s v="CEO of the Quarter Q4-FY24"/>
  </r>
  <r>
    <x v="7"/>
    <n v="7640"/>
    <s v="Cheril Mehta"/>
    <s v="Cheril, the effort that you have put into making Notifications on Binge+ live is remarkable. All the CLM and promotional campaigns planned and executed by you to every last detail to win back Binge customers on Binge+ &amp; to improve engagement of existing customers have been having a significant impact on the KPIs &amp; this will only improve further. Your collaborative spirit and willingness to support others have helped in making this possible. Not to mention, your attention to detail that makes you more unique. Your dedication is truly commendable and deeply appreciated! Keep up the good work!"/>
    <x v="2"/>
    <s v="Manager - Subscriber Marketing"/>
    <s v="Commercial"/>
    <x v="2"/>
    <x v="0"/>
    <s v="CEO of the Quarter"/>
    <s v="CEO of the Quarter Q4-FY24"/>
  </r>
  <r>
    <x v="8"/>
    <n v="6745"/>
    <s v="Shriram Mahajan"/>
    <s v="Shriram Congratulations on your ever Highest Achievement of TSK Active for the month of March 2024 ! Keep it up"/>
    <x v="2"/>
    <s v="Manager - Trade Sales"/>
    <s v="Sales"/>
    <x v="3"/>
    <x v="0"/>
    <s v="CEO of the Quarter"/>
    <s v="CEO of the Quarter Q4-FY24"/>
  </r>
  <r>
    <x v="9"/>
    <n v="5129"/>
    <s v="Aditya Sharma"/>
    <s v="Sandeep Mann ( Technology )-Aditya has been crucial in helping us getting the RECD work completed for DG Sets which was supposed to be completed by 31st Dec 23, he helped us to get the PO released for this work at a very brisk rate coordinating with all the stake holders, we deeply appreciate his dedication and competence which demonstrated Collaboration, ownership, speed for the closure of subjected issue which helped us to comply with the govt guidelines well before the deadlines."/>
    <x v="1"/>
    <s v="General Manager - Supply Chain Services"/>
    <s v="Finance"/>
    <x v="1"/>
    <x v="0"/>
    <s v="CEO of the Quarter"/>
    <s v="CEO of the Quarter Q4-FY24"/>
  </r>
  <r>
    <x v="10"/>
    <n v="7667"/>
    <s v="Janarthanan Thangavelu"/>
    <s v="Truly appreciate Jana for optimizing BI operations stream. Since 3 last months there are no issues in month end processing, everything went smooth. Thanks for building BI Operation Dashboard which is extremely helpful to business owners to track their RR status directly from MS teams channel seamlessly.Superb work demonstrated. Keep it up."/>
    <x v="2"/>
    <s v="Senior Manager - IT Delivery"/>
    <s v="IT"/>
    <x v="0"/>
    <x v="0"/>
    <s v="CEO of the Quarter"/>
    <s v="CEO of the Quarter Q4-FY24"/>
  </r>
  <r>
    <x v="11"/>
    <n v="7157"/>
    <s v="Suraj Pandey"/>
    <s v="Prasanna Kumar Singh ( Sales )-I appreciate your effectiveness and precision in managing MDU installation in and around Lucknow. We are acquiring hotels and other commercial establishments on a good speed and your support in installing MDU set up at these places is recognised. You not only help us in giving installations with a good speed and deliver always on time, but also you own your commitment. Keep up this good work. "/>
    <x v="0"/>
    <s v="Assistant Manager - Field Service Delivery"/>
    <s v="Field Service Delivery"/>
    <x v="1"/>
    <x v="0"/>
    <s v="CEO of the Quarter"/>
    <s v="CEO of the Quarter Q4-FY24"/>
  </r>
  <r>
    <x v="12"/>
    <n v="7493"/>
    <s v="Saurabh Rajput"/>
    <s v="Saurabh has exemplified the urgency and the sensitivity of the Customer Discovery 6.0 program with his creative execution skills and innovative use of technology. Great Job Saurabh"/>
    <x v="2"/>
    <s v="Manager - Business Excellence"/>
    <s v="Finance"/>
    <x v="2"/>
    <x v="0"/>
    <s v="CEO of the Quarter"/>
    <s v="CEO of the Quarter Q4-FY24"/>
  </r>
  <r>
    <x v="13"/>
    <n v="1847"/>
    <s v="Nitin Gupta"/>
    <s v="Charu Singla ( Technology )-Played a crucial part in planning and organizing the GSAT24 launch event along with Seema Kumari and Anshul Kapoor. The event was organized with meticulous planning under the guidance of Mr. Vishal Arya wherein dignitaries from the government launched the satellite and over a hundred media representatives covered the launch in the Technology Center, Chattarpur."/>
    <x v="2"/>
    <s v="Senior Manager - Accounts"/>
    <s v="Technology"/>
    <x v="1"/>
    <x v="0"/>
    <s v="CEO of the Quarter"/>
    <s v="CEO of the Quarter Q4-FY24"/>
  </r>
  <r>
    <x v="14"/>
    <n v="2220"/>
    <s v="Anshul Kapoor"/>
    <s v="Charu Singla ( Technology )-Played a crucial part in planning and organizing the GSAT24 launch event along with Seema Kumari and Nitin Gupta. The event was organized with meticulous planning under the guidance of Mr. Vishal Arya wherein dignitaries from the government launched the satellite and over a hundred media representatives covered the launch in the Technology Center, Chattarpur."/>
    <x v="1"/>
    <s v="Assistant General Manager - Facilities"/>
    <s v="Technology"/>
    <x v="1"/>
    <x v="0"/>
    <s v="CEO of the Quarter"/>
    <s v="CEO of the Quarter Q4-FY24"/>
  </r>
  <r>
    <x v="15"/>
    <n v="7399"/>
    <s v="Nitin Pawar"/>
    <s v="Nitin Congratulations for Achieving ever Highest TSK Active Outlet from BID District, Awesome Show Keep it Up !"/>
    <x v="2"/>
    <s v="Manager - Trade Sales"/>
    <s v="Sales"/>
    <x v="3"/>
    <x v="0"/>
    <s v="CEO of the Quarter"/>
    <s v="CEO of the Quarter Q4-FY24"/>
  </r>
  <r>
    <x v="16"/>
    <n v="7426"/>
    <s v="Pooja Sharma"/>
    <s v="Prachodaya Das - Helped roll out effective and elegant communication for Classic Cinema +1 and in executing the JSAT for it in less than 3 days!"/>
    <x v="2"/>
    <s v="Senior Manager - Subscriber Communications"/>
    <s v="Digital Marketing"/>
    <x v="2"/>
    <x v="0"/>
    <s v="CEO of the Quarter"/>
    <s v="CEO of the Quarter Q4-FY24"/>
  </r>
  <r>
    <x v="17"/>
    <n v="7654"/>
    <s v="Deep Dayal Gupta"/>
    <s v="Prachodaya Das - Helped in effective and quick execution of WhatsApp Campaigns, especially during Tamil Classic TPMA preview launch, despite the time crunch and multiple obstacles. Thanks a lot !"/>
    <x v="2"/>
    <s v="Senior Manager - IT Architecture"/>
    <s v="IT"/>
    <x v="0"/>
    <x v="0"/>
    <s v="CEO of the Quarter"/>
    <s v="CEO of the Quarter Q4-FY24"/>
  </r>
  <r>
    <x v="18"/>
    <n v="7756"/>
    <s v="Mayur Wadulkar"/>
    <s v="Ankita Pawar - Mayur has been of great help in picking up tasks last minute and successfully wrapping us crucial tasks on time! Mayur's ability to handle multiple tasks and deliver tasks on time is truly noteworthy. Thank you for your dedication and quick thinking! Keep it up!"/>
    <x v="2"/>
    <s v="Manager - Subscriber Analytics"/>
    <s v="Commercial"/>
    <x v="0"/>
    <x v="0"/>
    <s v="CEO of the Quarter"/>
    <s v="CEO of the Quarter Q4-FY24"/>
  </r>
  <r>
    <x v="19"/>
    <n v="7635"/>
    <s v="Vijay Pandey"/>
    <s v="Awesome Show Vijay for Achieving ever Highest Milestone of TSK ACtive Dealer in the month of March 24, Keep it up Champ !"/>
    <x v="2"/>
    <s v="Manager - Trade Sales"/>
    <s v="Sales"/>
    <x v="3"/>
    <x v="0"/>
    <s v="CEO of the Quarter"/>
    <s v="CEO of the Quarter Q4-FY24"/>
  </r>
  <r>
    <x v="20"/>
    <n v="7021"/>
    <s v="Vasundhara Mudadla"/>
    <s v="Yashasvi Gupta ( Commercial )-Vasundhara is on top of her game with Manage apps . She is thorough with both Business and IT side of things, understands the business criticalities and pressures and always is ready to work towards anything that helps grow business. She also is very positive and always in a good mood despite so much pressure which is a rare quality to have. She delivered 99 flexilite on mservice within all timelines despite complexities. Wish vasundhara god luck going forward as well and look forward to working with her on many more projects."/>
    <x v="1"/>
    <s v="Assistant General Manager - IT Architecture"/>
    <s v="IT"/>
    <x v="0"/>
    <x v="0"/>
    <s v="CEO of the Quarter"/>
    <s v="CEO of the Quarter Q4-FY24"/>
  </r>
  <r>
    <x v="21"/>
    <n v="7275"/>
    <s v="Amit Patkar"/>
    <s v="Amit collaborated effectively with all the SPOCs during the roll out and execution phases of CD 6.0. The collaboration with IT, CO, the CFT SPOCs and internal team ensured the following:1.Operational aspects of roll out was seamless that included timely receipt of call recordings for dissemination amongst participants, placeholder for access to the recordings and calendarizing the cadences to drive call listening and observation sharing  2. Rolling up the observations into pain points that are actionable and presenting the findings to the LT including MD &amp; CEO 3.Co-ordinating with SPOCs assigned to alleviate the pain points by implementing various solutions that addresses them 4. Tracking progress on various solutions being pursued by calendarizing cadenced and periodically updating the LTAll this has led to the Discovery 6.0 problem identification and solution phase being advanced by a month leading to earlier execution of solutions that  would alleviate customer pain points"/>
    <x v="1"/>
    <s v="Assistant General Manager - Business Excellence"/>
    <s v="Finance"/>
    <x v="2"/>
    <x v="0"/>
    <s v="CEO of the Quarter"/>
    <s v="CEO of the Quarter Q4-FY24"/>
  </r>
  <r>
    <x v="22"/>
    <n v="7656"/>
    <s v="Sneha Mohan"/>
    <s v="Bharti Samant - We wanted to express sincere appreciation for Sneha's invaluable contribution for the successful launch of Tata Play Tamil Classics. Her dedication, hard work and quick TAT played a crucial role in meeting deadlines."/>
    <x v="2"/>
    <s v="Manager - Subscriber Communications"/>
    <s v="Digital Marketing"/>
    <x v="2"/>
    <x v="0"/>
    <s v="CEO of the Quarter"/>
    <s v="CEO of the Quarter Q4-FY24"/>
  </r>
  <r>
    <x v="23"/>
    <n v="2243"/>
    <s v="Manjunatha J.S."/>
    <s v="Anamika Chaudhuri - Thank you Manjunatha for always being so prompt and taking ownership to resolve an issue. Your collaboration with field service to resolve customer issues is commendable."/>
    <x v="1"/>
    <s v="Assistant General Manager - NVSD C.A.R.E"/>
    <s v="Customer Operations"/>
    <x v="0"/>
    <x v="0"/>
    <s v="CEO of the Quarter"/>
    <s v="CEO of the Quarter Q4-FY24"/>
  </r>
  <r>
    <x v="24"/>
    <n v="7230"/>
    <s v="Mayur R Bhuran"/>
    <s v="Mayur has been steadfast and proactive in setting up the platform for execution of the Customer Discovery 6.0 Program. The proactive solutions provided to achieve challenging timelines was exemplary. Thank you Mayur. Great job."/>
    <x v="2"/>
    <s v="Manager - IT Operations"/>
    <s v="IT"/>
    <x v="2"/>
    <x v="0"/>
    <s v="CEO of the Quarter"/>
    <s v="CEO of the Quarter Q4-FY24"/>
  </r>
  <r>
    <x v="25"/>
    <n v="7216"/>
    <s v="Brajesh Kumar Jha"/>
    <s v="Satish Kumar K P ( Technology )-Brajesh had been provided a great support to fix the FTP issue which we were facing from past many months. We appreciate his quick response and taking the accountability of the issue and fixing it. Thank you for supporting. "/>
    <x v="2"/>
    <s v="Manager - Information Security"/>
    <s v="Technology"/>
    <x v="1"/>
    <x v="0"/>
    <s v="CEO of the Quarter"/>
    <s v="CEO of the Quarter Q4-FY24"/>
  </r>
  <r>
    <x v="26"/>
    <n v="4121"/>
    <s v="Dhiraj Kapil"/>
    <s v="Vikrant Sehgal ( Field Service Delivery )-Delivering BOM nos constantly even when you are on leave days.. Good job done"/>
    <x v="2"/>
    <s v="Manager - Field Service Delivery"/>
    <s v="Field Service Delivery"/>
    <x v="1"/>
    <x v="0"/>
    <s v="CEO of the Quarter"/>
    <s v="CEO of the Quarter Q4-FY24"/>
  </r>
  <r>
    <x v="27"/>
    <n v="1313"/>
    <s v="Lenin Suresh Raj"/>
    <s v="Rupalli Surve ( Customer Operations ) &amp; Vinodkumar Anandan ( Customer Operations )-Appreciate the timely help for the review of In Home Call, the data cuts were one too many , despite the stress of getting the data cuts , taking the ownership of getting all the data in place to build a story was a task which you took upon your self and toiled for almost ten days and making time to come on all the adhoc calls without complaining even once about the time and day of the week, you have taken complete ownership and delivered like a pro, appreciation by the senior management was a testimony of your efforts. Very well done!!!. Hi Lenin......Fabulous work done in preparing In-Home Dashboard and Review deck. In depth analysis of data and different cuts viz; DAS Wise, Sales Region Wise, etc... were well appreciated by CEO and Senior leadership team. Kudos to you and wishing you many more accolades... "/>
    <x v="1"/>
    <s v="Assistant General Manager - Business Intelligence and Forecasting"/>
    <s v="Customer Operations"/>
    <x v="0"/>
    <x v="0"/>
    <s v="CEO of the Quarter"/>
    <s v="CEO of the Quarter Q4-FY24"/>
  </r>
  <r>
    <x v="28"/>
    <n v="7517"/>
    <s v="Pradeep Tambade"/>
    <s v="Abhishek Jindal - Pradeep has been instrumental in ensuring significant improvement in marketing GTM capabilities on Tata play Mobile App. TPMA has been able to build a robust customer segmentation system that enables assets and real estate on the app to be visible only to relevant customers. This functionality has been helpful, specially for an app which caters content in over 10 languages and upsells products from 6 different lines of businesses. This required constant collaboration and feedback listening with marketing, Content and TPMA Ops teams which Pradeep anchored and helped revamp the architecture for this feature. Tata Play Mobile App has become one of the largest upselling channel for Tata Play over the last 1 year and the segmentation features which Pradeep helped develop and continuously improve have had a big part in the same."/>
    <x v="2"/>
    <s v="Senior Manager - New Product Development"/>
    <s v="Commercial"/>
    <x v="2"/>
    <x v="1"/>
    <s v="CEO of the Quarter"/>
    <s v="CEO of the Quarter Q1-FY25"/>
  </r>
  <r>
    <x v="29"/>
    <n v="2826"/>
    <s v="Rabiya Sidiqa"/>
    <s v="Abhishek Jindal - This is an appreciation post for all that Rabiya and her team collectively enable Tata Play Mobile App to achieve. Rabiya has been instrumental in helping transform TPMA over the last year into a revenue generation channel. Over this period, we have scaled up segmented campaigns on the app from 0 to 100+ every month, increased complication of asset programming and frequency of content refreshes.\\nWhile the changes of change has been increasing, Rabiya and her team have showed great agility and dynamism to stay on top of all these changes and adapt to the operational challenges. They have also been highlighting requirements for product improvements which have helped us further strengthen the App programming and scheduling backend. Looking forward to an even more exciting FY25 with Rabiya and her team for Tata Play Mobile App."/>
    <x v="2"/>
    <s v="Senior Manager - New Product Development"/>
    <s v="Commercial"/>
    <x v="0"/>
    <x v="1"/>
    <s v="CEO of the Quarter"/>
    <s v="CEO of the Quarter Q1-FY25"/>
  </r>
  <r>
    <x v="30"/>
    <n v="3963"/>
    <s v="Deeptha S"/>
    <s v="Deeptha\u2019s contribution towards improving social process is commendable. Her contribution was immense during platform migration to simplify 360 tool and also in fixing the platform issues which has helped stabilizing the process quickly and improved NPS from negative 70s to a positive 20 currently.     \n\nHer collaboration, ownership and proactive approach towards stabilizing the social process is much appreciated.  \n\nThanks, and look forward for a continues engagement and take the social process to the next level.    Great work \uD83D\uDE0A"/>
    <x v="2"/>
    <s v="Senior Manager - Systems Solutions &amp; Design - COSSG"/>
    <s v="Customer Operations"/>
    <x v="0"/>
    <x v="1"/>
    <s v="CEO of the Quarter"/>
    <s v="CEO of the Quarter Q1-FY25"/>
  </r>
  <r>
    <x v="31"/>
    <n v="1945"/>
    <s v="Jeevan Kumar K."/>
    <s v="Rohit Mishra - We have gone live with an offer for Tata group companies which entails special benefits on Tata Play products for their customers, starting with Croma. This was a critical project which had to go live asap due to leadership drive. Jeevan has been instrumental in driving the back-end configuration of the offer ensuring that the offer goes live on time smoothly, thanks to not just his domain knowledge, but also due to him taking ownership of the project from IT point of view and guiding the group on the process, despite having other critical requirements at hand. Thanks Jeevan!"/>
    <x v="1"/>
    <s v="General Manager - IT Delivery"/>
    <s v="IT"/>
    <x v="0"/>
    <x v="1"/>
    <s v="CEO of the Quarter"/>
    <s v="CEO of the Quarter Q1-FY25"/>
  </r>
  <r>
    <x v="32"/>
    <n v="6721"/>
    <s v="K R Champa"/>
    <s v="Champa has led the \u201CMaking custiomer smile contest 2024\u201D end to end from the CO end. Her efforts in coordinating with all the Ops stakeholders have helped us in maintaining our rank throughout the contest. Her ideas to create digital banners, updating information on TV screens, and taking video bytes have motivated the partner team to contrinute more. She took this contest over and above her assigned responsibilities and ensured her active participation.\n\u00A0\nShe managed an internal contest for Unique participation% and also rewarded best stories which further motivated the team. She also coordinated with FS team on their performance and story submission for overall Unique participation% arcoss Tataplay as Org.\n\u00A0\nResultant, \nWe were able to close the contest at 3rd Rank in 2024 as compared to 8th Rank in 2023 out of 50+ Tata group companies.\nAchieved 100% unique participation from CO team\n10K+ stories were submitted by the team as compared to 1k last year\n"/>
    <x v="2"/>
    <s v="Manager - Business Excellence - COSSG"/>
    <s v="Customer Operations"/>
    <x v="0"/>
    <x v="1"/>
    <s v="CEO of the Quarter"/>
    <s v="CEO of the Quarter Q1-FY25"/>
  </r>
  <r>
    <x v="33"/>
    <n v="7844"/>
    <s v="Kummetha Sasikumar Reddy"/>
    <s v="Yakkanti Hari Srinivasa Reddy - Sasi, I wanted to take a moment to thank you for the great work that you have demonstrated as part of CleverTap. \\nIt is a mammoth task; complex and critical components are involved which would certainly take some time to streamline but your dedication and speed have made the difference. Good job.\\nWishing you all the very best and counting on to keep same the momentum."/>
    <x v="0"/>
    <s v="Senior Executive - IT Delivery"/>
    <s v="IT"/>
    <x v="0"/>
    <x v="1"/>
    <s v="CEO of the Quarter"/>
    <s v="CEO of the Quarter Q1-FY25"/>
  </r>
  <r>
    <x v="34"/>
    <n v="7029"/>
    <s v="Nishant Kumar"/>
    <s v="Nishant led the Unified BOT project from BE end and coordinated with various stakeholders from different functions/partner end. He not only ensured to update the leadership on project status on a regular basis, but also managed the project delivery with in the estimated duration.\n\u00A0\nThis project required a lot of followup with both Oriserve and S360 partner teams and the flow step-up with the help of IT \u2013 Nishant ensured a smooth transition from Oriserve to S360 without any major issue or delay.\n\u00A0This project will not only improve the subscriber experience, but also helped us in saving 30 Lac/year :\nExperience Impact:\nSingle chatbot partner for both TPMA and TP Binge\nLesser lead time for development with a single partner\nUniform customer experience on chatbot for both TPMA and TP Binge\nFuture perspective \u2013 One chatbot for all TP Binge (DTH and Binge bot)\n\u00A0\nCost Impact:\nWith migration to Unified bot we have a cost saving of 30 lakhs per annum which is budgeted under IT cost centre."/>
    <x v="2"/>
    <s v="Manager - Systems Solutions and Design - COSSG"/>
    <s v="Customer Operations"/>
    <x v="0"/>
    <x v="1"/>
    <s v="CEO of the Quarter"/>
    <s v="CEO of the Quarter Q1-FY25"/>
  </r>
  <r>
    <x v="35"/>
    <n v="2734"/>
    <s v="Rafiq P."/>
    <s v="Velu C - Dear Rafiq, my sincere Appreciation for your invaluable support in meticulously planning migration timelines, processing essential data, and guiding us through the critical logic of migrations, whether it pertains to the CABER process or Pack migrations. Your dedication, expertise, and unwavering commitment have played a pivotal role in the success of all our initiatives. Your contributions have not only streamlined our processes but have also set a standard of excellence within our team. Thank you for your tireless efforts and for consistently surpassing expectations to ensure our collective success."/>
    <x v="2"/>
    <s v="Manager - IT Operations"/>
    <s v="IT"/>
    <x v="0"/>
    <x v="1"/>
    <s v="CEO of the Quarter"/>
    <s v="CEO of the Quarter Q1-FY25"/>
  </r>
  <r>
    <x v="36"/>
    <n v="6801"/>
    <s v="Rashmi Kashyap"/>
    <s v="Pradeepkumar Velayudhan - Thanks Rashmi for the abundance effort put in collating and presenting the mid month forecast every month at timely intervals. The collaborating approach and the patience level needs to be rewarded given the fact that the forecast needs to be compared with previous trends, provision reversals to be considered and so also this numbers needs to be linked yearly forecast to decide on the targeted bottom line for the year, You have been doing this seamlessly month after month and in a timely fashion, supported by team and data. Keep the good work. Will help you out with automated paths in next year. \nThanks Rashmi for bringing new insights / perspective and ways of thinking and executing things. Your efforts on creating and showcasing the entire AI ML tool was not only enriching but also helped look at our own processes, more from faster execution and cost rationalisation perspective.\u00A0"/>
    <x v="2"/>
    <s v="Senior Manager - Financial Planning &amp; Analysis"/>
    <s v="Finance"/>
    <x v="2"/>
    <x v="1"/>
    <s v="CEO of the Quarter"/>
    <s v="CEO of the Quarter Q1-FY25"/>
  </r>
  <r>
    <x v="37"/>
    <n v="669"/>
    <s v="Sandeep Parab"/>
    <s v="Pavan Kumar Garg - Sandeep, you have achieved 133% target in BIG day yesterday drive of recharge, Good Job done, keep the momentum high."/>
    <x v="2"/>
    <s v="Manager - Field Service Delivery"/>
    <s v="Field Service Delivery"/>
    <x v="3"/>
    <x v="1"/>
    <s v="CEO of the Quarter"/>
    <s v="CEO of the Quarter Q1-FY25"/>
  </r>
  <r>
    <x v="38"/>
    <n v="7566"/>
    <s v="Umer Nabi Tolla"/>
    <s v="Rajesh Puri - Umer great job in getting 175 connections installed at NHPC Kishan Ganga . Remote and distant location Umer took the challenge and spent 3 days with ISP team at site to install all 175 boxes at site within record 3 days time . Speed of execution is well appreciated."/>
    <x v="2"/>
    <s v="Manager - Field Service Delivery"/>
    <s v="Field Service Delivery"/>
    <x v="1"/>
    <x v="1"/>
    <s v="CEO of the Quarter"/>
    <s v="CEO of the Quarter Q1-FY25"/>
  </r>
  <r>
    <x v="39"/>
    <n v="5714"/>
    <s v="Usha Rani K"/>
    <s v="Abhishek Jindal &amp; Rochelle R Rajguru - Usha along with the TPMA Ops team has been the backbone for ensuring that everything on TPMA keeps going smoothly! Whether it is BAU scheduling, complicated segments request or (a lot of) last minute changes, it has been an amazing experience working with her. Thankful for how she and the team steps up for TPMA and the organization in every situation. Looking forward to an equally eventful FY25! \nThank you, Usha, for always being willing to lend a helping hand and for going above and beyond to ensure the programming is in place. You always show up with a positive attitude and a willingness to help on TPMA with HB, Mini Player or Mid Rail or the last-minute banners requests. Your attention to detail ensures that nothing falls through the cracks. Your contributions are essential, and I appreciate for all your support."/>
    <x v="0"/>
    <s v="Assistant Manager - New Product Development"/>
    <s v="Commercial"/>
    <x v="0"/>
    <x v="1"/>
    <s v="CEO of the Quarter"/>
    <s v="CEO of the Quarter Q1-FY25"/>
  </r>
  <r>
    <x v="40"/>
    <n v="4004"/>
    <s v="Velu C"/>
    <s v="Amitanshu Shankar - I would like to appreciate Velu for his incredible support on Price Hike activity, undertaken in Feb24. It was an extremely complicated activity, since broadcasters decided to increase prices and revise pack constructs midway between our planned activity and we needed to go live within a month of the changes being made to achieve revenue targets, for all subs (on packs and ALCs as well). Velu and GTM team managed all the unplanned changes which came our way, be it from broadcasters or due to competitors and ensured that the activity went live on time, got completed in 9 days and due to this support we managed to achieve the targeted incremental ARPU of 48p per day."/>
    <x v="2"/>
    <s v="Manager – Commercial Operations"/>
    <s v="Commercial"/>
    <x v="0"/>
    <x v="1"/>
    <s v="CEO of the Quarter"/>
    <s v="CEO of the Quarter Q1-FY25"/>
  </r>
  <r>
    <x v="41"/>
    <n v="3098"/>
    <s v="Vinod Gaikwad"/>
    <s v="Congratulations Vinod to closing the Hotel orchid deal in Pune.128 connections activated in March 24. Also, great effort to retain Hotel Marriot Sute and its help you to close the deal with other Marriot property in Pune."/>
    <x v="2"/>
    <s v="Manager - Corporate Sales"/>
    <s v="Sales"/>
    <x v="3"/>
    <x v="1"/>
    <s v="CEO of the Quarter"/>
    <s v="CEO of the Quarter Q1-FY25"/>
  </r>
  <r>
    <x v="42"/>
    <n v="7634"/>
    <s v="Abhinav Jain"/>
    <s v="Pradeepkumar Velayudhan - Thanks Abhinav for collaborating and supporting Finance in getting the group medical cover renewed on a timely basis. Your inputs has helped in shaping the overall renewal. The support extended for UAT towards onboarding the new partners given the short notice is well appreciated, which will help us roll out the GMC policy adoption by early this week. Thanks once again for the continued help and support."/>
    <x v="1"/>
    <s v="General Manager - Human Resources"/>
    <s v="Human Resources"/>
    <x v="2"/>
    <x v="1"/>
    <s v="CEO of the Quarter"/>
    <s v="CEO of the Quarter Q1-FY25"/>
  </r>
  <r>
    <x v="43"/>
    <n v="7445"/>
    <s v="Ajay Khurana"/>
    <s v="Bhupendra Singh Shekhawat &amp; Neeraj Sharma - Thank You Ajay Sir for timely submission of New CEISP Documents and also billing them. \nCongratulations to Ajay Khurana Sir for supporting us on conducting Big Day every week! Your dedication and hard work are truly appreciated, and it's clear that your efforts are making a significant impact on our sales drive. Keep up the fantastic work. Thanks!"/>
    <x v="1"/>
    <s v="General Manager - Sales"/>
    <s v="Sales"/>
    <x v="3"/>
    <x v="1"/>
    <s v="CEO of the Quarter"/>
    <s v="CEO of the Quarter Q1-FY25"/>
  </r>
  <r>
    <x v="44"/>
    <n v="7030"/>
    <s v="Akramkhan Pathan"/>
    <s v="Congratulations Akram for hitting Ever Highest TSK Active Dealers from Parbhani Hingoli Districts in the month of March, Keep it up Champ!"/>
    <x v="2"/>
    <s v="Manager - Trade Sales"/>
    <s v="Sales"/>
    <x v="3"/>
    <x v="1"/>
    <s v="CEO of the Quarter"/>
    <s v="CEO of the Quarter Q1-FY25"/>
  </r>
  <r>
    <x v="45"/>
    <n v="6918"/>
    <s v="Anand Kate"/>
    <s v="Bhauso D. Chandgude - Anand Congratulations for Achieving ever Highest TSK Active Outlet from PCMC UPC &amp; achieved the 100% target for the month of March. Awesome Show Keep It Up!"/>
    <x v="2"/>
    <s v="Manager - Trade Sales"/>
    <s v="Sales"/>
    <x v="3"/>
    <x v="1"/>
    <s v="CEO of the Quarter"/>
    <s v="CEO of the Quarter Q1-FY25"/>
  </r>
  <r>
    <x v="46"/>
    <n v="6694"/>
    <s v="Ankita Dukhande"/>
    <s v="Premsagar Gariganti - I wanted to extend my heartfelt appreciation for your invaluable assistance in streamlining our data compilation process using Microsoft Excel automation. As you may know, merging data from 30-40 Excel files into a single file was a daily activity that consumed 40-50 minutes of my time. However, thanks to your proactive approach and expertise in Microsoft Excel, this time-consuming task has been drastically reduced. After a casual conversation with Ankita, she proactively introduced me to the Microsoft Excel Power Query option. This powerful feature allows us to effortlessly merge data from multiple files into a single file within a matter of 3-4 minutes. The efficiency gains achieved through this method are truly remarkable and have significantly improved our daily workflow. Ankita's willingness to share her knowledge and introduce innovative solutions has not only saved us valuable time but has also enhanced our productivity and effectiveness."/>
    <x v="2"/>
    <s v="Manager - Field Service Delivery Support"/>
    <s v="Field Service Delivery"/>
    <x v="3"/>
    <x v="1"/>
    <s v="CEO of the Quarter"/>
    <s v="CEO of the Quarter Q1-FY25"/>
  </r>
  <r>
    <x v="47"/>
    <n v="5194"/>
    <s v="Anoop Srivastava"/>
    <s v="Ranjeet Chauhan - In Noida we have cracked well know hospital in Noida sarvodaya hospital same account is our existing account Yesterday i got a call from hospital they want 32 new installations on urgent basic. I am taking necessary approvals and contact with Mr Anoop Srivastav Service Asm Noida Area. He will take a charge and he did work with service team @ 10.30 pm and active approx 20 Box . same day he personally visit ward wise room and start tata play boxes ..All ward or bed full ..all patient.are delighted . Thanx Anoop for super support."/>
    <x v="2"/>
    <s v="Senior Manager - Field Service Delivery"/>
    <s v="Field Service Delivery"/>
    <x v="1"/>
    <x v="1"/>
    <s v="CEO of the Quarter"/>
    <s v="CEO of the Quarter Q1-FY25"/>
  </r>
  <r>
    <x v="48"/>
    <n v="6803"/>
    <s v="Arinjaya Khare"/>
    <s v="Pradeepkumar Velayudhan - Thanks Arinjaya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
    <x v="2"/>
    <s v="Senior Manager - Financial Planning &amp; Analysis"/>
    <s v="Finance"/>
    <x v="2"/>
    <x v="1"/>
    <s v="CEO of the Quarter"/>
    <s v="CEO of the Quarter Q1-FY25"/>
  </r>
  <r>
    <x v="49"/>
    <n v="2815"/>
    <s v="Bhauso D. Chandgude"/>
    <s v="Bhupendra Singh Shekhawat - I would like to appreciate Bhauso Sir for Ownership of appointing new CEISP Partner with Collaboration with ASMs and with me. He taken his all ASMs on VC with me those were unable to complete documentation. and able to submit 5 new partners file in a single day and also billed them TSK and EVD same day. This SPOT is for Ownership - Collaboration and Speed. Thanks Bhauso Sir."/>
    <x v="1"/>
    <s v="General Manager - Sales"/>
    <s v="Sales"/>
    <x v="3"/>
    <x v="1"/>
    <s v="CEO of the Quarter"/>
    <s v="CEO of the Quarter Q1-FY25"/>
  </r>
  <r>
    <x v="50"/>
    <n v="7469"/>
    <s v="Chien Sharma"/>
    <s v="Kapil Laddha - Chien has been managing Amazon Prime Integration Project on Tata Play very efficiently and has been collaborating with different cross functionals teams to get timely updates and has been very proactive in her follows, raising red flags which may delay the project and ensuring that all teams are aligned to meet the target deadline. Keep up the good work!!"/>
    <x v="2"/>
    <s v="Manager - Projects"/>
    <s v="Technology"/>
    <x v="1"/>
    <x v="1"/>
    <s v="CEO of the Quarter"/>
    <s v="CEO of the Quarter Q1-FY25"/>
  </r>
  <r>
    <x v="51"/>
    <n v="7569"/>
    <s v="Manoj Jadhav"/>
    <s v="Neeraj Sharma - Manoj is single point of contact for his assigned Circle team members for any kind of assistant. He is always happy to help at any time for the business enhancement in system as well as in field.\\nHis knowledge and skills are commendable for \\u201CTrade Marketing\\u201D vertical. He started run DSR contest every month and do the R&amp;R for the winners to engaged them fully resulted 65% DSRs qualified for their Bandhan rewards month on month basis."/>
    <x v="2"/>
    <s v="Manager - Trade Marketing"/>
    <s v="Sales"/>
    <x v="3"/>
    <x v="1"/>
    <s v="CEO of the Quarter"/>
    <s v="CEO of the Quarter Q1-FY25"/>
  </r>
  <r>
    <x v="52"/>
    <n v="7737"/>
    <s v="Mansi Meena"/>
    <s v="Mansi smoothly and efficiently led the launch of Amazon Prime on Tata Play Binge with a fairly expansive communication strategy that involved creating multiple films and statics for various channels - Ch 100, TPMA, Binge App, Emailers, and Addressable Ads on Star networks. This required coherence between multiple teams and external partners, which she managed extremely tactically, and with ownership. All this was done in her second month in the role!"/>
    <x v="2"/>
    <s v="Manager - Subscriber Communications"/>
    <s v="Digital Marketing"/>
    <x v="2"/>
    <x v="1"/>
    <s v="CEO of the Quarter"/>
    <s v="CEO of the Quarter Q1-FY25"/>
  </r>
  <r>
    <x v="53"/>
    <n v="7808"/>
    <s v="Mitalee Pradhan"/>
    <s v="Amitanshu Shankar - Mitalee has helped with multiple business critical projects like Amazon Prime Video, OTT Upselling destination, enhancing Make Your Own Pack journeys and several more requirements. Mitalee has been able to effectively collaborate with business teams and take their inputs to ensure customer journeys which prioritize both business and customer experience requirements. This is often not the most obvious path but requires teams to go out of their comfort zone and keep biases aside. TPMA is a better app thanks to this collaborative approach from Mitalee and her team."/>
    <x v="2"/>
    <s v="Senior Manager – UI &amp; UX"/>
    <s v="Digital Marketing"/>
    <x v="2"/>
    <x v="1"/>
    <s v="CEO of the Quarter"/>
    <s v="CEO of the Quarter Q1-FY25"/>
  </r>
  <r>
    <x v="54"/>
    <n v="4068"/>
    <s v="Nagesh Y Bhonsle"/>
    <s v="Abhishek Jindal &amp; Rochelle R Rajguru - Nagesh along with the TPMA Ops team has been the backbone for ensuring that everything on TPMA keeps going smoothly! In the heavy duty cricket matches or BAU scheduling, complicated segments request or (a lot of) last minute changes, TPMA is blessed to have Nagesh and the Ops team at it all the time. Looking forward to an equally eventful FY25! \nNagesh, I want to take a moment to express my heartfelt appreciation for all that you did on long weekend where there was so much of urgency on the Marketing of the Broadcasters. Your hard work and dedication are truly inspiring, and it is a pleasure to work alongside someone who puts so much passion and effort into their work. You are a true asset to our TPMA team, and I am grateful to have you as a colleague. Thanks a Lot :)\nThank you for always being willing to collaborate and work as a team.\u00A0"/>
    <x v="0"/>
    <s v="Assistant Manager - New Product Development"/>
    <s v="Commercial"/>
    <x v="0"/>
    <x v="1"/>
    <s v="CEO of the Quarter"/>
    <s v="CEO of the Quarter Q1-FY25"/>
  </r>
  <r>
    <x v="55"/>
    <n v="3447"/>
    <s v="Narayanan P."/>
    <s v="Rochelle R Rajguru - Thank you Narayanan for your timely and quick help on Nick contest which took place on 28th April 2024 on Tata Play Mobile App. You were proactive in handling the banners and creatives and geared up for the contest in short span of time. Thank you so much for going out of your way to make the contest live."/>
    <x v="0"/>
    <s v="Senior Executive - New Product Development"/>
    <s v="Commercial"/>
    <x v="0"/>
    <x v="1"/>
    <s v="CEO of the Quarter"/>
    <s v="CEO of the Quarter Q1-FY25"/>
  </r>
  <r>
    <x v="56"/>
    <n v="7638"/>
    <s v="Niraj Waghmode"/>
    <s v="Pavan Kumar Garg - Niraj, you have achieved 135% target in two days drive of BMP, Good Job done, keep the momentum high."/>
    <x v="2"/>
    <s v="Manager - Field Service Delivery"/>
    <s v="Field Service Delivery"/>
    <x v="3"/>
    <x v="1"/>
    <s v="CEO of the Quarter"/>
    <s v="CEO of the Quarter Q1-FY25"/>
  </r>
  <r>
    <x v="57"/>
    <n v="6481"/>
    <s v="Paurav S Choubal"/>
    <s v="Rochelle R Rajguru - Thank you, Paurav, for quickly supporting me during the Nick contest that took place on April 28, 2024, on the Tata Play Mobile App. Your assistance in uploading the terms and conditions on the website in a short span of time was greatly appreciated. I value your consistent contribution of new ideas and innovative approaches to executing contests in a timely manner."/>
    <x v="1"/>
    <s v="General Manager – UI &amp; UX"/>
    <s v="Digital Marketing"/>
    <x v="2"/>
    <x v="1"/>
    <s v="CEO of the Quarter"/>
    <s v="CEO of the Quarter Q1-FY25"/>
  </r>
  <r>
    <x v="58"/>
    <n v="4937"/>
    <s v="Rabindra Kumar Harichandan"/>
    <s v="Velu C &amp; Nikhil Gowda M - Thank you, Rabi, for the exceptional effort and dedication in successfully closing the UAT for 72 packs and related CR's. your quick collaboration and teamwork have been invaluable throughout this process. thank you once again for all your hard work and dedication in closing the UAT's on time.\nDespite being swamped with his daily meetings and work, Rabindra has been of great help in assisting and teaching us the process of SID creation on UAT, due to which our dependency on the other teams has now been greatly reduced. Thank You Rabindra."/>
    <x v="0"/>
    <s v="Assistant Manager - Systems Solutions and Design - COSSG"/>
    <s v="Customer Operations"/>
    <x v="0"/>
    <x v="1"/>
    <s v="CEO of the Quarter"/>
    <s v="CEO of the Quarter Q1-FY25"/>
  </r>
  <r>
    <x v="59"/>
    <n v="6593"/>
    <s v="S Prakash ."/>
    <s v="Pradeepkumar Velayudhan - Thanks Prakash for bringing new insights / perspective and ways of thinking and executing things. Your efforts on creating and showcasing the entire AI ML tool was not only enriching but also helped look at our own processes, more from faster execution and cost rationalisation perspective. The journey wasn't easy but you could present the same in a much more acceptable fashion. Your ability to present the same to the rest of the functions were also appreciated. Thanks once again for bringing us at par with changing technical landscape."/>
    <x v="2"/>
    <s v="Senior Manager - Finance"/>
    <s v="Finance"/>
    <x v="0"/>
    <x v="1"/>
    <s v="CEO of the Quarter"/>
    <s v="CEO of the Quarter Q1-FY25"/>
  </r>
  <r>
    <x v="60"/>
    <n v="7637"/>
    <s v="Saket Veer"/>
    <s v="Bhauso D. Chandgude - Saket Congratulations for Achieving ever Highest TSK Active Outlet, &amp; 100% achievement of target in the month of March. Awesome Show Keep It Up!"/>
    <x v="2"/>
    <s v="Manager - Trade Sales"/>
    <s v="Sales"/>
    <x v="3"/>
    <x v="1"/>
    <s v="CEO of the Quarter"/>
    <s v="CEO of the Quarter Q1-FY25"/>
  </r>
  <r>
    <x v="61"/>
    <n v="7642"/>
    <s v="Vaibhav Bhardwaj"/>
    <s v="Vaibhav has done very commendable job in urgent testing of TV app Ver. 6.0.3-1340. He responded proactively to each request and provided all his support required to test this build. His proactive approach for taking ownership of his responsibilities sets a remarkable example for all to follow. Thank you for all your support and contribution provided to test team. Well done and keep it up !"/>
    <x v="0"/>
    <s v="Senior Systems Engineer"/>
    <s v="Technology"/>
    <x v="1"/>
    <x v="1"/>
    <s v="CEO of the Quarter"/>
    <s v="CEO of the Quarter Q1-FY25"/>
  </r>
  <r>
    <x v="62"/>
    <n v="7667"/>
    <s v="Janarthanan Thangavelu"/>
    <s v="Velu C &amp; Yakkanti Hari Srinivasa Reddy - I wanted to express my sincere appreciation for the incredible support you and your team have provided in sharing the data for Sony RIO and the price hike changes. Your teams coordination and alignment with the CABER activities. The dedication, precision, and collaborative effort from your team have been pivotal in ensuring everything was executed flawlessly. Please convey our gratitude to the entire team. Your teams support has been crucial, and I\\u2019m looking forward to our continued success together.   \n\nAppreciate Jana for ensuing BI data delivery during weekends by way of collaborating with all resources to help in Sony price update deployments. Excellent job."/>
    <x v="2"/>
    <s v="Senior Manager - IT Delivery"/>
    <s v="IT"/>
    <x v="0"/>
    <x v="2"/>
    <s v="CEO of the Quarter"/>
    <s v="CEO of the Quarter Q2-FY 25"/>
  </r>
  <r>
    <x v="63"/>
    <n v="7756"/>
    <s v="Mayur Wadulkar"/>
    <s v="Rohit Mishra - As part of a major packaging change activity, scheduled to go live on 1st Aug'24, we were supposed to configure 64 new LDP packs (acquisition, renewal and winback). Mayur is the point-man from GTM team for the activity, and he not only actively collaborated with Subscriber Marketing, RA and IT teams to meet timelines, but also took ownership of the activity by highlighting missing inputs in the packs, before they moved up to IT and UAT teams. Thank you for your proactive and consistent support, Mayur!\nAs part of Project Profitability, a major initiative to improve profitability of customers being acquired, we were required to replace or close all LDP acquisition packs with payback &gt; 7 years. Mayur, along with Sheeja, from GTM team led the configuration of the 23 new packs (with higher price) and closure of the older packs (with lower price), took complete ownership of the process and helped launch these products within a week of the request being raised. Thanks Mayur!"/>
    <x v="2"/>
    <s v="Manager - Subscriber Analytics"/>
    <s v="Commercial"/>
    <x v="0"/>
    <x v="2"/>
    <s v="CEO of the Quarter"/>
    <s v="CEO of the Quarter Q2-FY 25"/>
  </r>
  <r>
    <x v="64"/>
    <n v="5522"/>
    <s v="Pankajkumar Patel"/>
    <s v="Pankaj has taken a superb initiative of Engaging Technicians and Freelance to counter the challenges during Monsoons.\nPankaj arranged Tehsil level engagement meetings with TSRA/Freelancers and technicians as part of readiness before monsoon.He also Kept FSD in loop so that they can help in FRs also in case of heavy rains and also forecasted material requirement well on time.\nAs a Result pankaj able to achieve Good Growth in Act and Infra.This shows if we take hurdle as an opportunity then Nothing is Impossible,\nWell done Pankaj!!"/>
    <x v="2"/>
    <s v="Senior Manager - Trade Sales"/>
    <s v="Sales"/>
    <x v="3"/>
    <x v="2"/>
    <s v="CEO of the Quarter"/>
    <s v="CEO of the Quarter Q2-FY 25"/>
  </r>
  <r>
    <x v="65"/>
    <n v="3063"/>
    <s v="Anujit Sur"/>
    <s v="Sarbojit Sarkar - Exemplary contribution for coordination for Installation of Tata Play connection in newly elected Chief minister Mr. Mohan Maji's residence, there were, any challenges but in spite of all the adds finally installation done very successfully. This act has been appreciated by CEO &amp; CSSO.\nWell done, keep it up."/>
    <x v="2"/>
    <s v="Senior Manager - Field Service Delivery"/>
    <s v="Field Service Delivery"/>
    <x v="4"/>
    <x v="2"/>
    <s v="CEO of the Quarter"/>
    <s v="CEO of the Quarter Q2-FY 25"/>
  </r>
  <r>
    <x v="66"/>
    <n v="7268"/>
    <s v="Dadakhalandar Sayyad"/>
    <s v="Mayank Kumar - Despite not being on the same team, Sayyad's collaboration and dedication have been instrumental in our success. Sayyad's proficiency in testing with us to test new features like: De-Link DTH Feature and New CRs, New Plans &amp; New OTT App integrations like: Apple TV, Amazon Prime Video, Discovery+, Distro TV, etc., particularly on the Binge+ Box platform, ensures the quality and robustness of our Binge+ Box. His ability to provide clear explanations of complex features demonstrates his commitment to excellence.\\u00A0\\u00A0\\u00A0\\n\\nFurthermore, Sayyad's consistent support and availability exemplify his strong teamwork and dedication to our collective goals. Keep going and keep up the great work! Sayyad and We look forward to many more achievements together in the future."/>
    <x v="0"/>
    <s v="Assistant Manager - New Product Development"/>
    <s v="Commercial"/>
    <x v="0"/>
    <x v="2"/>
    <s v="CEO of the Quarter"/>
    <s v="CEO of the Quarter Q2-FY 25"/>
  </r>
  <r>
    <x v="67"/>
    <n v="7291"/>
    <s v="Kaniz Sayed"/>
    <s v="Kaniz has been actively involved in IB LDP Pack penetration by increasing the campaigns at IB. When 5M campaign started at OB same was introduced at IB WBK and Mass desk. This was the first time LDP campaign was introduced for active customers which helped in pack penetration .Kaniz was instrumental in launching UPP at IB . \nOverall LDP Nos has shown positive improvement month on month Cross functional coordination was instrumental and key to success. Because of all these initiatives LDP penetration at IB has shown close to 2X improvement (from 4.85 in April has gone up to close to 10 % in August 2024)."/>
    <x v="2"/>
    <s v="Manager - Subscriber Marketing"/>
    <s v="Commercial"/>
    <x v="2"/>
    <x v="2"/>
    <s v="CEO of the Quarter"/>
    <s v="CEO of the Quarter Q2-FY 25"/>
  </r>
  <r>
    <x v="68"/>
    <n v="4518"/>
    <s v="Sreemaj A.G."/>
    <s v="Sreemaj has played an instrumental role in driving the LDP numbers in the Inbound win-back desk. \nLDP numbers from the desk have increased from 2750 in April to 5922 in July (115% increase)\nKey initiatives like leveraging WhatsApp for on call recharge and opening up the LDP pitch on Mass desk have helped increase the LDP uptake."/>
    <x v="1"/>
    <s v="Assistant General Manager - Inbound Operations"/>
    <s v="Customer Operations"/>
    <x v="0"/>
    <x v="2"/>
    <s v="CEO of the Quarter"/>
    <s v="CEO of the Quarter Q2-FY 25"/>
  </r>
  <r>
    <x v="69"/>
    <n v="1585"/>
    <s v="Vasumathy S."/>
    <s v="Sabita Chawla - Your meticulous attention to detail and quality of work have contributed to the success of our project deliveries, like Binge Delinking, Amazon Prime Integration, Pause and Resume, 149 and 199 Packs. Your ability to understand the flows and identify issues and provide insightful feedback is invaluable. Thank you for your hard work and commitment."/>
    <x v="2"/>
    <s v="Manager - Systems Solutions &amp; Design - COSSG"/>
    <s v="Customer Operations"/>
    <x v="0"/>
    <x v="2"/>
    <s v="CEO of the Quarter"/>
    <s v="CEO of the Quarter Q2-FY 25"/>
  </r>
  <r>
    <x v="70"/>
    <n v="7292"/>
    <s v="Sachin Bhati"/>
    <s v="Pradeep Kumar - Appreciating Sachin your efforts in deployment of IVY HD Formal build on Live platform as this has been a limited duration project with challenges (new MediaTek chipset 5711 &amp; low-cost STB) to validate E2E functionality of IVY STB. You identified many blocker bugs on loader testing like loader SATCR issue, loader voltage issues, SWDL issue etc, however same loader were passed by Synamedia and many issues (60 bugs) on MRS like skip channel, front end issue etc , same have been fixed before launched the product in market. As we are Committed in bringing a Valuable and error free product to the Tata play portfolio. Keep it up Sachin, your contributions are greatly appreciated."/>
    <x v="0"/>
    <s v="Assistant Manager - Test Systems"/>
    <s v="Technology"/>
    <x v="1"/>
    <x v="2"/>
    <s v="CEO of the Quarter"/>
    <s v="CEO of the Quarter Q2-FY 25"/>
  </r>
  <r>
    <x v="71"/>
    <n v="6837"/>
    <s v="Abdulsamad Bagwan"/>
    <s v="Ansari Ali - Samad Is working Very hard on the TSRA Field as well as Dealer Network. Samad had help out to clear the old ODU Stock lying with the TSRA. He also Help Out the Implement the Tata play Binge App Importance across the TSRA Network. By result of which we are able to install the Demo Binge Mobile pack at the Ratnagiri area. i am Expecting Such continued Support Towards the Company Goal by Working Together."/>
    <x v="0"/>
    <s v="Assistant Manager - Trade Sales"/>
    <s v="Sales"/>
    <x v="3"/>
    <x v="2"/>
    <s v="CEO of the Quarter"/>
    <s v="CEO of the Quarter Q2-FY 25"/>
  </r>
  <r>
    <x v="72"/>
    <n v="7046"/>
    <s v="Nandeetha Natarajan"/>
    <s v="Abhishek Jindal - This SPOT is to recognize the collaboration shown by Nandeetha to improve Netflix Gross Adds extraction. In an otherwise dull 2 months (Jun - Jul'24) with no notable releases on Netflix, Nandeetha displayed exceptional speed by quickly helping us execute on multiple first time digital experiments. These include intent based retargeting, behavior based micro-segmentation (eg. users watching Kids content, Dubbed Hollywood movies, dubbed South Movies, Anime content) and pitching content on the app as per their preference. Outcomes - We expect to close Jul'24 with one of the highest Netflix Gross Adds on TPMA when all other channels have faced challenges!"/>
    <x v="2"/>
    <s v="Senior Manager - Subscriber Marketing"/>
    <s v="Commercial"/>
    <x v="2"/>
    <x v="2"/>
    <s v="CEO of the Quarter"/>
    <s v="CEO of the Quarter Q2-FY 25"/>
  </r>
  <r>
    <x v="73"/>
    <n v="7208"/>
    <s v="Mayank Kumar"/>
    <s v="Ratan Kumar Vishwakarma - Mayank has done a commendable job of end-to-end integration testing for new partner app Amazon Prime Video on Binge Plus platform. He took full ownership of UAT readiness and tested end to subscription journey of Amazon Prime App on all available and new packs. He has played a pivotal role in go live of new APV App in production environment. He has exhibited anchor competencies like ownership and grow partnership which helped in meeting business timelines. We are happy to see that now Amazon Prime app is part of our Binge family and now Binge Plus customers can avail the same in the new attractive prices of 149, 199 &amp; 349 on Binge Plus along with other partner apps. Keep progressing and keep up the great work Mayank!"/>
    <x v="0"/>
    <s v="Test System Engineer"/>
    <s v="Technology"/>
    <x v="1"/>
    <x v="2"/>
    <s v="CEO of the Quarter"/>
    <s v="CEO of the Quarter Q2-FY 25"/>
  </r>
  <r>
    <x v="74"/>
    <n v="7452"/>
    <s v="Ajay Pathak"/>
    <s v="Rochelle R Rajguru - In the context of the Women's Asia Cup 2024, India vs Pakistan, we had challenges concerning creative assets with the broadcaster. However, Ajay emerged as an exceptional source of support and assistance. His collaboration was marked by a remarkable enthusiasm, and he adeptly resolved the issues at hand, leveraging his extensive experience. Ajay's tactful approach in addressing the situation with the broadcaster facilitated a swift resolution, enabling us to secure the creative assets from the partner within a mere 30 minutes. I would like to extend my heartfelt gratitude to Ajay for his invaluable contributions. Kudos to you B.\\n\\n\\n\\n\\n\\nContinue writing\\n\\n"/>
    <x v="2"/>
    <s v="Manager - Content"/>
    <s v="Content"/>
    <x v="2"/>
    <x v="2"/>
    <s v="CEO of the Quarter"/>
    <s v="CEO of the Quarter Q2-FY 25"/>
  </r>
  <r>
    <x v="75"/>
    <n v="4366"/>
    <s v="Deepjyoti Mohapatro"/>
    <s v="Vikas Soni - Hi Deepjyoti, thanks for your extended efforts and ownership while driving the Making customer smile contest for the IB partners. You have coordinated with all partners end to end and ensured continuous improvement in our ranking, and also coverage% of the contest. \nWith your help, we were able to successfully close the contest at 3rd rank out of 50+ Tata group companies with 10K+ stories this year.\nOur next target is to have a winning story in the next contest duration; let's gear up for the same!\nAgain, appreciation all the hard work you have put in. Thank you."/>
    <x v="2"/>
    <s v="Senior Manager - Inbound Quality"/>
    <s v="Customer Operations"/>
    <x v="0"/>
    <x v="2"/>
    <s v="CEO of the Quarter"/>
    <s v="CEO of the Quarter Q2-FY 25"/>
  </r>
  <r>
    <x v="76"/>
    <n v="2243"/>
    <s v="Manjunatha J.S."/>
    <s v="Hey Thanks Manju for the quick resolution of customer complaint. The subscriber was unable to view the services for past 1 week, as informed. Dont know what the issue was but reaching out to you for scheduling a call for quick resolution helped restore the services in no time. Also have received a thankful message from subscriber.. \nThanks once again for the quick support"/>
    <x v="1"/>
    <s v="Assistant General Manager - NVSD C.A.R.E"/>
    <s v="Customer Operations"/>
    <x v="0"/>
    <x v="2"/>
    <s v="CEO of the Quarter"/>
    <s v="CEO of the Quarter Q2-FY 25"/>
  </r>
  <r>
    <x v="77"/>
    <n v="767"/>
    <s v="Lalit Gawde"/>
    <s v="Lalit successfully carried out the Oracle HRMS patch process for the full set of HR processes. He coordinated with all Regional HR and Talent Acquisition team members to lead an exhaustive end-to-end process testing and issue mitigation. Carrying this testing out for 6 modules and 100% of HR processes ensured that the issues stemming from patch applications were both a. Significantly reduced from last 2 years; and b. Gave an early warning indication of potential problem areas to assist resolutions before migration to production environment. This exercise ensured that no HR team and no TataPlay employee faced any issues post patch. This also paved the way for a more streamlined and planned approach to Oracle\u2019s patch testing protocols, and assisted as a walkthrough session for processes for the HR team. Kudos to Lalit for coordinating with 20+ team members within a record 2 weeks and knock this exercise out the park!"/>
    <x v="1"/>
    <s v="Assistant General Manager Human Resources - West"/>
    <s v="Human Resources"/>
    <x v="2"/>
    <x v="2"/>
    <s v="CEO of the Quarter"/>
    <s v="CEO of the Quarter Q2-FY 25"/>
  </r>
  <r>
    <x v="78"/>
    <n v="7584"/>
    <s v="Ankita Pawar"/>
    <s v="Gurpreet Kaur - Ankita has very worked very collaboratively with all the teams for Superhit Serials launch &amp; has helped train a new partner for promotions. She was on her toes throughout, with great enthusiasm &amp; was very prompt in giving feedbacks, chasing all the internal &amp; external stakeholders and trying to close everything in time. This was her 1st launch &amp; she has aced it with grace. Thanks Ankita for all the support that was required with such a challenging partner. This gives us confidence to partner with new players in the market &amp; get them associated to Tata Play."/>
    <x v="2"/>
    <s v="Manager - Subscriber Marketing"/>
    <s v="Commercial"/>
    <x v="2"/>
    <x v="2"/>
    <s v="CEO of the Quarter"/>
    <s v="CEO of the Quarter Q2-FY 25"/>
  </r>
  <r>
    <x v="79"/>
    <n v="1907"/>
    <s v="Devinder Singh"/>
    <s v="Srinivasan Thiagarajan - &quot;Devender went out of the way to arrange transports for the pick of the high value materials from LRP which was very critical when we faced issue of vehicles due to issue of curbs in Delhi and also validating the stocks from received from the vendor for final closure promptly in time.\\n"/>
    <x v="1"/>
    <s v="General Manager - Supply Chain Services"/>
    <s v="Finance"/>
    <x v="1"/>
    <x v="2"/>
    <s v="CEO of the Quarter"/>
    <s v="CEO of the Quarter Q2-FY 25"/>
  </r>
  <r>
    <x v="80"/>
    <n v="1313"/>
    <s v="Lenin Suresh Raj"/>
    <s v="Vikas Soni - Lenin has been a Saviour for us whenever any urgent data or insight is required. Recent few projects like In-home, Care1k, Technical theme dashboards - these had multiple changes as per the leadership's ask; however, Lenin was able to accommodate these changes and deliver it.\\n\\nAlso appreciate his insight on Inhome process which will help in reducing the cost once implemented.\\n\\nThank you, Lenin."/>
    <x v="1"/>
    <s v="Assistant General Manager - Business Intelligence and Forecasting"/>
    <s v="Customer Operations"/>
    <x v="0"/>
    <x v="2"/>
    <s v="CEO of the Quarter"/>
    <s v="CEO of the Quarter Q2-FY 25"/>
  </r>
  <r>
    <x v="81"/>
    <n v="4013"/>
    <s v="Sheeja P.A."/>
    <s v="Rohit Mishra - As part of Project Profitability, a major initiative to improve profitability of customers being acquired, we were required to replace or close all LDP acquisition packs with payback &gt; 7 years. Sheeja, along with Mayur, from GTM team led the configuration of the 23 new packs (with higher price) and closure of the older packs (with lower price), took complete ownership of the process and helped launch these products within a week of the request being raised. Thanks for your quick support, Sheeja!"/>
    <x v="2"/>
    <s v="Senior Manager - New Product Development"/>
    <s v="Commercial"/>
    <x v="0"/>
    <x v="2"/>
    <s v="CEO of the Quarter"/>
    <s v="CEO of the Quarter Q2-FY 25"/>
  </r>
  <r>
    <x v="82"/>
    <n v="4416"/>
    <s v="Vivek Kumar Shukla"/>
    <s v="Vinod K.S. - HI Vivek we are so happy with you always, because you handled our Repair centers RF Signal network new set up installation /Other repair centers old\\u00A0RF Singal network maintenance both activity related challenges and assisted to us very effective way of collaborations and resolving the issue at hand was commendable. Without you, we couldn't complete or run our centers effectively Signal network on time. Our team is always grateful for your support. all the best and congratulation for great job."/>
    <x v="2"/>
    <s v="Senior Manager - Field Engineering"/>
    <s v="Technology"/>
    <x v="1"/>
    <x v="2"/>
    <s v="CEO of the Quarter"/>
    <s v="CEO of the Quarter Q2-FY 25"/>
  </r>
  <r>
    <x v="83"/>
    <n v="7804"/>
    <s v="Ashish Vig"/>
    <s v="Pradeepkumar Velayudhan - Thanks Ashish for creating a 4year story line on the overall financials and cost and drawing insights into specific actionable to be taken this year towards ensuring better EBITDA. The slides were self explanatory with details for each of the cost lines thereby reducing the effort involvedin explaining each comment / figs on the presentation. Well done."/>
    <x v="1"/>
    <s v="Assistant General Manager - Finance"/>
    <s v="Finance"/>
    <x v="2"/>
    <x v="2"/>
    <s v="CEO of the Quarter"/>
    <s v="CEO of the Quarter Q2-FY 25"/>
  </r>
  <r>
    <x v="84"/>
    <n v="7200"/>
    <s v="Ashma Bhateja"/>
    <s v="Paurav S Choubal - Ashma helped in analysing and classifying a huge list of payment error codes across various payment partners because of which we can now give personalized error messages and proper guidance to the subscribers on next steps when their payment fails."/>
    <x v="2"/>
    <s v="Manager - Subscriber Marketing"/>
    <s v="Commercial"/>
    <x v="2"/>
    <x v="2"/>
    <s v="CEO of the Quarter"/>
    <s v="CEO of the Quarter Q2-FY 25"/>
  </r>
  <r>
    <x v="85"/>
    <n v="7005"/>
    <s v="VIJAY WANKHEDE"/>
    <s v="Manoj Jadhav - Vijay is having very creative mind and always support trade Marketing team by giving unique themes for big days. having good leadership qualities and good hand on data. Thanks for your help at all the time."/>
    <x v="0"/>
    <s v="Assistant Manager - Trade Sales"/>
    <s v="Sales"/>
    <x v="3"/>
    <x v="2"/>
    <s v="CEO of the Quarter"/>
    <s v="CEO of the Quarter Q2-FY 25"/>
  </r>
  <r>
    <x v="86"/>
    <n v="7656"/>
    <s v="Sneha Mohan"/>
    <s v="Pranshul Gupta - This SPOT is to recognize the incredible work done by Sneha during the recent eventful months for TPMA. Her exceptional speed of execution ensured we had the most content viewing engagement. Sneha drove significant content viewing engagement with timely and relevant notifications, actively participating in strategic decisions on what to promote. Her efficiency in managing asset consumption costs, especially by minimizing rework for GEC promotions, has been invaluable. Thank you, and let's keep this momentum going for even greater success ahead. \\uD83C\\uDF89"/>
    <x v="2"/>
    <s v="Manager - Subscriber Communications"/>
    <s v="Digital Marketing"/>
    <x v="2"/>
    <x v="2"/>
    <s v="CEO of the Quarter"/>
    <s v="CEO of the Quarter Q2-FY 25"/>
  </r>
  <r>
    <x v="87"/>
    <n v="7528"/>
    <s v="Sirmad Hasan"/>
    <s v="Sirmad has been a team player and has put constant efforts to improve the processes between COFS teams. His solution-oriented approach and close coordination with CO/BE team is helping us out in improving various processes like In-home, ETA/IMA Grid, WO closure quality.\nHe takes ownership and arranges prompt support in need of hour - one recent example - when leadership decided to turn of the In-home call routing option in the late night, which Sirmad took as an opportunity and coordinated with the IT team to make it happen.\n\nAppreciate his dedication and support, thanks"/>
    <x v="2"/>
    <s v="Senior Manager - Process &amp; Quality"/>
    <s v="Field Service Delivery"/>
    <x v="1"/>
    <x v="2"/>
    <s v="CEO of the Quarter"/>
    <s v="CEO of the Quarter Q2-FY 25"/>
  </r>
  <r>
    <x v="88"/>
    <n v="7630"/>
    <s v="Vikasbhai Bhatt"/>
    <s v="Hi Vikas, I wanted to take a moment to express my sincere gratitude for your collaboration to drive business in vacant territory (Bhavnagar) in sales function as well. Your expertise and willingness to work and help our Sales Partner in any circumstances are really appreciable. \nYour dedication, insights and proactive approach were invaluable, and I genuinely appreciate all the efforts you put in to ensure we achieved our goals.\nThank you once again for your efforts and commitment."/>
    <x v="2"/>
    <s v="Manager - Field Service Delivery"/>
    <s v="Field Service Delivery"/>
    <x v="3"/>
    <x v="2"/>
    <s v="CEO of the Quarter"/>
    <s v="CEO of the Quarter Q2-FY 25"/>
  </r>
  <r>
    <x v="89"/>
    <n v="7420"/>
    <s v="Rajkumar Upadhyay"/>
    <s v="Hi Rajkumar, I wanted to take a moment to express my heartfelt appreciation for your outstanding work and dedication in achieving the new milestone of expanding our trade dealer network in the rural belt. Your efforts have not only broadened our market reach but have also opened up new opportunities for business growth and development. You have appointed 100 new dealers with EVD &amp; TSK stock in July'24. Also you have added 40+ Highway towns.\n\u00A0\nYour strategic approach and relentless pursuit of excellence have been truly inspiring. Your hard work is a testament to your commitment to our team's success, and it does not go unnoticed.\n\u00A0\nThank you for your remarkable contributions. Let's continue to aim high and achieve even greater milestones together!\n\u00A0\nBest regards,"/>
    <x v="2"/>
    <s v="Manager - Trade Sales"/>
    <s v="Sales"/>
    <x v="3"/>
    <x v="2"/>
    <s v="CEO of the Quarter"/>
    <s v="CEO of the Quarter Q2-FY 25"/>
  </r>
  <r>
    <x v="90"/>
    <n v="2220"/>
    <s v="Anshul Kapoor"/>
    <s v="Amit Trivedi &amp; Pratiksha Mainkar - I express my sincere gratitude to Anshul &amp; team, for Implementing the new EV transportation cab facility, new cabs are environment friendly, more comfortable, safe, and reliable. which has made a significant difference in shift person's commute. Thanks again for your commitment to improving the employee experience.\nThank you for the logistics support for campus recruits in Delhi!"/>
    <x v="1"/>
    <s v="Assistant General Manager - Facilities"/>
    <s v="Technology"/>
    <x v="1"/>
    <x v="2"/>
    <s v="CEO of the Quarter"/>
    <s v="CEO of the Quarter Q2-FY 25"/>
  </r>
  <r>
    <x v="91"/>
    <n v="7470"/>
    <s v="Suraj Prakash"/>
    <s v="Ratan Kumar Vishwakarma - Suraj has done commendable job in testing GSAT-24 satellite transponder listing update on Tata Play Binge Plus STB. Since we have already gone live with GSAT-24 satellite, this was very crucial to be tested and updated. This will help field service delivery team during Binge Plus installation, now they will have the option to validate signal level of all the major GSAT24 satellite TPs on STB itself and scan QR with correct transponder details. Keep going and keep up the great work!"/>
    <x v="0"/>
    <s v="Assistant Manager - Test System"/>
    <s v="Technology"/>
    <x v="1"/>
    <x v="2"/>
    <s v="CEO of the Quarter"/>
    <s v="CEO of the Quarter Q2-FY 25"/>
  </r>
  <r>
    <x v="92"/>
    <n v="6127"/>
    <s v="Chetan Dusane"/>
    <s v="Chetan planned a seamless Townhall exercise for the West region involving multiple internal &amp; external teams. The event involved multiple touchpoints, extensive collaboration while ensuring a seamless experience for employees attending the event. Chetan displayed high degree of planning, execution &amp; attention to detail ensuring a successful event for the organization despite space constraints within the venue."/>
    <x v="2"/>
    <s v="Senior Manager - Facilities"/>
    <s v="Facilities"/>
    <x v="2"/>
    <x v="2"/>
    <s v="CEO of the Quarter"/>
    <s v="CEO of the Quarter Q2-FY 25"/>
  </r>
  <r>
    <x v="93"/>
    <n v="1458"/>
    <s v="Monalisa Boruah"/>
    <s v="I want to express my gratitude for your dedication to outstanding performance and your assistance in reaching the goal of Optimizing Defective Stock (DSO) in Assam/NE, which has greatly contributed to this achievement. The DSO in Assam/NE was initially at 22 days in April 2024, but with your guidance and the support of your team, we managed to reduce it to at 11 days (a 50% reduction) by the end of the First Quarter of FY2024-25. This accomplishment wouldn't have been possible without your efforts and the backing of your team.\u00A0"/>
    <x v="1"/>
    <s v="Assistant General Manager - Field Service Delivery"/>
    <s v="Field Service Delivery"/>
    <x v="4"/>
    <x v="2"/>
    <s v="CEO of the Quarter"/>
    <s v="CEO of the Quarter Q2-FY 25"/>
  </r>
  <r>
    <x v="94"/>
    <n v="7208"/>
    <s v="Mayank Kumar"/>
    <s v="Dharaben Chauhan &amp; Rajesh R. Dayal (Technology) &amp; Ratan Kumar Vishwakarma (Technology)-I want to take a moment to appreciate Mayank for his help in setting up the STB. His support in whitelisting STB for D-Link DTH app, ensuring smooth installations, and mapping subscriber IDs for automation has been invaluable. His expertise and willingness to assist have made the process much smoother. I'm thankful for his support and look forward to more successful collaborations. Mayank did excellent work during the last few weeks and exhibited keenness in resolving problems consistently faced by team colleagues and found many critical bugs. He walked an extra mile to take the ownership of testing and collaborated well with many teams and worked for long hours &amp; over many weekends in test lab for end-to-end testing on UAT and production environment and tested different price pack change - old plan to new plan and shared test results timely."/>
    <x v="0"/>
    <s v="Test System Engineer"/>
    <s v="Technology"/>
    <x v="1"/>
    <x v="3"/>
    <s v="CEO of the Quarter"/>
    <s v="CEO of the Quarter Q3-FY24"/>
  </r>
  <r>
    <x v="95"/>
    <n v="6690"/>
    <s v="Anshul Nuwal"/>
    <s v="Amitanshu Shankar (Commercial) -After shutting down outbound channel for Netflix the idea was to grow through digital channels &amp; missed call route. Therefore, we introduced direct missed call to pack add journey. While gross numbers grew positively, we saw that Netflix registration &amp; app download for gross through this channel was a challenge as majority of missed calls were from DAS 4. Therefore, we immediately wanted to switch over to a journey where pack add require subscriber to chose the pack and confirm before pack gets activated and for that we needed a module to be configured where on missed call WA is pushed and subscriber should be able to activate the pack through WA journey. Kudos to his proactive action and support with resolving queries which helped turn this around within 4 days and helped business go live with a critical upselling process."/>
    <x v="2"/>
    <s v="Senior Manager - IT Architecture"/>
    <s v="IT"/>
    <x v="0"/>
    <x v="3"/>
    <s v="CEO of the Quarter"/>
    <s v="CEO of the Quarter Q3-FY24"/>
  </r>
  <r>
    <x v="96"/>
    <n v="4380"/>
    <s v="Viral Modi"/>
    <s v="Amitanshu Shankar (Commercial) -Next Best Action for Inbound centre got developed basis MLAI model to find the best suited genre and within that genre the relevant product for the subscriber. As the subscriber calls at the inbound centre agent can fetch products best recommended basis multiple variable within the model, which saves time on the call, avoid any bias that agent has towards a certain product and rely on intelligent AIML model, which will help with better customer satisfaction &amp; right product upsold to the subscribers which will have longer holding as well. Viral has been instrumental in getting it implemented at the backend by co-ordinating with IT, Cequity and business teams to get the right offer populated in the right manner as desired. It becomes complex at the backend with multiple verticals and multiple products. The process will get further streamlined with time and efforts from Viral is recognised and appreciated."/>
    <x v="2"/>
    <s v="Senior Manager - Subscriber Analytics"/>
    <s v="Commercial"/>
    <x v="2"/>
    <x v="3"/>
    <s v="CEO of the Quarter"/>
    <s v="CEO of the Quarter Q3-FY24"/>
  </r>
  <r>
    <x v="97"/>
    <n v="3899"/>
    <s v="Binu Samuel"/>
    <s v="Geetesh Fulari (Sales) -I wanted to express my heartfelt appreciation for the outstanding effort and dedication of your demonstrated during our recent project with a tight deadline. This was Case of one of the premium Hotel group in Goa Rio Resort Goa which has our more than 357 plus Connection in Goa we got a call from Hotel managementyesterdayevening for additional connection 28 as wanted to inaugurated this Block by today morningon short noticeand requesting us do at earliest as special case. I informed Binu as we must do this as an exceptional get this MDU and Project done within Night , Binu taken this Challenge and ownership he himself taken material and team in his personal Car ensure team works and completed The project at midnight at 2 am. Hotel has appreciated our speed of work and Execution. Thank you for your hard work and the spirit of ownership you displayed throughout this project."/>
    <x v="2"/>
    <s v="Senior Manager - Field Service Delivery"/>
    <s v="Field Service Delivery"/>
    <x v="3"/>
    <x v="3"/>
    <s v="CEO of the Quarter"/>
    <s v="CEO of the Quarter Q3-FY24"/>
  </r>
  <r>
    <x v="98"/>
    <n v="5735"/>
    <s v="Sandeep Singh"/>
    <s v="C. Sheik Mehaboob Basha (Technology) -Thanks Sandeep, for part of successful completion of LH Service migration in TAJ Hotels in Delhi. In short notice we reached you for visit at this TAJ properties without saying no, you joined with us &amp; a part of successful migration."/>
    <x v="0"/>
    <s v="Assistant Manager - Quality"/>
    <s v="Technology"/>
    <x v="1"/>
    <x v="3"/>
    <s v="CEO of the Quarter"/>
    <s v="CEO of the Quarter Q3-FY24"/>
  </r>
  <r>
    <x v="99"/>
    <n v="7495"/>
    <s v="Manender Singh Negi"/>
    <s v="Nandini . &amp; Pradeep Kumar (Technology) -Thank you, Manender, for your hard work in successful testing of new software upgrade builds, in a stringent timeline, needed for the older MDU installs -GSAT24 migration. Appreciate Manender for playing a critical role in identifying the crucial bugs like FTI issue &amp; false migration issue during the testing phase of the Navya Phase 2 G2.4 formal release. Same were missed from the Irdeto test team during their testing, but your effort in catching and addressing it is commendable."/>
    <x v="0"/>
    <s v="Senior Test System Engineer"/>
    <s v="Technology"/>
    <x v="1"/>
    <x v="3"/>
    <s v="CEO of the Quarter"/>
    <s v="CEO of the Quarter Q3-FY24"/>
  </r>
  <r>
    <x v="100"/>
    <n v="7434"/>
    <s v="Sunny Kumar"/>
    <s v="Nitish Singhal, Mrityunjoy Naskar, Rakesh Kumar &amp; Debindra Das (Technology) -Supported in network connectivity provision by laying the cable in critical area with complete safety and precautions. Work done is exemplary and very quick. Thanks. Thanks Sunny Kumar for quick support for Quattro test project. Thanks for in time completion. Thanks Sunny for supporting in identifying problem in one rack of Technical area. Sunny helped in fiber cable laying in critical area with all safety measurements."/>
    <x v="0"/>
    <s v="Assistant Manager - Facilities"/>
    <s v="Technology"/>
    <x v="1"/>
    <x v="3"/>
    <s v="CEO of the Quarter"/>
    <s v="CEO of the Quarter Q3-FY24"/>
  </r>
  <r>
    <x v="101"/>
    <n v="7394"/>
    <s v="Chandan Kumar Sharma"/>
    <s v="Pradeep Maurya (Sales) -Good Show Chandan the way you took challenge.to beat LY Diwali nos is quite amazing.Chandan being a Rural ASM knows the importance of TSRA.He plan micro level with all TSRAs and executed material movement well in advance so that before festivity this reaches to the last mile,He collaborated with FSD and Supply chain to get this done effectively.Hence finally he is able to almost 17oo Act and Nearly 5oo TSK Active which is a Great Achievement..Keep up the Good Work. Good all Rounder Performance Chandan..After Having Great Diwali chandan Ensure that he maintain the infra even in tough conditions..He worked at Microlevel and ensure that his dealer network participate in business even in slow momentum..This is Super workby Chandan."/>
    <x v="2"/>
    <s v="Senior Manager - Trade Sales"/>
    <s v="Sales"/>
    <x v="3"/>
    <x v="3"/>
    <s v="CEO of the Quarter"/>
    <s v="CEO of the Quarter Q3-FY24"/>
  </r>
  <r>
    <x v="102"/>
    <n v="7254"/>
    <s v="Ratan Kumar Vishwakarma"/>
    <s v="Nandini . &amp; Rajesh R. Dayal (Technology) -Thank you, Ratan, for your hard work in successful testing of Binge + software upgrade builds, in a stringent timeline, needed for the older MDU installs - GSAT24 migration. Ratan shown impressive sense of ownership of Apple TV journey sing-off with Apple Team. He has taken initiative to understand the all Binge+ test requirements and to simulate test scenarios of proposed new features and collaborated with team. He worked for long hours &amp; over many weekends for testing end-to-end ATV 11 firmware testing with 22KHz tone off, Pack change Binge+ and Pack price changes on UAT &amp; roll-out in production environment as well. Keep up the good work Ratan!"/>
    <x v="2"/>
    <s v="Manager - Test System"/>
    <s v="Technology"/>
    <x v="1"/>
    <x v="3"/>
    <s v="CEO of the Quarter"/>
    <s v="CEO of the Quarter Q3-FY24"/>
  </r>
  <r>
    <x v="103"/>
    <n v="7250"/>
    <s v="Prachodaya Das"/>
    <s v="Anitha Joy (Commercial) -Need to appreciate Prachodaya for quick collaboration and speed to go live of ten floaters along with the 1 alias services, in terms of required information like EPG No., genre and the schedules for the same with which has helped revenue teams to monetize the additional bandwidth of GSAT-24. Thank you."/>
    <x v="2"/>
    <s v="Manager - Subscriber Marketing"/>
    <s v="Commercial"/>
    <x v="2"/>
    <x v="3"/>
    <s v="CEO of the Quarter"/>
    <s v="CEO of the Quarter Q3-FY24"/>
  </r>
  <r>
    <x v="104"/>
    <n v="7237"/>
    <s v="Lakshya Lohumi"/>
    <s v="YashasviGupta (Commercial) -Lakshya has been driving daily content led campaigns for Binge mobile app on Clevertap with rigour and ownership. This entails sending notifications basis content go-live and even on weekends. She has played pivotal role in go-live of new payment gateway (PayU) for Binge mobile and has good grip and understanding of transaction journeys and dashboards which has been of great help in improving transaction success rates for the new PG. Kudos to the efforts and wishing her good luck to keep up the good work."/>
    <x v="3"/>
    <s v="Manager - Subscriber Marketing"/>
    <s v="Commercial"/>
    <x v="2"/>
    <x v="3"/>
    <s v="CEO of the Quarter"/>
    <s v="CEO of the Quarter Q3-FY24"/>
  </r>
  <r>
    <x v="105"/>
    <n v="7123"/>
    <s v="Kumar Gaurav"/>
    <s v="Vijay Chandel (Technology) -Gaurav took Ownership and modified Service Count report during Satellite Migration activity carried on GSAT24 and GSAT 1O services including addition of 15 Transponders. Which help us to keep track of services within Tata Play Platform."/>
    <x v="0"/>
    <s v="Assistant Manager - Broadcast operations"/>
    <s v="Technology"/>
    <x v="1"/>
    <x v="3"/>
    <s v="CEO of the Quarter"/>
    <s v="CEO of the Quarter Q3-FY24"/>
  </r>
  <r>
    <x v="106"/>
    <n v="2038"/>
    <s v="Kishore V. Reddy"/>
    <s v="Komal Sahu (Commercial) -GSAT-24 migration was a critical project from Customer retention PoV. We had many ODU &amp; MDU customers holding PVR,DS34T(SD on 96-97 series) and on SUPERLNB 1, that were affected due this migration and our objective was complete base retention. We immediately started working on building mService solution with Kishore. Within 1 week, we had mService solution ready, built BULKWOs and successive days FS team was at subscriber's door for box or LnB replacement. We started with 6k BulkWO with multiple teething issues at mService but Kishore was resolving with speed and agility to ensure FS team is duly supported and WO are closed with utmost customers satisfaction. We kept on adding more steps into this solution like giving credit for subs charged for service visits; again Kishore built a makeshift solution using the existing solution to maintain the execution pace. We would like to thank Kishore by giving this spot and supporting us in tight timelines."/>
    <x v="1"/>
    <s v="Assistant General Manager - IT Delivery"/>
    <s v="IT"/>
    <x v="0"/>
    <x v="3"/>
    <s v="CEO of the Quarter"/>
    <s v="CEO of the Quarter Q3-FY24"/>
  </r>
  <r>
    <x v="107"/>
    <n v="7722"/>
    <s v="Aryan Raj"/>
    <s v="Pradeep Maurya (Sales) -Well Done Aryan!!!This is the Great Start by Champ.Being a ET,Aryan learn the Rural Trade Very fast and the speed of Execution is amazing.He able to make impact by his people Management skills. He able to understand the needs and wants very well which help him to get the things going in a WIN WIN way.Being just 3 days old in current territory he able to achieve more than 11o% on most of the KPIs with highest Ever Act and TSK Active in Nov Month..KUDOS to you Aryan and Keep up the Good Work."/>
    <x v="0"/>
    <s v="Assistant Manager - Trade Sales"/>
    <s v="Sales"/>
    <x v="3"/>
    <x v="3"/>
    <s v="CEO of the Quarter"/>
    <s v="CEO of the Quarter Q3-FY24"/>
  </r>
  <r>
    <x v="108"/>
    <n v="4171"/>
    <s v="Mohd Irfan"/>
    <s v="C. Sheik Mehaboob Basha (Field Service Delivery) -Hi Irfan, Thanks for coordinating with TAJ properties SPOC person &amp; fixed appointments, arranged manpower &amp; visited site with Trainer &amp; Auditor for successful completion of LH services migration in TAJ properties in Delhi. LH services migration on TAJ properties completed within Time so that no channel issues in these premium sites post GSAT 24 migration."/>
    <x v="2"/>
    <s v="Senior Manager - Field Service Delivery"/>
    <s v="Field Service Delivery"/>
    <x v="1"/>
    <x v="3"/>
    <s v="CEO of the Quarter"/>
    <s v="CEO of the Quarter Q3-FY24"/>
  </r>
  <r>
    <x v="109"/>
    <n v="1404"/>
    <s v="Robin Thomas"/>
    <s v="Shayor Das (Field Service Delivery) -MDU related concepts are very technical. The knowledge of Backbone Design, different types of equipment and proper troubleshooting steps is very critical for Field Team. Apart from Theoretical knowledge, proper hands on practical training is also very important. But organizing classroom training is challenging because of logistics issue and involve cost also. Robin understood this challenge and designed an MDU Training Kit which is an actual working replica of MDU Backbone which has all the components and equipment and it can be connected with Tata Play live signal. Since this MDU Training Kit is a mobile unit so Trainer can carry it along with himself and can organize trainings @ ISP locations also. This Kit has both Single Trunk and 4 Trunk design and all type of real life simulations can be practiced on this kit. MDU Training Kit is the innovation done by Robin Thomas and now we have replicated this best practice in rest of the circles too."/>
    <x v="2"/>
    <s v="Senior Manager - Field Service Delivery Support"/>
    <s v="Field Service Delivery"/>
    <x v="1"/>
    <x v="3"/>
    <s v="CEO of the Quarter"/>
    <s v="CEO of the Quarter Q3-FY24"/>
  </r>
  <r>
    <x v="110"/>
    <n v="2651"/>
    <s v="Vineet Malik"/>
    <s v="Nandini . (Technology) -Appreciate taking ownership &amp; collaborating with internal &amp; external teams &amp; plan the upgrade effectively for new software in Binge+, enhancing the MDU robustness, required for GSAT24 migration. Thank you!"/>
    <x v="1"/>
    <s v="Assistant General Manager - Consumer Technology"/>
    <s v="Technology"/>
    <x v="1"/>
    <x v="3"/>
    <s v="CEO of the Quarter"/>
    <s v="CEO of the Quarter Q3-FY24"/>
  </r>
  <r>
    <x v="111"/>
    <n v="1585"/>
    <s v="Vasumathy S."/>
    <s v="YashasviGupta (Customer Operations) -Vasu has been working on Delinking UAT end to end. It is a super complex project with lot of scenarios and confusions and vasu has been bravely facing it all and doing the UAT. Kudos to her."/>
    <x v="2"/>
    <s v="Manager - Systems Solutions &amp; Design - COSSG"/>
    <s v="Customer Operations"/>
    <x v="0"/>
    <x v="3"/>
    <s v="CEO of the Quarter"/>
    <s v="CEO of the Quarter Q3-FY24"/>
  </r>
  <r>
    <x v="112"/>
    <n v="1377"/>
    <s v="B.P. Tharamani"/>
    <s v="Shrinidhi DC (Customer Operations) -Thara have taken the ownership in closing the Airtel MSA. She has coordinated with multiple teams like - IT, SSD, Legal, SCM and Vendor teams in diligently following up, tracking the clauses under discussion and bringing the stakeholders on several calls for closure."/>
    <x v="0"/>
    <s v="Assistant Manager - Vendor Management &amp; Outbound Billing Operations"/>
    <s v="Customer Operations"/>
    <x v="0"/>
    <x v="3"/>
    <s v="CEO of the Quarter"/>
    <s v="CEO of the Quarter Q3-FY24"/>
  </r>
  <r>
    <x v="113"/>
    <n v="2990"/>
    <s v="Anwar Ali"/>
    <s v="Nandini . (Technology) -Appreciate your good work in collaborating with internal &amp; external teams and Middleware partners for the new software upgrade for enhancing the MDU robustness, required for GSAT24 migration. The excel template you created to monitor the software upgrade was helpful, thank you &amp; keep it up!"/>
    <x v="2"/>
    <s v="Senior Manager - Consumer Technology"/>
    <s v="Technology"/>
    <x v="1"/>
    <x v="3"/>
    <s v="CEO of the Quarter"/>
    <s v="CEO of the Quarter Q3-FY24"/>
  </r>
  <r>
    <x v="114"/>
    <n v="5897"/>
    <s v="Anil Kumar N"/>
    <s v="Kishore V. Reddy (IT) -Thank you Anil for all your support in sorting the LDP Renewal flow on What's app which was delaying the project go live. Your commitment helped me fix the PDF issue &amp; support on UAT helped close it in a days time. Great to have you in IT team."/>
    <x v="1"/>
    <s v="General Manager - IT Architecture"/>
    <s v="IT"/>
    <x v="0"/>
    <x v="3"/>
    <s v="CEO of the Quarter"/>
    <s v="CEO of the Quarter Q3-FY24"/>
  </r>
  <r>
    <x v="115"/>
    <n v="3653"/>
    <s v="Geetesh Fulari"/>
    <s v="Pradeep Maurya (Sales) -Once a Champion Always a Champion and always stands for Team. Geetesh done 545 bulk in Dec and ensuring that no account go to competition.This is Commendable Ach and help in getting higher Market share.He also helps in getting more revenue by selling higher end packs to bulks and Ensure Annual Subscription...Kudos to You."/>
    <x v="2"/>
    <s v="Senior Manager - Direct Sales"/>
    <s v="Sales"/>
    <x v="3"/>
    <x v="3"/>
    <s v="CEO of the Quarter"/>
    <s v="CEO of the Quarter Q3-FY24"/>
  </r>
  <r>
    <x v="116"/>
    <n v="4036"/>
    <s v="Gautam Sah"/>
    <s v="Nitish Singhal (Technology) -Supported in network connectivity provision by laying the cable in critical area with complete safety and precautions. Work done is exemplary and very quick. Thanks."/>
    <x v="0"/>
    <s v="Senior Executive - Facilities"/>
    <s v="Technology"/>
    <x v="1"/>
    <x v="3"/>
    <s v="CEO of the Quarter"/>
    <s v="CEO of the Quarter Q3-FY24"/>
  </r>
  <r>
    <x v="117"/>
    <n v="6998"/>
    <s v="Nischaya Jain"/>
    <s v="Varun Jain (Finance) -Nischaya displayed great business acumen and collaboration with different teams to reach the desire output in Sony RIO working. There were several rounds of discussion and various complexities involved, but he handled all very efficiently."/>
    <x v="2"/>
    <s v="Senior Manager - Finance"/>
    <s v="Finance"/>
    <x v="2"/>
    <x v="3"/>
    <s v="CEO of the Quarter"/>
    <s v="CEO of the Quarter Q3-FY24"/>
  </r>
  <r>
    <x v="118"/>
    <n v="6890"/>
    <s v="Komal Sahu"/>
    <s v="YashasviGupta (Commercial) -While Komal got involved in the delinking project much later in the lifecycle of the projectshe picked up the strings super quick. Despite all the complexities that this project brings to the tableshe has been able to manoeuvre her way and make headways. She diligently participated in all cross functional calls (most of the calls being exhausting and difficult in nature) and effectively collaborated with all stakeholders to address business, IT, and tech concerns, ensuring the project covers all delivery requirements and also participated in proactive UAT for various scenarios for deactive base and shared valuable inputs. Look forward to working on many more cross functional projects with Komal."/>
    <x v="2"/>
    <s v="Senior Manager - Subscriber Marketing"/>
    <s v="Commercial"/>
    <x v="2"/>
    <x v="3"/>
    <s v="CEO of the Quarter"/>
    <s v="CEO of the Quarter Q3-FY24"/>
  </r>
  <r>
    <x v="119"/>
    <n v="6861"/>
    <s v="Pradip Hujare"/>
    <s v="Pradeep Maurya (Sales) -Good Show Pradip...The way you Experimented Binge in Deep Rural of Kokan is commendable.You shows that nothing is Impossible if we plan and Execute well..You Sold Binge Annual pack Consistently in DAS 4 Markets is really commendable job..Keep Going Champ."/>
    <x v="0"/>
    <s v="Assistant Manager - Trade Sales"/>
    <s v="Sales"/>
    <x v="3"/>
    <x v="3"/>
    <s v="CEO of the Quarter"/>
    <s v="CEO of the Quarter Q3-FY24"/>
  </r>
  <r>
    <x v="120"/>
    <n v="6804"/>
    <s v="Indrani Ghosh"/>
    <s v="Pranav Deshpande (Finance) -Indrani handled the Finance Outbound in an exceptional manner and made it a smooth and seamless experience for all of us. Considering the venue, the logistics involved, the schedule, etc, she ensured there were no hiccups and everyone had a lovely experience. Hence want to appreciate her for that."/>
    <x v="2"/>
    <s v="Senior Manager - Supply Chain Services"/>
    <s v="Finance"/>
    <x v="2"/>
    <x v="3"/>
    <s v="CEO of the Quarter"/>
    <s v="CEO of the Quarter Q3-FY24"/>
  </r>
  <r>
    <x v="121"/>
    <n v="6801"/>
    <s v="Rashmi Kashyap"/>
    <s v="Paras Deshpande (Finance) -Rashmi took the ownership of the Board deck for November Board meeting. Despite tight timelines and having to work on a weekend, she got the necessary data points from relevant stakeholders and put together the deck which played a crucial role in the Board meeting. Keep it up Rashmi!"/>
    <x v="2"/>
    <s v="Senior Manager - Financial Planning &amp; Analysis"/>
    <s v="Finance"/>
    <x v="2"/>
    <x v="3"/>
    <s v="CEO of the Quarter"/>
    <s v="CEO of the Quarter Q3-FY24"/>
  </r>
  <r>
    <x v="122"/>
    <n v="3265"/>
    <s v="Jaison Jacob P."/>
    <s v="Nitin Gupta (Technology) -Appreciate the efforts and ownership taken by Jaison for closing Technology offsite requirements which is for 18O people in 3 batches, which require lot of co-ordination with hotel, training and transport partners, thanks."/>
    <x v="1"/>
    <s v="General Manager - Supply Chain Services"/>
    <s v="Finance"/>
    <x v="2"/>
    <x v="3"/>
    <s v="CEO of the Quarter"/>
    <s v="CEO of the Quarter Q3-FY24"/>
  </r>
  <r>
    <x v="123"/>
    <n v="7320"/>
    <s v="Priya Agarwal"/>
    <s v="Rajesh R. Dayal (Technology) &amp; Ratan Kumar Vishwakarma (Technology) -Appreciate Priya for her effort &amp; contribution in testing new firmware of Binge+ not only throughout the weekdays but over the weekend as well. It was an urgent requirement to test a critical bug i.e when box wakeups after long hours of standby it showed black screen. She accepted this requirement and got ready to test with team over the weekend and prepared many test bed with different combinations of TV app &amp; firmware version wisely to get the root cause of this issue.Keep up the good work Priya. Priya has done commendable job in testing new feature of partner app launch on Binge Plus platform. Priya took full ownership of the testing and ensured no bugs are overlooked and left out before the go live. Apart from this, she has also tested change in Apple TV journey. Now user will have better experience of binging on Apple TV app on Binge+ platform."/>
    <x v="0"/>
    <s v="Assistant Manager - Test Systems"/>
    <s v="Technology"/>
    <x v="1"/>
    <x v="3"/>
    <s v="CEO of the Quarter"/>
    <s v="CEO of the Quarter Q3-FY24"/>
  </r>
  <r>
    <x v="124"/>
    <n v="7543"/>
    <s v="Eram ."/>
    <s v="Rahul Puri Eram has done an exceptional behind the scenes job in collaborating with the Infosec team for the change of Thread Intelligence tools. This tool identifies any misuse / misinformation regarding Tata Play on the internet. The previous tool had various limitations, however she worked closely with the vendors, did a detailed PoC, created the Technology evaluation document along with Infosec team. Now she is closely involved in the migration and handholding implementation of the new tool.   Eram is single handedly handling all the alerts coming from the system and ensuring action by the respective stakeholders, till closure. Each month she apply her expertise in the field, identifies the genuine alerts and actions. Her experience in this field and the last one year learning has helped us procure a better tool. She also ensure due priority and speed of action for closure. Keep up the bar and all success will be yours, Thank you Eram."/>
    <x v="0"/>
    <s v="Senior Executive - Finance"/>
    <s v="Finance"/>
    <x v="0"/>
    <x v="4"/>
    <s v="CEO of the Quarter"/>
    <s v="CEO of the Quarter Q3-FY25"/>
  </r>
  <r>
    <x v="125"/>
    <n v="2387"/>
    <s v="Prasad Maruti Nayak"/>
    <s v="Sheeja P.A. I would like to express my deep appreciation for Prasad's exceptional work on the Sony de-packaging activity. Despite its complexity and time-consuming nature, Prasad's outstanding coding expertise transformed a task that would have taken us hours into one completed in mere minutes. Additionally, he developed the channel-based blocking functionality in just half a day, addressing a high-priority need. His swift and effective solution was crucial in enabling us to block Sony channels on TPMA. Prasad's remarkable skills and dedication have been invaluable to our team."/>
    <x v="2"/>
    <s v="Senior Manager - New Product Development"/>
    <s v="Commercial"/>
    <x v="0"/>
    <x v="4"/>
    <s v="CEO of the Quarter"/>
    <s v="CEO of the Quarter Q3-FY25"/>
  </r>
  <r>
    <x v="126"/>
    <n v="4138"/>
    <s v="Ch.S.V.R. Kumar"/>
    <s v="Inderpreet Singh -In May ’24, we embarked on an ambitious initiative aimed at re-activating &amp; ringfencing customers from the deep deactive bucket during the high opportunity season. We targeted 5 million subscribers from deep deactive bucket with active days less than 240 in the past 12 months.Cross functional teams were involved in planning, developing infrastructure, hiring &amp; training of close to over 3000 resources, with outcome of more than 110K subs subscribers by the end of this activity, coming back with long term commitment(6/12 month). Surya played a very crucial role in streamlining the execution for implementing of Mega Winback initiative. Surya took the ownership right from beginning &amp; ensured that the execution of defined strategy happens across 12 locations &amp; 16 Centre's Pan India. Surya ’s contribution has been instrumental in the success and has demonstrated collaboration &amp; Speed throughout this initiative. His meticulous attention to detail has been commendable"/>
    <x v="1"/>
    <s v="General Manager - Outbound Operations"/>
    <s v="Customer Operations"/>
    <x v="0"/>
    <x v="4"/>
    <s v="CEO of the Quarter"/>
    <s v="CEO of the Quarter Q3-FY25"/>
  </r>
  <r>
    <x v="127"/>
    <n v="6808"/>
    <s v="Gurpreet Kaur"/>
    <s v="Arpit Mutha Gurpreet has gone an extra mile to do primary market research and understand the potential of a Haryanvi service in the state of Haryana. She took the ownership and completed the market research by drawing meaningful and actionable insights. She even sacrificed a holiday and went on to interview subscribers in-person to complete the research on time. Inspires through her ownership, commitment and passion."/>
    <x v="2"/>
    <s v="Senior Manager - New Product Development"/>
    <s v="Commercial"/>
    <x v="2"/>
    <x v="4"/>
    <s v="CEO of the Quarter"/>
    <s v="CEO of the Quarter Q3-FY25"/>
  </r>
  <r>
    <x v="128"/>
    <n v="7799"/>
    <s v="Aparna Choraria"/>
    <s v="Aparna has done an exceptional job securing contracts with global partners like Amazon Prime and Apple Tv+, ensuring timely launch on Binge. She is driven and been highly supportive /flexible, diligent and consistently delivered win win solutions to finalize the agreements on schedule. Thanka Aparna once again.. Appreciate your efforts. "/>
    <x v="1"/>
    <s v="General Manager - Legal"/>
    <s v="Legal"/>
    <x v="2"/>
    <x v="4"/>
    <s v="CEO of the Quarter"/>
    <s v="CEO of the Quarter Q3-FY25"/>
  </r>
  <r>
    <x v="129"/>
    <n v="4889"/>
    <s v="Dilip Kumar Singh"/>
    <s v="Fantastic job on securing Phillips Airfryer bulk ad booking for Ch 100, delivering over 35% of October revenue in one go! This is exactly the kind of ad sales deal that sets the tone for successful festive season. Your ability to drive the results is remarkable. Keep up the excellent work!"/>
    <x v="1"/>
    <s v="Assistant General Manager - B2B Revenue"/>
    <s v="B2B"/>
    <x v="1"/>
    <x v="4"/>
    <s v="CEO of the Quarter"/>
    <s v="CEO of the Quarter Q3-FY25"/>
  </r>
  <r>
    <x v="130"/>
    <n v="4937"/>
    <s v="Rabindra Kumar Harichandan"/>
    <s v="Velu C &amp; Mayur Wadulkar I wanted to extend my heartfelt thanks to each of you for your diligent work in testing all the PCF parts of the Sony RIO activities, Binge and all BAU PCF's and CR's . Your attention to detail and commitment to ensuring everything functions perfectly have been crucial to the success of this project. Your efforts have helped us move forward with confidence, knowing that we ’ve thoroughly tested every aspect. I truly appreciate the time and energy you ’ve dedicated to this task. Thank you for your hard work and continued support.    I would like to extend my heartfelt appreciation to Rabindra for his outstanding work in closing the highly critical and significant Sony RIO change-related PCFs within the allotted timeline, and impressively, ahead of schedule. His exceptional resilience and dedication were evident as he successfully closed 64 LDP packs with remarkable timeliness."/>
    <x v="0"/>
    <s v="Assistant Manager - Systems Solutions and Design - COSSG"/>
    <s v="Customer Operations"/>
    <x v="0"/>
    <x v="4"/>
    <s v="CEO of the Quarter"/>
    <s v="CEO of the Quarter Q3-FY25"/>
  </r>
  <r>
    <x v="131"/>
    <n v="1697"/>
    <s v="Shashikala K."/>
    <s v="Vikas Soni Hi Shashi, thanks for your extended efforts and ownership while driving the Making customer smile contest for the IB partners. You have coordinated with all partners end to end and ensured continuous improvement in our ranking, and also coverage% of the contest. With your help, we were able to successfully close the contest at 3rd rank out of 50+ Tata group companies with 10K+ stories this year. Our next target is to have a winning story in the next contest duration; let's gear up for the same! Again, appreciation all the hard work you have put in. Thank you."/>
    <x v="0"/>
    <s v="Assistant Manager - NVSD C.A.R.E"/>
    <s v="Customer Operations"/>
    <x v="0"/>
    <x v="4"/>
    <s v="CEO of the Quarter"/>
    <s v="CEO of the Quarter Q3-FY25"/>
  </r>
  <r>
    <x v="132"/>
    <n v="3993"/>
    <s v="Monish Chadha"/>
    <s v="Yashasvi Gupta &amp; Arpit Mutha Binge sales on OB have been a challenge over past couple of months. However last few months the OB nos for Binge have gone up significantly. Monish has ensured that all efforts are done to ensure that nos go up and has worked closely with the commercial team. Close monitoring / experiments have been done. The Binge nos from OB need to go up further from here on. Wish Monish good luck. Superb rally from under 2.7lac services gross adds to 3.3lac and 3.4 lac gross adds in consecutively in Sep and Oct24. Strong drive and collaboration with Services team was key to delivering desired results. Kudos and keep rocking!!"/>
    <x v="1"/>
    <s v="Assistant General Manager - Outbound Operations"/>
    <s v="Customer Operations"/>
    <x v="1"/>
    <x v="4"/>
    <s v="CEO of the Quarter"/>
    <s v="CEO of the Quarter Q3-FY25"/>
  </r>
  <r>
    <x v="133"/>
    <n v="7068"/>
    <s v="Nikhil Sinha"/>
    <s v="Anshuman . Nikhil Sinha have been Instrumental in shaping CEISP business in his Territory Month on Month. Have ensured 100% activation target in August &amp; September and clocking 335 Activation in August and 422 Activation in September which is highest in the Region among Trade and Non-Trade ASM. Even he has ensured 100% Target achievement in terms of Partner Appointment.   Looking forward to continuing the same momentum in CEISP vertical in the coming month, wishing him luck for the future!!!"/>
    <x v="2"/>
    <s v="Manager - Direct Sales"/>
    <s v="Sales"/>
    <x v="1"/>
    <x v="4"/>
    <s v="CEO of the Quarter"/>
    <s v="CEO of the Quarter Q3-FY25"/>
  </r>
  <r>
    <x v="134"/>
    <n v="3964"/>
    <s v="S Waseem Ulla"/>
    <s v="Anshul Nuwal Regarding redesign of framework of sending out the communication for Service Request's status updates, there was a requirement of converting a master table of more than 80k unique records to another table which will have only 3 to 4 k unique records as per new architecture. Waseem understood the new framework and requirement very quickly and returned with updated master table within a day with almost 0 discrepancies. Kudos to Waseem for showing this support which helped IT to finish the task quickly in timely manner."/>
    <x v="0"/>
    <s v="Assistant Manager - Systems Solutions &amp; Design - COSSG"/>
    <s v="Customer Operations"/>
    <x v="0"/>
    <x v="4"/>
    <s v="CEO of the Quarter"/>
    <s v="CEO of the Quarter Q3-FY25"/>
  </r>
  <r>
    <x v="135"/>
    <n v="2243"/>
    <s v="Manjunatha J.S."/>
    <s v="Paurav S Choubal Manju is extremely efficient and prompt. Many friends and family reach out to me for support wrt their Tata Play connection and when redirected to Manju, he ensures Tata Play provided prompt and correct support to them and I keep receiving positive feedback from everyone. This kind of service is what differentiates us in the market and makes us the leaders!"/>
    <x v="1"/>
    <s v="Assistant General Manager - NVSD C.A.R.E"/>
    <s v="Customer Operations"/>
    <x v="0"/>
    <x v="4"/>
    <s v="CEO of the Quarter"/>
    <s v="CEO of the Quarter Q3-FY25"/>
  </r>
  <r>
    <x v="136"/>
    <n v="7877"/>
    <s v="Manik Mittal"/>
    <s v="Atul Pawar Dear Manik    I appreciate your Dedication and partner end motivation activity wherein In Oct Month you taken Binge mobile conversion as Challenge to get you as West Region Top ASM.    In Oct Month you were 8% and Nov you finish to double 16% to remain  West Region Top 5 ASM    You taken Challenge as Ownership and made Delivery and keep same momentum "/>
    <x v="0"/>
    <s v="Executive Trainee"/>
    <s v="Sales"/>
    <x v="3"/>
    <x v="4"/>
    <s v="CEO of the Quarter"/>
    <s v="CEO of the Quarter Q3-FY25"/>
  </r>
  <r>
    <x v="137"/>
    <n v="1680"/>
    <s v="P. Gopal Rao"/>
    <s v="Atul Pawar Dear Gopal    I appreciate you taken as challenge yourself to take your Name in West region TOP ASM in BMP    In Sep Month you were 10% and Oct you finish  15 %  get you in West Region TOP ASM     You show very good SPEED to reach to desire % so keep it up such to get new activity  "/>
    <x v="2"/>
    <s v="Manager - Field Service Delivery"/>
    <s v="Field Service Delivery"/>
    <x v="3"/>
    <x v="4"/>
    <s v="CEO of the Quarter"/>
    <s v="CEO of the Quarter Q3-FY25"/>
  </r>
  <r>
    <x v="138"/>
    <n v="2747"/>
    <s v="Avinash Kesherwani"/>
    <s v="Pradeepkumar Velayudhan Thanks, Avinash, for driving the requirement on working capital and co-ordinating with sales in pushing EVD billing to channel partners. Your daily tracker helped Sales trace the momentum and accelerate their efforts in minimising the gap vs target. For the past 2months we have received good collections despite our APDs being the ever lowest in those 2 months. Keep the good work and look forward to addressing much more challenging tasks in future."/>
    <x v="1"/>
    <s v="General Manager - Finance"/>
    <s v="Finance"/>
    <x v="2"/>
    <x v="4"/>
    <s v="CEO of the Quarter"/>
    <s v="CEO of the Quarter Q3-FY25"/>
  </r>
  <r>
    <x v="139"/>
    <n v="7551"/>
    <s v="Pushpendra Singh"/>
    <s v="Prasanna Kumar Singh Pushpendra has not only delivered on his KPIs but also has participated in all the initiatives taken time to time. Pushpendra has almost secured his place in top 3 in region in Stocking Champion contest. He has been delivering achieving his new dealer appointment target even before this contest. He aligned his distributors to maximize EVD billing in last 3 days. His ownership and speed of delivery is appreciated."/>
    <x v="2"/>
    <s v="Senior Manager - Trade Sales"/>
    <s v="Sales"/>
    <x v="1"/>
    <x v="4"/>
    <s v="CEO of the Quarter"/>
    <s v="CEO of the Quarter Q3-FY25"/>
  </r>
  <r>
    <x v="140"/>
    <n v="6519"/>
    <s v="Rinkesh Pulekar"/>
    <s v="Lakshya Lohumi Rinkesh has been a key driver in programming of the largest acquisition channel for Binge. All the key titles were promoted swiftly and with speed on Ch100, even on weekends!!! He has always been understanding and ready to lend his support during crucial times for binge business. Onwards and upwards!!!"/>
    <x v="0"/>
    <s v="Assistant Manager - Ad Operations &amp; Scheduling"/>
    <s v="B2B"/>
    <x v="2"/>
    <x v="4"/>
    <s v="CEO of the Quarter"/>
    <s v="CEO of the Quarter Q3-FY25"/>
  </r>
  <r>
    <x v="141"/>
    <n v="6500"/>
    <s v="Gopal Dey"/>
    <s v="Chitiz Rai &amp; Rabindra Agarwal Great work on CEISP Big Day Gopal. Keep it up. Gopal has taken ownership of the business and delivered well in the key input parameters in the month of October. This is not done in a month alone, but this is a result of inputs like new outlet opening, CEISP engagement and KRO engagement over a period of time which has given him the outcome during this season time. Good job Gopal and keep up the good work in coming months too."/>
    <x v="2"/>
    <s v="Manager - Trade Sales"/>
    <s v="Sales"/>
    <x v="4"/>
    <x v="4"/>
    <s v="CEO of the Quarter"/>
    <s v="CEO of the Quarter Q3-FY25"/>
  </r>
  <r>
    <x v="142"/>
    <n v="7661"/>
    <s v="Wilson Dsouza"/>
    <s v="Dilip Kumar Singh Good effort in securing business of new client &quot;ABG- Indriya&quot; with a decent deal volume by combo deal structure of landing channel100 + S&amp;S for the month of Oct-Nov'24. Hence our overall new client revenue contribution weightage has also increased in Q3."/>
    <x v="2"/>
    <s v="Manager - B2B Revenue"/>
    <s v="B2B"/>
    <x v="2"/>
    <x v="4"/>
    <s v="CEO of the Quarter"/>
    <s v="CEO of the Quarter Q3-FY25"/>
  </r>
  <r>
    <x v="143"/>
    <n v="4010"/>
    <s v="Abhishek K R"/>
    <s v="Meghna Tiwari &amp; Rabiya Sidiqa Abhishek is a brilliant self-starter, he ensures the seamless functioning of our Binge app, consistently solving issues with initiative and precision.  His excellent people management skills foster collaboration across teams, contributing significantly to our success.   His dedication, leadership, and positive influence make him a true inspiration and an invaluable team member. Abhishek provided valuable assistance during the CMS/TA deployment process. I commend his efforts during the TA modifications, where he exhibited strong ownership skills. He played a crucial role in loading the updated schedules and banks into the system. I sincerely appreciate the time and energy he has devoted to this task and the successful completion of it. Thank you for your dedication and ongoing support."/>
    <x v="0"/>
    <s v="Assistant Manager - New Product Development"/>
    <s v="Commercial"/>
    <x v="0"/>
    <x v="4"/>
    <s v="CEO of the Quarter"/>
    <s v="CEO of the Quarter Q3-FY25"/>
  </r>
  <r>
    <x v="144"/>
    <n v="2695"/>
    <s v="Arup Maitra"/>
    <s v="Pradeepkumar Velayudhan Thanks, Arup, for co-ordinating with IT and FSD in setting up the process for payment to ISP on a daily basis. We haven't explored this in the past and so also reconciling the payment at the end of every month would have been a challenging task. Although the efforts ensured the process was set and payment could be made, we had to withdraw the option of daily payment at the last moment. Nonetheless, we could experience (part of UAT) a process which was done before."/>
    <x v="1"/>
    <s v="Assistant General Manager - FSD Audit &amp; Accounting"/>
    <s v="Finance"/>
    <x v="4"/>
    <x v="4"/>
    <s v="CEO of the Quarter"/>
    <s v="CEO of the Quarter Q3-FY25"/>
  </r>
  <r>
    <x v="145"/>
    <n v="7576"/>
    <s v="Radha Krishna Jha"/>
    <s v="Shivam Gaur, Masroor Jafar Siddiqui &amp; Sumit Bhatia Radha, You are always very supportive for productivity of Circle and you are always available to help which shows your dedication towards the business.  Very Well Done .....  Radha Have done good work and takes ownership of the work given to him beside his own domain also. He work on the things which are not in his KPI but supportive for Circle business. He calls top dealer for quality promoter for productivity. He helps promoter having difficulty in attandance and onboarding. He shares individual report like New dealer creation report with data whose billing or latlong capture is pending. He provides any help which we need if we are in market like detail of DSR wise activating ols et. Over all he is dedicated to circle business productivity.   Radha has always supporting in Data Points, Boosting My DSR to Achieve Bandhan Programme &amp; Bandhan Booster, he is just one call away for any help required me for Business Success."/>
    <x v="0"/>
    <s v="Assistant Manager - Trade Marketing"/>
    <s v="Sales"/>
    <x v="1"/>
    <x v="4"/>
    <s v="CEO of the Quarter"/>
    <s v="CEO of the Quarter Q3-FY25"/>
  </r>
  <r>
    <x v="146"/>
    <n v="7247"/>
    <s v="Pracheer Pranay"/>
    <s v="Pratiksha Mainkar Pracheer was able to quickly turn around the logistics for an important review in Delhi. He managed multiple stakeholders and constraints to make the review a success. There were no gaps in the planning process and the execution was smooth with all things going as per plan. He had meagre four days to make this happen, well done Pracheer! Keep up the good work."/>
    <x v="2"/>
    <s v="Manager - Human Resources"/>
    <s v="Human Resources"/>
    <x v="2"/>
    <x v="4"/>
    <s v="CEO of the Quarter"/>
    <s v="CEO of the Quarter Q3-FY25"/>
  </r>
  <r>
    <x v="147"/>
    <n v="5714"/>
    <s v="Usha Rani K"/>
    <s v="Divya Shenoy Usha went out of her way to help overcome the issues with regard to KBC live event on Sony Liv. The solution was discussed, tried and tested over two days before the event went Live. Usha worked odd hours ensure that the content is pulled in and made available for seamless subscriber experience."/>
    <x v="0"/>
    <s v="Assistant Manager - New Product Development"/>
    <s v="Commercial"/>
    <x v="0"/>
    <x v="4"/>
    <s v="CEO of the Quarter"/>
    <s v="CEO of the Quarter Q3-FY25"/>
  </r>
  <r>
    <x v="148"/>
    <n v="6585"/>
    <s v="Debopam Ghosh"/>
    <s v="Debopam has once again spearheaded 3k Dhamaka Ad campaign creatives deliverables on time and in full. The enthusiasm and drive shown has been much appreciated to ensure that campaign is LIVE as per the tight timelines with speed to execution. Coordination with the agency partners and sales team has been successfully demonstrated. Keep up the good work!"/>
    <x v="2"/>
    <s v="Senior Manager - Brand Marketing"/>
    <s v="Communications"/>
    <x v="2"/>
    <x v="4"/>
    <s v="CEO of the Quarter"/>
    <s v="CEO of the Quarter Q3-FY25"/>
  </r>
  <r>
    <x v="149"/>
    <n v="2734"/>
    <s v="Rafiq P."/>
    <s v="Velu C I wanted to take this opportunity to thank you for your continuous support in processing Sony RIO and managing the Price Hike changes. Your collaborative efforts and willingness to share insights have been crucial in ensuring our collective success and getting the job done right every time is something I truly value. your support has been invaluable, and we look forward to continuing our collaboration and achieving even greater things together. Appreciate all the efforts you have put in coordinating with teams and getting the data processed early hours of the day without impacting regular activities."/>
    <x v="2"/>
    <s v="Manager - IT Operations"/>
    <s v="IT"/>
    <x v="0"/>
    <x v="4"/>
    <s v="CEO of the Quarter"/>
    <s v="CEO of the Quarter Q3-FY25"/>
  </r>
  <r>
    <x v="150"/>
    <n v="4517"/>
    <s v="Md Ahmed"/>
    <s v="Vikas Soni Hi Ahmed, thanks for your extended efforts and ownership while driving the Making customer smile contest for the IB partners. You have coordinated with all partners end to end and ensured continuous improvement in our ranking, and also coverage% of the contest. With your help, we were able to successfully close the contest at 3rd rank out of 50+ Tata group companies with 10K+ stories this year. Our next target is to have a winning story in the next contest duration; let's gear up for the same! Again, appreciation all the hard work you have put in. Thank you."/>
    <x v="2"/>
    <s v="Senior Manager - Non Voice Service Delivery Operations"/>
    <s v="Customer Operations"/>
    <x v="0"/>
    <x v="4"/>
    <s v="CEO of the Quarter"/>
    <s v="CEO of the Quarter Q3-FY25"/>
  </r>
  <r>
    <x v="151"/>
    <n v="2292"/>
    <s v="Bhagavaldas P.K."/>
    <s v="Vikas Soni Hi Bhagaval Das, thanks for your extended efforts and ownership while driving the Making customer smile contest for the IB partners. You have coordinated with all partners end to end and ensured continuous improvement in our ranking, and also coverage% of the contest. With your help, we were able to successfully close the contest at 3rd rank out of 50+ Tata group companies with 10K+ stories this year. Our next target is to have a winning story in the next contest duration; let's gear up for the same! Again, appreciation all the hard work you have put in. Thank you."/>
    <x v="0"/>
    <s v="Assistant Manager - NVSD C.A.R.E"/>
    <s v="Customer Operations"/>
    <x v="0"/>
    <x v="4"/>
    <s v="CEO of the Quarter"/>
    <s v="CEO of the Quarter Q3-FY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5398B-8082-4E74-A0E5-2F0C941A4C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1">
    <pivotField dataField="1" showAll="0">
      <items count="1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showAll="0"/>
    <pivotField showAll="0"/>
    <pivotField showAll="0"/>
    <pivotField showAll="0">
      <items count="5">
        <item x="1"/>
        <item x="2"/>
        <item x="0"/>
        <item x="3"/>
        <item t="default"/>
      </items>
    </pivotField>
    <pivotField showAll="0"/>
    <pivotField showAll="0"/>
    <pivotField axis="axisRow" showAll="0">
      <items count="6">
        <item x="2"/>
        <item x="4"/>
        <item x="1"/>
        <item x="0"/>
        <item x="3"/>
        <item t="default"/>
      </items>
    </pivotField>
    <pivotField axis="axisCol" showAll="0">
      <items count="6">
        <item x="1"/>
        <item x="2"/>
        <item x="3"/>
        <item x="4"/>
        <item x="0"/>
        <item t="default"/>
      </items>
    </pivotField>
    <pivotField showAll="0"/>
    <pivotField showAll="0"/>
  </pivotFields>
  <rowFields count="1">
    <field x="7"/>
  </rowFields>
  <rowItems count="6">
    <i>
      <x/>
    </i>
    <i>
      <x v="1"/>
    </i>
    <i>
      <x v="2"/>
    </i>
    <i>
      <x v="3"/>
    </i>
    <i>
      <x v="4"/>
    </i>
    <i t="grand">
      <x/>
    </i>
  </rowItems>
  <colFields count="1">
    <field x="8"/>
  </colFields>
  <colItems count="6">
    <i>
      <x/>
    </i>
    <i>
      <x v="1"/>
    </i>
    <i>
      <x v="2"/>
    </i>
    <i>
      <x v="3"/>
    </i>
    <i>
      <x v="4"/>
    </i>
    <i t="grand">
      <x/>
    </i>
  </colItems>
  <dataFields count="1">
    <dataField name="Count of Sl 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CB13-12F8-4A55-A39C-497407E5A148}">
  <dimension ref="A1:Q36"/>
  <sheetViews>
    <sheetView topLeftCell="A4" workbookViewId="0">
      <selection activeCell="C27" sqref="C27"/>
    </sheetView>
  </sheetViews>
  <sheetFormatPr defaultRowHeight="14.5" x14ac:dyDescent="0.35"/>
  <cols>
    <col min="1" max="1" width="16.453125" bestFit="1" customWidth="1"/>
    <col min="3" max="3" width="14.6328125" bestFit="1" customWidth="1"/>
    <col min="10" max="10" width="12.453125" bestFit="1" customWidth="1"/>
    <col min="11" max="11" width="11.6328125" customWidth="1"/>
  </cols>
  <sheetData>
    <row r="1" spans="1:17" x14ac:dyDescent="0.35">
      <c r="A1" s="40" t="s">
        <v>2034</v>
      </c>
      <c r="B1" s="40"/>
      <c r="C1" s="40"/>
      <c r="D1" s="40"/>
      <c r="E1" s="40"/>
      <c r="F1" s="40"/>
      <c r="G1" s="40"/>
      <c r="H1" s="44"/>
      <c r="J1" s="40" t="s">
        <v>584</v>
      </c>
      <c r="K1" s="40"/>
      <c r="L1" s="40"/>
      <c r="M1" s="40"/>
      <c r="N1" s="40"/>
      <c r="O1" s="40"/>
      <c r="P1" s="44"/>
      <c r="Q1" s="44"/>
    </row>
    <row r="3" spans="1:17" x14ac:dyDescent="0.35">
      <c r="A3" s="46" t="s">
        <v>2035</v>
      </c>
      <c r="B3" s="86" t="s">
        <v>2497</v>
      </c>
      <c r="C3" s="86" t="s">
        <v>2595</v>
      </c>
      <c r="D3" s="86" t="s">
        <v>2596</v>
      </c>
      <c r="E3" s="86" t="s">
        <v>2597</v>
      </c>
      <c r="F3" s="48" t="s">
        <v>2036</v>
      </c>
      <c r="J3" s="38" t="s">
        <v>2035</v>
      </c>
      <c r="K3" s="86" t="s">
        <v>2497</v>
      </c>
      <c r="L3" s="86" t="s">
        <v>2595</v>
      </c>
      <c r="M3" s="86" t="s">
        <v>2596</v>
      </c>
      <c r="N3" s="86" t="s">
        <v>2597</v>
      </c>
      <c r="O3" s="86" t="s">
        <v>2036</v>
      </c>
    </row>
    <row r="4" spans="1:17" x14ac:dyDescent="0.35">
      <c r="A4" s="46" t="s">
        <v>10</v>
      </c>
      <c r="B4" s="43">
        <f>COUNTIFS('CEO of the Qtr'!$H:$H,'Summary- FY 25-26'!$A$4,'CEO of the Qtr'!$I:$I,'Summary- FY 25-26'!B3)</f>
        <v>9</v>
      </c>
      <c r="C4" s="43">
        <f>COUNTIFS('CEO of the Qtr'!$H:$H,'Summary- FY 25-26'!$A$4,'CEO of the Qtr'!$I:$I,'Summary- FY 25-26'!C3)</f>
        <v>0</v>
      </c>
      <c r="D4" s="43">
        <f>COUNTIFS('CEO of the Qtr'!$H:$H,'Summary- FY 25-26'!$A$4,'CEO of the Qtr'!$I:$I,'Summary- FY 25-26'!D3)</f>
        <v>0</v>
      </c>
      <c r="E4" s="43">
        <f>COUNTIFS('CEO of the Qtr'!$H:$H,'Summary- FY 25-26'!$A$4,'CEO of the Qtr'!$I:$I,'Summary- FY 25-26'!E3)</f>
        <v>0</v>
      </c>
      <c r="F4" s="43">
        <f>SUM(B4:E4)</f>
        <v>9</v>
      </c>
      <c r="J4" s="39" t="s">
        <v>10</v>
      </c>
      <c r="K4" s="43">
        <f>COUNTIFS('Job Well Done'!$F:$F,K3,'Job Well Done'!$J:$J,$J$4)</f>
        <v>6</v>
      </c>
      <c r="L4" s="43">
        <f>COUNTIFS('Job Well Done'!$F:$F,L3,'Job Well Done'!$J:$J,$J$4)</f>
        <v>0</v>
      </c>
      <c r="M4" s="43">
        <f>COUNTIFS('Job Well Done'!$F:$F,M3,'Job Well Done'!$J:$J,$J$4)</f>
        <v>0</v>
      </c>
      <c r="N4" s="43">
        <f>COUNTIFS('Job Well Done'!$F:$F,N3,'Job Well Done'!$J:$J,$J$4)</f>
        <v>0</v>
      </c>
      <c r="O4" s="43">
        <f>SUM(K4:N4)</f>
        <v>6</v>
      </c>
    </row>
    <row r="5" spans="1:17" x14ac:dyDescent="0.35">
      <c r="A5" s="46" t="s">
        <v>74</v>
      </c>
      <c r="B5" s="43">
        <f>COUNTIFS('CEO of the Qtr'!$H:$H,'Summary- FY 25-26'!$A$5,'CEO of the Qtr'!$I:$I,'Summary- FY 25-26'!B3)</f>
        <v>0</v>
      </c>
      <c r="C5" s="43">
        <f>COUNTIFS('CEO of the Qtr'!$H:$H,'Summary- FY 25-26'!$A$5,'CEO of the Qtr'!$I:$I,'Summary- FY 25-26'!C3)</f>
        <v>0</v>
      </c>
      <c r="D5" s="43">
        <f>COUNTIFS('CEO of the Qtr'!$H:$H,'Summary- FY 25-26'!$A$5,'CEO of the Qtr'!$I:$I,'Summary- FY 25-26'!D3)</f>
        <v>0</v>
      </c>
      <c r="E5" s="43">
        <f>COUNTIFS('CEO of the Qtr'!$H:$H,'Summary- FY 25-26'!$A$5,'CEO of the Qtr'!$I:$I,'Summary- FY 25-26'!E3)</f>
        <v>0</v>
      </c>
      <c r="F5" s="43">
        <f t="shared" ref="F5:F9" si="0">SUM(B5:E5)</f>
        <v>0</v>
      </c>
      <c r="J5" s="39" t="s">
        <v>74</v>
      </c>
      <c r="K5" s="43">
        <f>COUNTIFS('Job Well Done'!$F:$F,K3,'Job Well Done'!$J:$J,$J$5)</f>
        <v>5</v>
      </c>
      <c r="L5" s="43">
        <f>COUNTIFS('Job Well Done'!$F:$F,L3,'Job Well Done'!$J:$J,$J$5)</f>
        <v>0</v>
      </c>
      <c r="M5" s="43">
        <f>COUNTIFS('Job Well Done'!$F:$F,M3,'Job Well Done'!$J:$J,$J$5)</f>
        <v>0</v>
      </c>
      <c r="N5" s="43">
        <f>COUNTIFS('Job Well Done'!$F:$F,N3,'Job Well Done'!$J:$J,$J$5)</f>
        <v>0</v>
      </c>
      <c r="O5" s="43">
        <f t="shared" ref="O5:O9" si="1">SUM(K5:N5)</f>
        <v>5</v>
      </c>
    </row>
    <row r="6" spans="1:17" x14ac:dyDescent="0.35">
      <c r="A6" s="46" t="s">
        <v>251</v>
      </c>
      <c r="B6" s="43">
        <f>COUNTIFS('CEO of the Qtr'!$H:$H,'Summary- FY 25-26'!$A$6,'CEO of the Qtr'!$I:$I,'Summary- FY 25-26'!B3)</f>
        <v>0</v>
      </c>
      <c r="C6" s="43">
        <f>COUNTIFS('CEO of the Qtr'!$H:$H,'Summary- FY 25-26'!$A$6,'CEO of the Qtr'!$I:$I,'Summary- FY 25-26'!C3)</f>
        <v>0</v>
      </c>
      <c r="D6" s="43">
        <f>COUNTIFS('CEO of the Qtr'!$H:$H,'Summary- FY 25-26'!$A$6,'CEO of the Qtr'!$I:$I,'Summary- FY 25-26'!D3)</f>
        <v>0</v>
      </c>
      <c r="E6" s="43">
        <f>COUNTIFS('CEO of the Qtr'!$H:$H,'Summary- FY 25-26'!$A$6,'CEO of the Qtr'!$I:$I,'Summary- FY 25-26'!E3)</f>
        <v>0</v>
      </c>
      <c r="F6" s="43">
        <f t="shared" si="0"/>
        <v>0</v>
      </c>
      <c r="J6" s="39" t="s">
        <v>251</v>
      </c>
      <c r="K6" s="43">
        <f>COUNTIFS('Job Well Done'!$F:$F,K3,'Job Well Done'!$J:$J,$J$6)</f>
        <v>2</v>
      </c>
      <c r="L6" s="43">
        <f>COUNTIFS('Job Well Done'!$F:$F,L3,'Job Well Done'!$J:$J,$J$6)</f>
        <v>0</v>
      </c>
      <c r="M6" s="43">
        <f>COUNTIFS('Job Well Done'!$F:$F,M3,'Job Well Done'!$J:$J,$J$6)</f>
        <v>0</v>
      </c>
      <c r="N6" s="43">
        <f>COUNTIFS('Job Well Done'!$F:$F,N3,'Job Well Done'!$J:$J,$J$6)</f>
        <v>0</v>
      </c>
      <c r="O6" s="43">
        <f t="shared" si="1"/>
        <v>2</v>
      </c>
    </row>
    <row r="7" spans="1:17" x14ac:dyDescent="0.35">
      <c r="A7" s="46" t="s">
        <v>32</v>
      </c>
      <c r="B7" s="43">
        <f>COUNTIFS('CEO of the Qtr'!$H:$H,'Summary- FY 25-26'!$A$7,'CEO of the Qtr'!$I:$I,'Summary- FY 25-26'!B3)</f>
        <v>4</v>
      </c>
      <c r="C7" s="43">
        <f>COUNTIFS('CEO of the Qtr'!$H:$H,'Summary- FY 25-26'!$A$7,'CEO of the Qtr'!$I:$I,'Summary- FY 25-26'!C3)</f>
        <v>0</v>
      </c>
      <c r="D7" s="43">
        <f>COUNTIFS('CEO of the Qtr'!$H:$H,'Summary- FY 25-26'!$A$7,'CEO of the Qtr'!$I:$I,'Summary- FY 25-26'!D3)</f>
        <v>0</v>
      </c>
      <c r="E7" s="43">
        <f>COUNTIFS('CEO of the Qtr'!$H:$H,'Summary- FY 25-26'!$A$7,'CEO of the Qtr'!$I:$I,'Summary- FY 25-26'!E3)</f>
        <v>0</v>
      </c>
      <c r="F7" s="43">
        <f t="shared" si="0"/>
        <v>4</v>
      </c>
      <c r="J7" s="39" t="s">
        <v>32</v>
      </c>
      <c r="K7" s="43">
        <f>COUNTIFS('Job Well Done'!$F:$F,K3,'Job Well Done'!$J:$J,$J$7)</f>
        <v>3</v>
      </c>
      <c r="L7" s="43">
        <f>COUNTIFS('Job Well Done'!$F:$F,L3,'Job Well Done'!$J:$J,$J$7)</f>
        <v>0</v>
      </c>
      <c r="M7" s="43">
        <f>COUNTIFS('Job Well Done'!$F:$F,M3,'Job Well Done'!$J:$J,$J$7)</f>
        <v>0</v>
      </c>
      <c r="N7" s="43">
        <f>COUNTIFS('Job Well Done'!$F:$F,N3,'Job Well Done'!$J:$J,$J$7)</f>
        <v>0</v>
      </c>
      <c r="O7" s="43">
        <f t="shared" si="1"/>
        <v>3</v>
      </c>
    </row>
    <row r="8" spans="1:17" x14ac:dyDescent="0.35">
      <c r="A8" s="46" t="s">
        <v>54</v>
      </c>
      <c r="B8" s="43">
        <f>COUNTIFS('CEO of the Qtr'!$H:$H,'Summary- FY 25-26'!$A$8,'CEO of the Qtr'!$I:$I,'Summary- FY 25-26'!B3)</f>
        <v>14</v>
      </c>
      <c r="C8" s="43">
        <f>COUNTIFS('CEO of the Qtr'!$H:$H,'Summary- FY 25-26'!$A$8,'CEO of the Qtr'!$I:$I,'Summary- FY 25-26'!C3)</f>
        <v>0</v>
      </c>
      <c r="D8" s="43">
        <f>COUNTIFS('CEO of the Qtr'!$H:$H,'Summary- FY 25-26'!$A$8,'CEO of the Qtr'!$I:$I,'Summary- FY 25-26'!D3)</f>
        <v>0</v>
      </c>
      <c r="E8" s="43">
        <f>COUNTIFS('CEO of the Qtr'!$H:$H,'Summary- FY 25-26'!$A$8,'CEO of the Qtr'!$I:$I,'Summary- FY 25-26'!E3)</f>
        <v>0</v>
      </c>
      <c r="F8" s="43">
        <f t="shared" si="0"/>
        <v>14</v>
      </c>
      <c r="J8" s="39" t="s">
        <v>54</v>
      </c>
      <c r="K8" s="43">
        <f>COUNTIFS('Job Well Done'!$F:$F,K3,'Job Well Done'!$J:$J,$J$8)</f>
        <v>5</v>
      </c>
      <c r="L8" s="43">
        <f>COUNTIFS('Job Well Done'!$F:$F,L3,'Job Well Done'!$J:$J,$J$8)</f>
        <v>0</v>
      </c>
      <c r="M8" s="43">
        <f>COUNTIFS('Job Well Done'!$F:$F,M3,'Job Well Done'!$J:$J,$J$8)</f>
        <v>0</v>
      </c>
      <c r="N8" s="43">
        <f>COUNTIFS('Job Well Done'!$F:$F,N3,'Job Well Done'!$J:$J,$J$8)</f>
        <v>0</v>
      </c>
      <c r="O8" s="43">
        <f t="shared" si="1"/>
        <v>5</v>
      </c>
    </row>
    <row r="9" spans="1:17" x14ac:dyDescent="0.35">
      <c r="A9" s="48" t="s">
        <v>2036</v>
      </c>
      <c r="B9" s="43">
        <f>SUM(B4:B8)</f>
        <v>27</v>
      </c>
      <c r="C9" s="43">
        <f t="shared" ref="C9:E9" si="2">SUM(C4:C8)</f>
        <v>0</v>
      </c>
      <c r="D9" s="43">
        <f t="shared" si="2"/>
        <v>0</v>
      </c>
      <c r="E9" s="43">
        <f t="shared" si="2"/>
        <v>0</v>
      </c>
      <c r="F9" s="43">
        <f t="shared" si="0"/>
        <v>27</v>
      </c>
      <c r="J9" s="39" t="s">
        <v>2036</v>
      </c>
      <c r="K9" s="43">
        <f>SUM(K4:K8)</f>
        <v>21</v>
      </c>
      <c r="L9" s="43">
        <f t="shared" ref="L9:N9" si="3">SUM(L4:L8)</f>
        <v>0</v>
      </c>
      <c r="M9" s="43">
        <f t="shared" si="3"/>
        <v>0</v>
      </c>
      <c r="N9" s="43">
        <f t="shared" si="3"/>
        <v>0</v>
      </c>
      <c r="O9" s="43">
        <f t="shared" si="1"/>
        <v>21</v>
      </c>
    </row>
    <row r="11" spans="1:17" x14ac:dyDescent="0.35">
      <c r="A11" s="40" t="s">
        <v>2037</v>
      </c>
      <c r="B11" s="40"/>
      <c r="C11" s="40"/>
      <c r="D11" s="40"/>
      <c r="E11" s="40"/>
      <c r="F11" s="40"/>
      <c r="G11" s="40"/>
      <c r="H11" s="44"/>
      <c r="J11" s="40" t="s">
        <v>2038</v>
      </c>
      <c r="K11" s="40"/>
      <c r="L11" s="40"/>
      <c r="M11" s="40"/>
      <c r="N11" s="40"/>
      <c r="O11" s="40"/>
      <c r="P11" s="44"/>
    </row>
    <row r="13" spans="1:17" x14ac:dyDescent="0.35">
      <c r="B13" s="89" t="s">
        <v>2600</v>
      </c>
      <c r="C13" s="89" t="s">
        <v>2600</v>
      </c>
      <c r="J13" s="86" t="s">
        <v>2497</v>
      </c>
      <c r="K13" s="86" t="s">
        <v>2595</v>
      </c>
      <c r="L13" s="86" t="s">
        <v>2596</v>
      </c>
      <c r="M13" s="86" t="s">
        <v>2597</v>
      </c>
      <c r="N13" s="48" t="s">
        <v>2036</v>
      </c>
    </row>
    <row r="14" spans="1:17" x14ac:dyDescent="0.35">
      <c r="A14" s="45" t="s">
        <v>2035</v>
      </c>
      <c r="B14" s="81" t="s">
        <v>1627</v>
      </c>
      <c r="C14" s="81" t="s">
        <v>1509</v>
      </c>
      <c r="J14" s="43">
        <v>2</v>
      </c>
      <c r="K14" s="43">
        <v>0</v>
      </c>
      <c r="L14" s="43">
        <v>0</v>
      </c>
      <c r="M14" s="43">
        <v>0</v>
      </c>
      <c r="N14" s="43">
        <f>SUM(J14:M14)</f>
        <v>2</v>
      </c>
    </row>
    <row r="15" spans="1:17" x14ac:dyDescent="0.35">
      <c r="A15" s="46" t="s">
        <v>10</v>
      </c>
      <c r="B15" s="47">
        <f>COUNTIFS('Spot &amp; Spot of the Month'!$I:$I,A15,'Spot &amp; Spot of the Month'!$F:$F,$B$14,'Spot &amp; Spot of the Month'!L:L,'Summary- FY 25-26'!$B$13)</f>
        <v>26</v>
      </c>
      <c r="C15" s="47">
        <f>COUNTIFS('Spot &amp; Spot of the Month'!$I:$I,A15,'Spot &amp; Spot of the Month'!$F:$F,$C$14,'Spot &amp; Spot of the Month'!L:L,'Summary- FY 25-26'!$C$13)</f>
        <v>28</v>
      </c>
    </row>
    <row r="16" spans="1:17" x14ac:dyDescent="0.35">
      <c r="A16" s="46" t="s">
        <v>74</v>
      </c>
      <c r="B16" s="47">
        <f>COUNTIFS('Spot &amp; Spot of the Month'!$I:$I,A16,'Spot &amp; Spot of the Month'!$F:$F,$B$14,'Spot &amp; Spot of the Month'!L:L,'Summary- FY 25-26'!$B$13)</f>
        <v>3</v>
      </c>
      <c r="C16" s="47">
        <f>COUNTIFS('Spot &amp; Spot of the Month'!$I:$I,A16,'Spot &amp; Spot of the Month'!$F:$F,$C$14,'Spot &amp; Spot of the Month'!L:L,'Summary- FY 25-26'!$C$13)</f>
        <v>2</v>
      </c>
    </row>
    <row r="17" spans="1:16" x14ac:dyDescent="0.35">
      <c r="A17" s="46" t="s">
        <v>251</v>
      </c>
      <c r="B17" s="47">
        <f>COUNTIFS('Spot &amp; Spot of the Month'!$I:$I,A17,'Spot &amp; Spot of the Month'!$F:$F,$B$14,'Spot &amp; Spot of the Month'!L:L,'Summary- FY 25-26'!$B$13)</f>
        <v>5</v>
      </c>
      <c r="C17" s="47">
        <f>COUNTIFS('Spot &amp; Spot of the Month'!$I:$I,A17,'Spot &amp; Spot of the Month'!$F:$F,$C$14,'Spot &amp; Spot of the Month'!L:L,'Summary- FY 25-26'!$C$13)</f>
        <v>9</v>
      </c>
    </row>
    <row r="18" spans="1:16" x14ac:dyDescent="0.35">
      <c r="A18" s="46" t="s">
        <v>32</v>
      </c>
      <c r="B18" s="47">
        <f>COUNTIFS('Spot &amp; Spot of the Month'!$I:$I,A18,'Spot &amp; Spot of the Month'!$F:$F,$B$14,'Spot &amp; Spot of the Month'!L:L,'Summary- FY 25-26'!$B$13)</f>
        <v>11</v>
      </c>
      <c r="C18" s="47">
        <f>COUNTIFS('Spot &amp; Spot of the Month'!$I:$I,A18,'Spot &amp; Spot of the Month'!$F:$F,$C$14,'Spot &amp; Spot of the Month'!L:L,'Summary- FY 25-26'!$C$13)</f>
        <v>13</v>
      </c>
    </row>
    <row r="19" spans="1:16" x14ac:dyDescent="0.35">
      <c r="A19" s="46" t="s">
        <v>54</v>
      </c>
      <c r="B19" s="47">
        <f>COUNTIFS('Spot &amp; Spot of the Month'!$I:$I,A19,'Spot &amp; Spot of the Month'!$F:$F,$B$14,'Spot &amp; Spot of the Month'!L:L,'Summary- FY 25-26'!$B$13)</f>
        <v>41</v>
      </c>
      <c r="C19" s="47">
        <f>COUNTIFS('Spot &amp; Spot of the Month'!$I:$I,A19,'Spot &amp; Spot of the Month'!$F:$F,$C$14,'Spot &amp; Spot of the Month'!L:L,'Summary- FY 25-26'!$C$13)</f>
        <v>42</v>
      </c>
    </row>
    <row r="20" spans="1:16" x14ac:dyDescent="0.35">
      <c r="B20" s="50"/>
      <c r="C20" s="50"/>
    </row>
    <row r="21" spans="1:16" x14ac:dyDescent="0.35">
      <c r="A21" s="40" t="s">
        <v>2040</v>
      </c>
      <c r="B21" s="40"/>
      <c r="C21" s="40"/>
      <c r="D21" s="40"/>
      <c r="E21" s="40"/>
      <c r="F21" s="40"/>
      <c r="G21" s="40"/>
      <c r="H21" s="44"/>
      <c r="J21" s="40" t="s">
        <v>2039</v>
      </c>
      <c r="K21" s="40"/>
      <c r="L21" s="40"/>
      <c r="M21" s="40"/>
      <c r="N21" s="40"/>
      <c r="O21" s="40"/>
      <c r="P21" s="44"/>
    </row>
    <row r="22" spans="1:16" x14ac:dyDescent="0.35">
      <c r="A22" s="45" t="s">
        <v>2035</v>
      </c>
      <c r="B22" s="86" t="s">
        <v>2497</v>
      </c>
      <c r="C22" s="86" t="s">
        <v>2595</v>
      </c>
      <c r="D22" s="86" t="s">
        <v>2596</v>
      </c>
      <c r="E22" s="86" t="s">
        <v>2597</v>
      </c>
      <c r="F22" s="46" t="s">
        <v>2036</v>
      </c>
    </row>
    <row r="23" spans="1:16" x14ac:dyDescent="0.35">
      <c r="A23" s="46" t="s">
        <v>10</v>
      </c>
      <c r="B23" s="47">
        <f>COUNTIFS('Debutant of the Qtr'!$F:$F,B22,'Debutant of the Qtr'!$J:$J,'Summary- FY 25-26'!$A$23)</f>
        <v>3</v>
      </c>
      <c r="C23" s="47">
        <f>COUNTIFS('Debutant of the Qtr'!$F:$F,C22,'Debutant of the Qtr'!$J:$J,'Summary- FY 25-26'!$A$23)</f>
        <v>0</v>
      </c>
      <c r="D23" s="47">
        <f>COUNTIFS('Debutant of the Qtr'!$F:$F,D22,'Debutant of the Qtr'!$J:$J,'Summary- FY 25-26'!$A$23)</f>
        <v>0</v>
      </c>
      <c r="E23" s="47">
        <f>COUNTIFS('Debutant of the Qtr'!$F:$F,E22,'Debutant of the Qtr'!$J:$J,'Summary- FY 25-26'!$A$23)</f>
        <v>0</v>
      </c>
      <c r="F23" s="47">
        <f>COUNTIFS('Debutant of the Qtr'!$F:$F,F22,'Debutant of the Qtr'!$J:$J,'Summary- FY 25-26'!$A$23)</f>
        <v>0</v>
      </c>
      <c r="J23" s="86" t="s">
        <v>2497</v>
      </c>
      <c r="K23" s="86" t="s">
        <v>2595</v>
      </c>
      <c r="L23" s="86" t="s">
        <v>2596</v>
      </c>
      <c r="M23" s="86" t="s">
        <v>2597</v>
      </c>
      <c r="N23" s="46" t="s">
        <v>2036</v>
      </c>
    </row>
    <row r="24" spans="1:16" x14ac:dyDescent="0.35">
      <c r="A24" s="46" t="s">
        <v>74</v>
      </c>
      <c r="B24" s="47">
        <f>COUNTIFS('Debutant of the Qtr'!$F:$F,B22,'Debutant of the Qtr'!$J:$J,'Summary- FY 25-26'!$A$24)</f>
        <v>0</v>
      </c>
      <c r="C24" s="47">
        <f>COUNTIFS('Debutant of the Qtr'!$F:$F,C22,'Debutant of the Qtr'!$J:$J,'Summary- FY 25-26'!$A$24)</f>
        <v>0</v>
      </c>
      <c r="D24" s="47">
        <f>COUNTIFS('Debutant of the Qtr'!$F:$F,D22,'Debutant of the Qtr'!$J:$J,'Summary- FY 25-26'!$A$24)</f>
        <v>0</v>
      </c>
      <c r="E24" s="47">
        <f>COUNTIFS('Debutant of the Qtr'!$F:$F,E22,'Debutant of the Qtr'!$J:$J,'Summary- FY 25-26'!$A$24)</f>
        <v>0</v>
      </c>
      <c r="F24" s="47">
        <f>COUNTIFS('Debutant of the Qtr'!$F:$F,F22,'Debutant of the Qtr'!$J:$J,'Summary- FY 25-26'!$A$24)</f>
        <v>0</v>
      </c>
      <c r="J24" s="43">
        <v>1</v>
      </c>
      <c r="K24" s="43">
        <f>COUNTIF(Sheet4!$G:$G,K23)</f>
        <v>0</v>
      </c>
      <c r="L24" s="43">
        <f>COUNTIF(Sheet4!$G:$G,L23)</f>
        <v>0</v>
      </c>
      <c r="M24" s="43">
        <f>COUNTIF(Sheet4!$G:$G,M23)</f>
        <v>0</v>
      </c>
      <c r="N24" s="43">
        <f>SUM(J24:M24)</f>
        <v>1</v>
      </c>
    </row>
    <row r="25" spans="1:16" x14ac:dyDescent="0.35">
      <c r="A25" s="46" t="s">
        <v>251</v>
      </c>
      <c r="B25" s="47">
        <f>COUNTIFS('Debutant of the Qtr'!$F:$F,B22,'Debutant of the Qtr'!$J:$J,'Summary- FY 25-26'!$A$25)</f>
        <v>0</v>
      </c>
      <c r="C25" s="47">
        <f>COUNTIFS('Debutant of the Qtr'!$F:$F,C22,'Debutant of the Qtr'!$J:$J,'Summary- FY 25-26'!$A$25)</f>
        <v>0</v>
      </c>
      <c r="D25" s="47">
        <f>COUNTIFS('Debutant of the Qtr'!$F:$F,D22,'Debutant of the Qtr'!$J:$J,'Summary- FY 25-26'!$A$25)</f>
        <v>0</v>
      </c>
      <c r="E25" s="47">
        <f>COUNTIFS('Debutant of the Qtr'!$F:$F,E22,'Debutant of the Qtr'!$J:$J,'Summary- FY 25-26'!$A$25)</f>
        <v>0</v>
      </c>
      <c r="F25" s="47">
        <f>COUNTIFS('Debutant of the Qtr'!$F:$F,F22,'Debutant of the Qtr'!$J:$J,'Summary- FY 25-26'!$A$25)</f>
        <v>0</v>
      </c>
    </row>
    <row r="26" spans="1:16" x14ac:dyDescent="0.35">
      <c r="A26" s="46" t="s">
        <v>32</v>
      </c>
      <c r="B26" s="47">
        <f>COUNTIFS('Debutant of the Qtr'!$F:$F,B22,'Debutant of the Qtr'!$J:$J,'Summary- FY 25-26'!$A$26)</f>
        <v>0</v>
      </c>
      <c r="C26" s="47">
        <f>COUNTIFS('Debutant of the Qtr'!$F:$F,C22,'Debutant of the Qtr'!$J:$J,'Summary- FY 25-26'!$A$26)</f>
        <v>0</v>
      </c>
      <c r="D26" s="47">
        <f>COUNTIFS('Debutant of the Qtr'!$F:$F,D22,'Debutant of the Qtr'!$J:$J,'Summary- FY 25-26'!$A$26)</f>
        <v>0</v>
      </c>
      <c r="E26" s="47">
        <f>COUNTIFS('Debutant of the Qtr'!$F:$F,E22,'Debutant of the Qtr'!$J:$J,'Summary- FY 25-26'!$A$26)</f>
        <v>0</v>
      </c>
      <c r="F26" s="47">
        <f>COUNTIFS('Debutant of the Qtr'!$F:$F,F22,'Debutant of the Qtr'!$J:$J,'Summary- FY 25-26'!$A$26)</f>
        <v>0</v>
      </c>
    </row>
    <row r="27" spans="1:16" x14ac:dyDescent="0.35">
      <c r="A27" s="46" t="s">
        <v>54</v>
      </c>
      <c r="B27" s="47">
        <f>COUNTIFS('Debutant of the Qtr'!$F:$F,B22,'Debutant of the Qtr'!$J:$J,'Summary- FY 25-26'!$A$27)</f>
        <v>0</v>
      </c>
      <c r="C27" s="47">
        <f>COUNTIFS('Debutant of the Qtr'!$F:$F,C22,'Debutant of the Qtr'!$J:$J,'Summary- FY 25-26'!$A$27)</f>
        <v>0</v>
      </c>
      <c r="D27" s="47">
        <f>COUNTIFS('Debutant of the Qtr'!$F:$F,D22,'Debutant of the Qtr'!$J:$J,'Summary- FY 25-26'!$A$27)</f>
        <v>0</v>
      </c>
      <c r="E27" s="47">
        <f>COUNTIFS('Debutant of the Qtr'!$F:$F,E22,'Debutant of the Qtr'!$J:$J,'Summary- FY 25-26'!$A$27)</f>
        <v>0</v>
      </c>
      <c r="F27" s="47">
        <f>COUNTIFS('Debutant of the Qtr'!$F:$F,F22,'Debutant of the Qtr'!$J:$J,'Summary- FY 25-26'!$A$27)</f>
        <v>0</v>
      </c>
    </row>
    <row r="30" spans="1:16" x14ac:dyDescent="0.35">
      <c r="A30" s="40"/>
      <c r="B30" s="40" t="s">
        <v>1654</v>
      </c>
      <c r="C30" s="40"/>
      <c r="D30" s="40"/>
      <c r="E30" s="40"/>
      <c r="F30" s="40"/>
      <c r="G30" s="40"/>
      <c r="H30" s="44"/>
      <c r="J30" s="49" t="s">
        <v>1546</v>
      </c>
      <c r="K30" s="49"/>
    </row>
    <row r="31" spans="1:16" x14ac:dyDescent="0.35">
      <c r="A31" s="45" t="s">
        <v>2035</v>
      </c>
      <c r="B31" s="39"/>
      <c r="C31" s="46" t="s">
        <v>2036</v>
      </c>
      <c r="J31" s="45" t="s">
        <v>2035</v>
      </c>
      <c r="K31" s="48" t="s">
        <v>2036</v>
      </c>
    </row>
    <row r="32" spans="1:16" x14ac:dyDescent="0.35">
      <c r="A32" s="46" t="s">
        <v>10</v>
      </c>
      <c r="B32" s="47"/>
      <c r="C32" s="47">
        <f>SUM(B32)</f>
        <v>0</v>
      </c>
      <c r="J32" s="46" t="s">
        <v>10</v>
      </c>
      <c r="K32">
        <f>COUNTIFS('Thank You'!$I:$I,'Summary- FY 25-26'!J32)</f>
        <v>19</v>
      </c>
    </row>
    <row r="33" spans="1:11" x14ac:dyDescent="0.35">
      <c r="A33" s="46" t="s">
        <v>54</v>
      </c>
      <c r="B33" s="47"/>
      <c r="C33" s="47">
        <f>SUM(B33)</f>
        <v>0</v>
      </c>
      <c r="J33" s="46" t="s">
        <v>74</v>
      </c>
      <c r="K33">
        <f>COUNTIFS('Thank You'!$I:$I,'Summary- FY 25-26'!J33)</f>
        <v>9</v>
      </c>
    </row>
    <row r="34" spans="1:11" x14ac:dyDescent="0.35">
      <c r="J34" s="46" t="s">
        <v>251</v>
      </c>
      <c r="K34">
        <f>COUNTIFS('Thank You'!$I:$I,'Summary- FY 25-26'!J34)</f>
        <v>9</v>
      </c>
    </row>
    <row r="35" spans="1:11" x14ac:dyDescent="0.35">
      <c r="J35" s="46" t="s">
        <v>32</v>
      </c>
      <c r="K35">
        <f>COUNTIFS('Thank You'!$I:$I,'Summary- FY 25-26'!J35)</f>
        <v>22</v>
      </c>
    </row>
    <row r="36" spans="1:11" x14ac:dyDescent="0.35">
      <c r="J36" s="46" t="s">
        <v>54</v>
      </c>
      <c r="K36">
        <f>COUNTIFS('Thank You'!$I:$I,'Summary- FY 25-26'!J36)</f>
        <v>47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D266-6A99-49A1-9C4B-101892F5D7A0}">
  <dimension ref="A1:Q36"/>
  <sheetViews>
    <sheetView topLeftCell="A10" workbookViewId="0">
      <selection activeCell="L14" sqref="L14:O14"/>
    </sheetView>
  </sheetViews>
  <sheetFormatPr defaultRowHeight="14.5" x14ac:dyDescent="0.35"/>
  <cols>
    <col min="1" max="1" width="16.453125" bestFit="1" customWidth="1"/>
    <col min="10" max="10" width="12.453125" bestFit="1" customWidth="1"/>
    <col min="11" max="11" width="11.6328125" customWidth="1"/>
  </cols>
  <sheetData>
    <row r="1" spans="1:17" x14ac:dyDescent="0.35">
      <c r="A1" s="40" t="s">
        <v>2034</v>
      </c>
      <c r="B1" s="40"/>
      <c r="C1" s="40"/>
      <c r="D1" s="40"/>
      <c r="E1" s="40"/>
      <c r="F1" s="40"/>
      <c r="G1" s="40"/>
      <c r="H1" s="44"/>
      <c r="J1" s="40" t="s">
        <v>584</v>
      </c>
      <c r="K1" s="40"/>
      <c r="L1" s="40"/>
      <c r="M1" s="40"/>
      <c r="N1" s="40"/>
      <c r="O1" s="40"/>
      <c r="P1" s="44"/>
      <c r="Q1" s="44"/>
    </row>
    <row r="3" spans="1:17" x14ac:dyDescent="0.35">
      <c r="A3" s="38" t="s">
        <v>2035</v>
      </c>
      <c r="B3" s="42" t="s">
        <v>1516</v>
      </c>
      <c r="C3" s="42" t="s">
        <v>107</v>
      </c>
      <c r="D3" s="42" t="s">
        <v>198</v>
      </c>
      <c r="E3" s="42" t="s">
        <v>252</v>
      </c>
      <c r="F3" s="42" t="s">
        <v>1727</v>
      </c>
      <c r="G3" s="42" t="s">
        <v>2046</v>
      </c>
      <c r="H3" s="41" t="s">
        <v>2036</v>
      </c>
      <c r="J3" s="38" t="s">
        <v>2035</v>
      </c>
      <c r="K3" s="39" t="s">
        <v>1516</v>
      </c>
      <c r="L3" s="39" t="s">
        <v>107</v>
      </c>
      <c r="M3" s="39" t="s">
        <v>198</v>
      </c>
      <c r="N3" s="39" t="s">
        <v>396</v>
      </c>
      <c r="O3" s="39" t="s">
        <v>1727</v>
      </c>
      <c r="P3" s="42" t="s">
        <v>2046</v>
      </c>
      <c r="Q3" s="41" t="s">
        <v>2036</v>
      </c>
    </row>
    <row r="4" spans="1:17" x14ac:dyDescent="0.35">
      <c r="A4" s="39" t="s">
        <v>10</v>
      </c>
      <c r="B4" s="43">
        <f>COUNTIFS('CEO of the Qtr'!$H:$H,'Summary- FY 24-25'!$A$4,'CEO of the Qtr'!$I:$I,'Summary- FY 24-25'!B3)</f>
        <v>8</v>
      </c>
      <c r="C4" s="43">
        <f>COUNTIFS('CEO of the Qtr'!$H:$H,'Summary- FY 24-25'!$A$4,'CEO of the Qtr'!$I:$I,'Summary- FY 24-25'!C3)</f>
        <v>8</v>
      </c>
      <c r="D4" s="43">
        <f>COUNTIFS('CEO of the Qtr'!$H:$H,'Summary- FY 24-25'!$A$4,'CEO of the Qtr'!$I:$I,'Summary- FY 24-25'!D3)</f>
        <v>7</v>
      </c>
      <c r="E4" s="43">
        <f>COUNTIFS('CEO of the Qtr'!$H:$H,'Summary- FY 24-25'!$A$4,'CEO of the Qtr'!$I:$I,'Summary- FY 24-25'!E3)</f>
        <v>9</v>
      </c>
      <c r="F4" s="43">
        <f>COUNTIFS('CEO of the Qtr'!$H:$H,'Summary- FY 24-25'!$A$4,'CEO of the Qtr'!$I:$I,'Summary- FY 24-25'!F3)</f>
        <v>7</v>
      </c>
      <c r="G4" s="43">
        <f>COUNTIFS('CEO of the Qtr'!$H:$H,'Summary- FY 24-25'!$A$4,'CEO of the Qtr'!$I:$I,'Summary- FY 24-25'!G3)</f>
        <v>12</v>
      </c>
      <c r="H4" s="43">
        <f>SUM(B4:F4)</f>
        <v>39</v>
      </c>
      <c r="J4" s="39" t="s">
        <v>10</v>
      </c>
      <c r="K4" s="43">
        <f>COUNTIFS('Job Well Done'!$F:$F,K3,'Job Well Done'!$J:$J,$J$4)</f>
        <v>3</v>
      </c>
      <c r="L4" s="43">
        <f>COUNTIFS('Job Well Done'!$F:$F,L3,'Job Well Done'!$J:$J,$J$4)</f>
        <v>14</v>
      </c>
      <c r="M4" s="43">
        <f>COUNTIFS('Job Well Done'!$F:$F,M3,'Job Well Done'!$J:$J,$J$4)</f>
        <v>5</v>
      </c>
      <c r="N4" s="43">
        <f>COUNTIFS('Job Well Done'!$F:$F,N3,'Job Well Done'!$J:$J,$J$4)</f>
        <v>7</v>
      </c>
      <c r="O4" s="43">
        <f>COUNTIFS('Job Well Done'!$F:$F,O3,'Job Well Done'!$J:$J,$J$4)</f>
        <v>5</v>
      </c>
      <c r="P4" s="43">
        <f>COUNTIFS('Job Well Done'!$F:$F,P3,'Job Well Done'!$J:$J,$J$4)</f>
        <v>10</v>
      </c>
      <c r="Q4" s="43">
        <f>SUM(K4:O4)</f>
        <v>34</v>
      </c>
    </row>
    <row r="5" spans="1:17" x14ac:dyDescent="0.35">
      <c r="A5" s="39" t="s">
        <v>74</v>
      </c>
      <c r="B5" s="43">
        <f>COUNTIFS('CEO of the Qtr'!$H:$H,'Summary- FY 24-25'!$A$5,'CEO of the Qtr'!$I:$I,'Summary- FY 24-25'!B3)</f>
        <v>5</v>
      </c>
      <c r="C5" s="43">
        <f>COUNTIFS('CEO of the Qtr'!$H:$H,'Summary- FY 24-25'!$A$5,'CEO of the Qtr'!$I:$I,'Summary- FY 24-25'!C3)</f>
        <v>3</v>
      </c>
      <c r="D5" s="43">
        <f>COUNTIFS('CEO of the Qtr'!$H:$H,'Summary- FY 24-25'!$A$5,'CEO of the Qtr'!$I:$I,'Summary- FY 24-25'!D3)</f>
        <v>10</v>
      </c>
      <c r="E5" s="43">
        <f>COUNTIFS('CEO of the Qtr'!$H:$H,'Summary- FY 24-25'!$A$5,'CEO of the Qtr'!$I:$I,'Summary- FY 24-25'!E3)</f>
        <v>5</v>
      </c>
      <c r="F5" s="43">
        <f>COUNTIFS('CEO of the Qtr'!$H:$H,'Summary- FY 24-25'!$A$5,'CEO of the Qtr'!$I:$I,'Summary- FY 24-25'!F3)</f>
        <v>2</v>
      </c>
      <c r="G5" s="43">
        <f>COUNTIFS('CEO of the Qtr'!$H:$H,'Summary- FY 24-25'!$A$5,'CEO of the Qtr'!$I:$I,'Summary- FY 24-25'!G3)</f>
        <v>4</v>
      </c>
      <c r="H5" s="43">
        <f t="shared" ref="H5:H8" si="0">SUM(B5:F5)</f>
        <v>25</v>
      </c>
      <c r="J5" s="39" t="s">
        <v>74</v>
      </c>
      <c r="K5" s="43">
        <f>COUNTIFS('Job Well Done'!$F:$F,K3,'Job Well Done'!$J:$J,$J$5)</f>
        <v>8</v>
      </c>
      <c r="L5" s="43">
        <f>COUNTIFS('Job Well Done'!$F:$F,L3,'Job Well Done'!$J:$J,$J$5)</f>
        <v>0</v>
      </c>
      <c r="M5" s="43">
        <f>COUNTIFS('Job Well Done'!$F:$F,M3,'Job Well Done'!$J:$J,$J$5)</f>
        <v>1</v>
      </c>
      <c r="N5" s="43">
        <f>COUNTIFS('Job Well Done'!$F:$F,N3,'Job Well Done'!$J:$J,$J$5)</f>
        <v>2</v>
      </c>
      <c r="O5" s="43">
        <f>COUNTIFS('Job Well Done'!$F:$F,O3,'Job Well Done'!$J:$J,$J$5)</f>
        <v>3</v>
      </c>
      <c r="P5" s="43">
        <f>COUNTIFS('Job Well Done'!$F:$F,P3,'Job Well Done'!$J:$J,$J$5)</f>
        <v>0</v>
      </c>
      <c r="Q5" s="43">
        <f>SUM(K5:O5)</f>
        <v>14</v>
      </c>
    </row>
    <row r="6" spans="1:17" x14ac:dyDescent="0.35">
      <c r="A6" s="39" t="s">
        <v>251</v>
      </c>
      <c r="B6" s="43">
        <f>COUNTIFS('CEO of the Qtr'!$H:$H,'Summary- FY 24-25'!$A$6,'CEO of the Qtr'!$I:$I,'Summary- FY 24-25'!B3)</f>
        <v>0</v>
      </c>
      <c r="C6" s="43">
        <f>COUNTIFS('CEO of the Qtr'!$H:$H,'Summary- FY 24-25'!$A$6,'CEO of the Qtr'!$I:$I,'Summary- FY 24-25'!C3)</f>
        <v>0</v>
      </c>
      <c r="D6" s="43">
        <f>COUNTIFS('CEO of the Qtr'!$H:$H,'Summary- FY 24-25'!$A$6,'CEO of the Qtr'!$I:$I,'Summary- FY 24-25'!D3)</f>
        <v>0</v>
      </c>
      <c r="E6" s="43">
        <f>COUNTIFS('CEO of the Qtr'!$H:$H,'Summary- FY 24-25'!$A$6,'CEO of the Qtr'!$I:$I,'Summary- FY 24-25'!E3)</f>
        <v>2</v>
      </c>
      <c r="F6" s="43">
        <f>COUNTIFS('CEO of the Qtr'!$H:$H,'Summary- FY 24-25'!$A$6,'CEO of the Qtr'!$I:$I,'Summary- FY 24-25'!F3)</f>
        <v>2</v>
      </c>
      <c r="G6" s="43">
        <f>COUNTIFS('CEO of the Qtr'!$H:$H,'Summary- FY 24-25'!$A$6,'CEO of the Qtr'!$I:$I,'Summary- FY 24-25'!G3)</f>
        <v>1</v>
      </c>
      <c r="H6" s="43">
        <f t="shared" si="0"/>
        <v>4</v>
      </c>
      <c r="J6" s="39" t="s">
        <v>251</v>
      </c>
      <c r="K6" s="43">
        <f>COUNTIFS('Job Well Done'!$F:$F,K3,'Job Well Done'!$J:$J,$J$6)</f>
        <v>1</v>
      </c>
      <c r="L6" s="43">
        <f>COUNTIFS('Job Well Done'!$F:$F,L3,'Job Well Done'!$J:$J,$J$6)</f>
        <v>0</v>
      </c>
      <c r="M6" s="43">
        <f>COUNTIFS('Job Well Done'!$F:$F,M3,'Job Well Done'!$J:$J,$J$6)</f>
        <v>0</v>
      </c>
      <c r="N6" s="43">
        <f>COUNTIFS('Job Well Done'!$F:$F,N3,'Job Well Done'!$J:$J,$J$6)</f>
        <v>0</v>
      </c>
      <c r="O6" s="43">
        <f>COUNTIFS('Job Well Done'!$F:$F,O3,'Job Well Done'!$J:$J,$J$6)</f>
        <v>0</v>
      </c>
      <c r="P6" s="43">
        <f>COUNTIFS('Job Well Done'!$F:$F,P3,'Job Well Done'!$J:$J,$J$6)</f>
        <v>0</v>
      </c>
      <c r="Q6" s="43">
        <f>SUM(K6:O6)</f>
        <v>1</v>
      </c>
    </row>
    <row r="7" spans="1:17" x14ac:dyDescent="0.35">
      <c r="A7" s="39" t="s">
        <v>32</v>
      </c>
      <c r="B7" s="43">
        <f>COUNTIFS('CEO of the Qtr'!$H:$H,'Summary- FY 24-25'!$A$7,'CEO of the Qtr'!$I:$I,'Summary- FY 24-25'!B3)</f>
        <v>12</v>
      </c>
      <c r="C7" s="43">
        <f>COUNTIFS('CEO of the Qtr'!$H:$H,'Summary- FY 24-25'!$A$7,'CEO of the Qtr'!$I:$I,'Summary- FY 24-25'!C3)</f>
        <v>8</v>
      </c>
      <c r="D7" s="43">
        <f>COUNTIFS('CEO of the Qtr'!$H:$H,'Summary- FY 24-25'!$A$7,'CEO of the Qtr'!$I:$I,'Summary- FY 24-25'!D3)</f>
        <v>4</v>
      </c>
      <c r="E7" s="43">
        <f>COUNTIFS('CEO of the Qtr'!$H:$H,'Summary- FY 24-25'!$A$7,'CEO of the Qtr'!$I:$I,'Summary- FY 24-25'!E3)</f>
        <v>7</v>
      </c>
      <c r="F7" s="43">
        <f>COUNTIFS('CEO of the Qtr'!$H:$H,'Summary- FY 24-25'!$A$7,'CEO of the Qtr'!$I:$I,'Summary- FY 24-25'!F3)</f>
        <v>5</v>
      </c>
      <c r="G7" s="43">
        <f>COUNTIFS('CEO of the Qtr'!$H:$H,'Summary- FY 24-25'!$A$7,'CEO of the Qtr'!$I:$I,'Summary- FY 24-25'!G3)</f>
        <v>9</v>
      </c>
      <c r="H7" s="43">
        <f t="shared" si="0"/>
        <v>36</v>
      </c>
      <c r="J7" s="39" t="s">
        <v>32</v>
      </c>
      <c r="K7" s="43">
        <f>COUNTIFS('Job Well Done'!$F:$F,K3,'Job Well Done'!$J:$J,$J$7)</f>
        <v>3</v>
      </c>
      <c r="L7" s="43">
        <f>COUNTIFS('Job Well Done'!$F:$F,L3,'Job Well Done'!$J:$J,$J$7)</f>
        <v>2</v>
      </c>
      <c r="M7" s="43">
        <f>COUNTIFS('Job Well Done'!$F:$F,M3,'Job Well Done'!$J:$J,$J$7)</f>
        <v>10</v>
      </c>
      <c r="N7" s="43">
        <f>COUNTIFS('Job Well Done'!$F:$F,N3,'Job Well Done'!$J:$J,$J$7)</f>
        <v>12</v>
      </c>
      <c r="O7" s="43">
        <f>COUNTIFS('Job Well Done'!$F:$F,O3,'Job Well Done'!$J:$J,$J$7)</f>
        <v>6</v>
      </c>
      <c r="P7" s="43">
        <f>COUNTIFS('Job Well Done'!$F:$F,P3,'Job Well Done'!$J:$J,$J$7)</f>
        <v>6</v>
      </c>
      <c r="Q7" s="43">
        <f>SUM(K7:O7)</f>
        <v>33</v>
      </c>
    </row>
    <row r="8" spans="1:17" x14ac:dyDescent="0.35">
      <c r="A8" s="39" t="s">
        <v>54</v>
      </c>
      <c r="B8" s="43">
        <f>COUNTIFS('CEO of the Qtr'!$H:$H,'Summary- FY 24-25'!$A$8,'CEO of the Qtr'!$I:$I,'Summary- FY 24-25'!B3)</f>
        <v>5</v>
      </c>
      <c r="C8" s="43">
        <f>COUNTIFS('CEO of the Qtr'!$H:$H,'Summary- FY 24-25'!$A$8,'CEO of the Qtr'!$I:$I,'Summary- FY 24-25'!C3)</f>
        <v>9</v>
      </c>
      <c r="D8" s="43">
        <f>COUNTIFS('CEO of the Qtr'!$H:$H,'Summary- FY 24-25'!$A$8,'CEO of the Qtr'!$I:$I,'Summary- FY 24-25'!D3)</f>
        <v>13</v>
      </c>
      <c r="E8" s="43">
        <f>COUNTIFS('CEO of the Qtr'!$H:$H,'Summary- FY 24-25'!$A$8,'CEO of the Qtr'!$I:$I,'Summary- FY 24-25'!E3)</f>
        <v>9</v>
      </c>
      <c r="F8" s="43">
        <f>COUNTIFS('CEO of the Qtr'!$H:$H,'Summary- FY 24-25'!$A$8,'CEO of the Qtr'!$I:$I,'Summary- FY 24-25'!F3)</f>
        <v>12</v>
      </c>
      <c r="G8" s="43">
        <f>COUNTIFS('CEO of the Qtr'!$H:$H,'Summary- FY 24-25'!$A$8,'CEO of the Qtr'!$I:$I,'Summary- FY 24-25'!G3)</f>
        <v>8</v>
      </c>
      <c r="H8" s="43">
        <f t="shared" si="0"/>
        <v>48</v>
      </c>
      <c r="J8" s="39" t="s">
        <v>54</v>
      </c>
      <c r="K8" s="43">
        <f>COUNTIFS('Job Well Done'!$F:$F,K3,'Job Well Done'!$J:$J,$J$8)</f>
        <v>4</v>
      </c>
      <c r="L8" s="43">
        <f>COUNTIFS('Job Well Done'!$F:$F,L3,'Job Well Done'!$J:$J,$J$8)</f>
        <v>9</v>
      </c>
      <c r="M8" s="43">
        <f>COUNTIFS('Job Well Done'!$F:$F,M3,'Job Well Done'!$J:$J,$J$8)</f>
        <v>6</v>
      </c>
      <c r="N8" s="43">
        <f>COUNTIFS('Job Well Done'!$F:$F,N3,'Job Well Done'!$J:$J,$J$8)</f>
        <v>3</v>
      </c>
      <c r="O8" s="43">
        <f>COUNTIFS('Job Well Done'!$F:$F,O3,'Job Well Done'!$J:$J,$J$8)</f>
        <v>9</v>
      </c>
      <c r="P8" s="43">
        <f>COUNTIFS('Job Well Done'!$F:$F,P3,'Job Well Done'!$J:$J,$J$8)</f>
        <v>7</v>
      </c>
      <c r="Q8" s="43">
        <f>SUM(K8:O8)</f>
        <v>31</v>
      </c>
    </row>
    <row r="9" spans="1:17" x14ac:dyDescent="0.35">
      <c r="A9" s="41" t="s">
        <v>2036</v>
      </c>
      <c r="B9" s="43">
        <f>SUM(B4:B8)</f>
        <v>30</v>
      </c>
      <c r="C9" s="43">
        <f t="shared" ref="C9:H9" si="1">SUM(C4:C8)</f>
        <v>28</v>
      </c>
      <c r="D9" s="43">
        <f t="shared" si="1"/>
        <v>34</v>
      </c>
      <c r="E9" s="43">
        <f t="shared" si="1"/>
        <v>32</v>
      </c>
      <c r="F9" s="43">
        <f t="shared" si="1"/>
        <v>28</v>
      </c>
      <c r="G9" s="43">
        <f t="shared" si="1"/>
        <v>34</v>
      </c>
      <c r="H9" s="43">
        <f t="shared" si="1"/>
        <v>152</v>
      </c>
      <c r="J9" s="41" t="s">
        <v>2036</v>
      </c>
      <c r="K9" s="43">
        <f>SUM(K4:K8)</f>
        <v>19</v>
      </c>
      <c r="L9" s="43">
        <f t="shared" ref="L9" si="2">SUM(L4:L8)</f>
        <v>25</v>
      </c>
      <c r="M9" s="43">
        <f t="shared" ref="M9" si="3">SUM(M4:M8)</f>
        <v>22</v>
      </c>
      <c r="N9" s="43">
        <f t="shared" ref="N9" si="4">SUM(N4:N8)</f>
        <v>24</v>
      </c>
      <c r="O9" s="43">
        <f t="shared" ref="O9" si="5">SUM(O4:O8)</f>
        <v>23</v>
      </c>
      <c r="P9" s="43">
        <f t="shared" ref="P9" si="6">SUM(P4:P8)</f>
        <v>23</v>
      </c>
      <c r="Q9" s="43">
        <f t="shared" ref="Q9" si="7">SUM(Q4:Q8)</f>
        <v>113</v>
      </c>
    </row>
    <row r="11" spans="1:17" x14ac:dyDescent="0.35">
      <c r="A11" s="40" t="s">
        <v>2037</v>
      </c>
      <c r="B11" s="40"/>
      <c r="C11" s="40"/>
      <c r="D11" s="40"/>
      <c r="E11" s="40"/>
      <c r="F11" s="40"/>
      <c r="G11" s="40"/>
      <c r="H11" s="44"/>
      <c r="J11" s="40" t="s">
        <v>2038</v>
      </c>
      <c r="K11" s="40"/>
      <c r="L11" s="40"/>
      <c r="M11" s="40"/>
      <c r="N11" s="40"/>
      <c r="O11" s="40"/>
      <c r="P11" s="44"/>
    </row>
    <row r="13" spans="1:17" x14ac:dyDescent="0.35">
      <c r="A13" s="45" t="s">
        <v>2035</v>
      </c>
      <c r="B13" s="46" t="s">
        <v>1510</v>
      </c>
      <c r="C13" s="46" t="s">
        <v>1509</v>
      </c>
      <c r="D13" s="46" t="s">
        <v>2036</v>
      </c>
      <c r="J13" s="46" t="s">
        <v>1685</v>
      </c>
      <c r="K13" s="46" t="s">
        <v>1617</v>
      </c>
      <c r="L13" s="46" t="s">
        <v>198</v>
      </c>
      <c r="M13" s="46" t="s">
        <v>252</v>
      </c>
      <c r="N13" s="46" t="s">
        <v>1782</v>
      </c>
      <c r="O13" s="46" t="s">
        <v>2085</v>
      </c>
      <c r="P13" s="48" t="s">
        <v>2036</v>
      </c>
    </row>
    <row r="14" spans="1:17" x14ac:dyDescent="0.35">
      <c r="A14" s="46" t="s">
        <v>10</v>
      </c>
      <c r="B14" s="47">
        <f>COUNTIFS('Spot &amp; Spot of the Month'!$I:$I,'Summary- FY 24-25'!A14,'Spot &amp; Spot of the Month'!$F:$F,$B$13)</f>
        <v>119</v>
      </c>
      <c r="C14" s="47">
        <f>COUNTIFS('Spot &amp; Spot of the Month'!$I:$I,'Summary- FY 24-25'!A14,'Spot &amp; Spot of the Month'!$F:$F,$C$13)</f>
        <v>120</v>
      </c>
      <c r="D14" s="47">
        <f>SUM(B14:C14)</f>
        <v>239</v>
      </c>
      <c r="J14" s="43">
        <f>COUNTIF(Sheet4!$B:$B,'Summary- FY 24-25'!J13)</f>
        <v>1</v>
      </c>
      <c r="K14" s="43">
        <f>COUNTIF(Sheet4!$B:$B,'Summary- FY 24-25'!K13)</f>
        <v>9</v>
      </c>
      <c r="L14" s="43">
        <f>COUNTIF(Sheet4!$B:$B,'Summary- FY 24-25'!L13)</f>
        <v>5</v>
      </c>
      <c r="M14" s="43">
        <f>COUNTIF(Sheet4!$B:$B,'Summary- FY 24-25'!M13)</f>
        <v>3</v>
      </c>
      <c r="N14" s="43">
        <f>COUNTIF(Sheet4!$B:$B,'Summary- FY 24-25'!N13)</f>
        <v>5</v>
      </c>
      <c r="O14" s="43">
        <v>2</v>
      </c>
      <c r="P14" s="43">
        <f>SUM(J14:O14)</f>
        <v>25</v>
      </c>
    </row>
    <row r="15" spans="1:17" x14ac:dyDescent="0.35">
      <c r="A15" s="46" t="s">
        <v>74</v>
      </c>
      <c r="B15" s="47">
        <f>COUNTIFS('Spot &amp; Spot of the Month'!$I:$I,'Summary- FY 24-25'!A15,'Spot &amp; Spot of the Month'!$F:$F,$B$13)</f>
        <v>69</v>
      </c>
      <c r="C15" s="47">
        <f>COUNTIFS('Spot &amp; Spot of the Month'!$I:$I,'Summary- FY 24-25'!A15,'Spot &amp; Spot of the Month'!$F:$F,$C$13)</f>
        <v>88</v>
      </c>
      <c r="D15" s="47">
        <f t="shared" ref="D15:D18" si="8">SUM(B15:C15)</f>
        <v>157</v>
      </c>
    </row>
    <row r="16" spans="1:17" x14ac:dyDescent="0.35">
      <c r="A16" s="46" t="s">
        <v>251</v>
      </c>
      <c r="B16" s="47">
        <f>COUNTIFS('Spot &amp; Spot of the Month'!$I:$I,'Summary- FY 24-25'!A16,'Spot &amp; Spot of the Month'!$F:$F,$B$13)</f>
        <v>46</v>
      </c>
      <c r="C16" s="47">
        <f>COUNTIFS('Spot &amp; Spot of the Month'!$I:$I,'Summary- FY 24-25'!A16,'Spot &amp; Spot of the Month'!$F:$F,$C$13)</f>
        <v>35</v>
      </c>
      <c r="D16" s="47">
        <f t="shared" si="8"/>
        <v>81</v>
      </c>
    </row>
    <row r="17" spans="1:16" x14ac:dyDescent="0.35">
      <c r="A17" s="46" t="s">
        <v>32</v>
      </c>
      <c r="B17" s="47">
        <f>COUNTIFS('Spot &amp; Spot of the Month'!$I:$I,'Summary- FY 24-25'!A17,'Spot &amp; Spot of the Month'!$F:$F,$B$13)</f>
        <v>150</v>
      </c>
      <c r="C17" s="47">
        <f>COUNTIFS('Spot &amp; Spot of the Month'!$I:$I,'Summary- FY 24-25'!A17,'Spot &amp; Spot of the Month'!$F:$F,$C$13)</f>
        <v>141</v>
      </c>
      <c r="D17" s="47">
        <f t="shared" si="8"/>
        <v>291</v>
      </c>
    </row>
    <row r="18" spans="1:16" x14ac:dyDescent="0.35">
      <c r="A18" s="46" t="s">
        <v>54</v>
      </c>
      <c r="B18" s="47">
        <f>COUNTIFS('Spot &amp; Spot of the Month'!$I:$I,'Summary- FY 24-25'!A18,'Spot &amp; Spot of the Month'!$F:$F,$B$13)</f>
        <v>212</v>
      </c>
      <c r="C18" s="47">
        <f>COUNTIFS('Spot &amp; Spot of the Month'!$I:$I,'Summary- FY 24-25'!A18,'Spot &amp; Spot of the Month'!$F:$F,$C$13)</f>
        <v>199</v>
      </c>
      <c r="D18" s="47">
        <f t="shared" si="8"/>
        <v>411</v>
      </c>
    </row>
    <row r="19" spans="1:16" x14ac:dyDescent="0.35">
      <c r="B19" s="47">
        <f>SUM(B14:B18)</f>
        <v>596</v>
      </c>
      <c r="C19" s="47">
        <f t="shared" ref="C19" si="9">SUM(C14:C18)</f>
        <v>583</v>
      </c>
    </row>
    <row r="20" spans="1:16" x14ac:dyDescent="0.35">
      <c r="B20" s="50"/>
      <c r="C20" s="50"/>
    </row>
    <row r="21" spans="1:16" x14ac:dyDescent="0.35">
      <c r="A21" s="40" t="s">
        <v>2040</v>
      </c>
      <c r="B21" s="40"/>
      <c r="C21" s="40"/>
      <c r="D21" s="40"/>
      <c r="E21" s="40"/>
      <c r="F21" s="40"/>
      <c r="G21" s="40"/>
      <c r="H21" s="44"/>
      <c r="J21" s="40" t="s">
        <v>2039</v>
      </c>
      <c r="K21" s="40"/>
      <c r="L21" s="40"/>
      <c r="M21" s="40"/>
      <c r="N21" s="40"/>
      <c r="O21" s="40"/>
      <c r="P21" s="44"/>
    </row>
    <row r="22" spans="1:16" x14ac:dyDescent="0.35">
      <c r="A22" s="45" t="s">
        <v>2035</v>
      </c>
      <c r="B22" s="39" t="s">
        <v>1516</v>
      </c>
      <c r="C22" s="39" t="s">
        <v>107</v>
      </c>
      <c r="D22" s="39" t="s">
        <v>198</v>
      </c>
      <c r="E22" s="39" t="s">
        <v>396</v>
      </c>
      <c r="F22" s="39" t="s">
        <v>1727</v>
      </c>
      <c r="G22" s="39" t="s">
        <v>2085</v>
      </c>
      <c r="H22" s="39" t="s">
        <v>2036</v>
      </c>
    </row>
    <row r="23" spans="1:16" x14ac:dyDescent="0.35">
      <c r="A23" s="46" t="s">
        <v>10</v>
      </c>
      <c r="B23" s="47">
        <f>COUNTIFS('Debutant of the Qtr'!$F:$F,B22,'Debutant of the Qtr'!$J:$J,'Summary- FY 24-25'!$A$23)</f>
        <v>0</v>
      </c>
      <c r="C23" s="47">
        <f>COUNTIFS('Debutant of the Qtr'!$F:$F,C22,'Debutant of the Qtr'!$J:$J,'Summary- FY 24-25'!$A$23)</f>
        <v>4</v>
      </c>
      <c r="D23" s="47">
        <f>COUNTIFS('Debutant of the Qtr'!$F:$F,D22,'Debutant of the Qtr'!$J:$J,'Summary- FY 24-25'!$A$23)</f>
        <v>4</v>
      </c>
      <c r="E23" s="47">
        <f>COUNTIFS('Debutant of the Qtr'!$F:$F,E22,'Debutant of the Qtr'!$J:$J,'Summary- FY 24-25'!$A$23)</f>
        <v>5</v>
      </c>
      <c r="F23" s="47">
        <f>COUNTIFS('Debutant of the Qtr'!$F:$F,F22,'Debutant of the Qtr'!$J:$J,'Summary- FY 24-25'!$A$23)</f>
        <v>1</v>
      </c>
      <c r="G23" s="47">
        <f>COUNTIFS('Debutant of the Qtr'!$F:$F,G22,'Debutant of the Qtr'!$J:$J,'Summary- FY 24-25'!$A$23)</f>
        <v>3</v>
      </c>
      <c r="H23" s="47">
        <f>SUM(B23:F23)</f>
        <v>14</v>
      </c>
      <c r="J23" s="46" t="s">
        <v>1685</v>
      </c>
      <c r="K23" s="46" t="s">
        <v>1616</v>
      </c>
      <c r="L23" s="46" t="s">
        <v>1615</v>
      </c>
      <c r="M23" s="46" t="s">
        <v>252</v>
      </c>
      <c r="N23" s="46" t="s">
        <v>1729</v>
      </c>
      <c r="O23" s="46" t="s">
        <v>2085</v>
      </c>
      <c r="P23" s="48" t="s">
        <v>2036</v>
      </c>
    </row>
    <row r="24" spans="1:16" x14ac:dyDescent="0.35">
      <c r="A24" s="46" t="s">
        <v>74</v>
      </c>
      <c r="B24" s="47">
        <f>COUNTIFS('Debutant of the Qtr'!$F:$F,B22,'Debutant of the Qtr'!$J:$J,'Summary- FY 24-25'!$A$24)</f>
        <v>0</v>
      </c>
      <c r="C24" s="47">
        <f>COUNTIFS('Debutant of the Qtr'!$F:$F,C22,'Debutant of the Qtr'!$J:$J,'Summary- FY 24-25'!$A$24)</f>
        <v>0</v>
      </c>
      <c r="D24" s="47">
        <f>COUNTIFS('Debutant of the Qtr'!$F:$F,D22,'Debutant of the Qtr'!$J:$J,'Summary- FY 24-25'!$A$24)</f>
        <v>2</v>
      </c>
      <c r="E24" s="47">
        <f>COUNTIFS('Debutant of the Qtr'!$F:$F,E22,'Debutant of the Qtr'!$J:$J,'Summary- FY 24-25'!$A$24)</f>
        <v>0</v>
      </c>
      <c r="F24" s="47">
        <f>COUNTIFS('Debutant of the Qtr'!$F:$F,F22,'Debutant of the Qtr'!$J:$J,'Summary- FY 24-25'!$A$24)</f>
        <v>1</v>
      </c>
      <c r="G24" s="47">
        <f>COUNTIFS('Debutant of the Qtr'!$F:$F,G22,'Debutant of the Qtr'!$J:$J,'Summary- FY 24-25'!$A$24)</f>
        <v>0</v>
      </c>
      <c r="H24" s="47">
        <f t="shared" ref="H24:H27" si="10">SUM(B24:F24)</f>
        <v>3</v>
      </c>
      <c r="J24" s="43">
        <f>COUNTIF(Sheet4!$G:$G,J23)</f>
        <v>0</v>
      </c>
      <c r="K24" s="43">
        <f>COUNTIF(Sheet4!$G:$G,K23)</f>
        <v>3</v>
      </c>
      <c r="L24" s="43">
        <f>COUNTIF(Sheet4!$G:$G,L23)</f>
        <v>4</v>
      </c>
      <c r="M24" s="43">
        <f>COUNTIF(Sheet4!$G:$G,M23)</f>
        <v>1</v>
      </c>
      <c r="N24" s="43">
        <f>COUNTIF(Sheet4!$G:$G,N23)</f>
        <v>1</v>
      </c>
      <c r="O24" s="43">
        <v>5</v>
      </c>
      <c r="P24" s="43">
        <f>SUM(J24:O24)</f>
        <v>14</v>
      </c>
    </row>
    <row r="25" spans="1:16" x14ac:dyDescent="0.35">
      <c r="A25" s="46" t="s">
        <v>251</v>
      </c>
      <c r="B25" s="47">
        <f>COUNTIFS('Debutant of the Qtr'!$F:$F,B22,'Debutant of the Qtr'!$J:$J,'Summary- FY 24-25'!$A$25)</f>
        <v>0</v>
      </c>
      <c r="C25" s="47">
        <f>COUNTIFS('Debutant of the Qtr'!$F:$F,C22,'Debutant of the Qtr'!$J:$J,'Summary- FY 24-25'!$A$25)</f>
        <v>0</v>
      </c>
      <c r="D25" s="47">
        <f>COUNTIFS('Debutant of the Qtr'!$F:$F,D22,'Debutant of the Qtr'!$J:$J,'Summary- FY 24-25'!$A$25)</f>
        <v>0</v>
      </c>
      <c r="E25" s="47">
        <f>COUNTIFS('Debutant of the Qtr'!$F:$F,E22,'Debutant of the Qtr'!$J:$J,'Summary- FY 24-25'!$A$25)</f>
        <v>0</v>
      </c>
      <c r="F25" s="47">
        <f>COUNTIFS('Debutant of the Qtr'!$F:$F,F22,'Debutant of the Qtr'!$J:$J,'Summary- FY 24-25'!$A$25)</f>
        <v>0</v>
      </c>
      <c r="G25" s="47">
        <f>COUNTIFS('Debutant of the Qtr'!$F:$F,G22,'Debutant of the Qtr'!$J:$J,'Summary- FY 24-25'!$A$25)</f>
        <v>0</v>
      </c>
      <c r="H25" s="47">
        <f t="shared" si="10"/>
        <v>0</v>
      </c>
    </row>
    <row r="26" spans="1:16" x14ac:dyDescent="0.35">
      <c r="A26" s="46" t="s">
        <v>32</v>
      </c>
      <c r="B26" s="47">
        <f>COUNTIFS('Debutant of the Qtr'!$F:$F,B22,'Debutant of the Qtr'!$J:$J,'Summary- FY 24-25'!$A$26)</f>
        <v>0</v>
      </c>
      <c r="C26" s="47">
        <f>COUNTIFS('Debutant of the Qtr'!$F:$F,C22,'Debutant of the Qtr'!$J:$J,'Summary- FY 24-25'!$A$26)</f>
        <v>0</v>
      </c>
      <c r="D26" s="47">
        <f>COUNTIFS('Debutant of the Qtr'!$F:$F,D22,'Debutant of the Qtr'!$J:$J,'Summary- FY 24-25'!$A$26)</f>
        <v>2</v>
      </c>
      <c r="E26" s="47">
        <f>COUNTIFS('Debutant of the Qtr'!$F:$F,E22,'Debutant of the Qtr'!$J:$J,'Summary- FY 24-25'!$A$26)</f>
        <v>1</v>
      </c>
      <c r="F26" s="47">
        <f>COUNTIFS('Debutant of the Qtr'!$F:$F,F22,'Debutant of the Qtr'!$J:$J,'Summary- FY 24-25'!$A$26)</f>
        <v>2</v>
      </c>
      <c r="G26" s="47">
        <f>COUNTIFS('Debutant of the Qtr'!$F:$F,G22,'Debutant of the Qtr'!$J:$J,'Summary- FY 24-25'!$A$26)</f>
        <v>1</v>
      </c>
      <c r="H26" s="47">
        <f t="shared" si="10"/>
        <v>5</v>
      </c>
    </row>
    <row r="27" spans="1:16" x14ac:dyDescent="0.35">
      <c r="A27" s="46" t="s">
        <v>54</v>
      </c>
      <c r="B27" s="47">
        <f>COUNTIFS('Debutant of the Qtr'!$F:$F,B22,'Debutant of the Qtr'!$J:$J,'Summary- FY 24-25'!$A$27)</f>
        <v>0</v>
      </c>
      <c r="C27" s="47">
        <f>COUNTIFS('Debutant of the Qtr'!$F:$F,C22,'Debutant of the Qtr'!$J:$J,'Summary- FY 24-25'!$A$27)</f>
        <v>0</v>
      </c>
      <c r="D27" s="47">
        <f>COUNTIFS('Debutant of the Qtr'!$F:$F,D22,'Debutant of the Qtr'!$J:$J,'Summary- FY 24-25'!$A$27)</f>
        <v>1</v>
      </c>
      <c r="E27" s="47">
        <f>COUNTIFS('Debutant of the Qtr'!$F:$F,E22,'Debutant of the Qtr'!$J:$J,'Summary- FY 24-25'!$A$27)</f>
        <v>0</v>
      </c>
      <c r="F27" s="47">
        <f>COUNTIFS('Debutant of the Qtr'!$F:$F,F22,'Debutant of the Qtr'!$J:$J,'Summary- FY 24-25'!$A$27)</f>
        <v>0</v>
      </c>
      <c r="G27" s="47">
        <f>COUNTIFS('Debutant of the Qtr'!$F:$F,G22,'Debutant of the Qtr'!$J:$J,'Summary- FY 24-25'!$A$27)</f>
        <v>1</v>
      </c>
      <c r="H27" s="47">
        <f t="shared" si="10"/>
        <v>1</v>
      </c>
    </row>
    <row r="30" spans="1:16" x14ac:dyDescent="0.35">
      <c r="A30" s="40"/>
      <c r="B30" s="40" t="s">
        <v>1654</v>
      </c>
      <c r="C30" s="40"/>
      <c r="D30" s="40"/>
      <c r="E30" s="40"/>
      <c r="F30" s="40"/>
      <c r="G30" s="40"/>
      <c r="H30" s="44"/>
      <c r="J30" s="49" t="s">
        <v>1546</v>
      </c>
      <c r="K30" s="49"/>
    </row>
    <row r="31" spans="1:16" x14ac:dyDescent="0.35">
      <c r="A31" s="45" t="s">
        <v>2035</v>
      </c>
      <c r="B31" s="39" t="s">
        <v>1727</v>
      </c>
      <c r="C31" s="39" t="s">
        <v>2036</v>
      </c>
      <c r="J31" s="45" t="s">
        <v>2035</v>
      </c>
      <c r="K31" s="48" t="s">
        <v>2036</v>
      </c>
    </row>
    <row r="32" spans="1:16" x14ac:dyDescent="0.35">
      <c r="A32" s="46" t="s">
        <v>10</v>
      </c>
      <c r="B32" s="47">
        <v>4</v>
      </c>
      <c r="C32" s="47">
        <f>SUM(B32)</f>
        <v>4</v>
      </c>
      <c r="J32" s="46" t="s">
        <v>10</v>
      </c>
      <c r="K32">
        <f>COUNTIFS('Thank You'!$I:$I,'Summary- FY 24-25'!J32)</f>
        <v>19</v>
      </c>
    </row>
    <row r="33" spans="1:11" x14ac:dyDescent="0.35">
      <c r="A33" s="46" t="s">
        <v>54</v>
      </c>
      <c r="B33" s="47">
        <v>1</v>
      </c>
      <c r="C33" s="47">
        <f>SUM(B33)</f>
        <v>1</v>
      </c>
      <c r="J33" s="46" t="s">
        <v>74</v>
      </c>
      <c r="K33">
        <f>COUNTIFS('Thank You'!$I:$I,'Summary- FY 24-25'!J33)</f>
        <v>9</v>
      </c>
    </row>
    <row r="34" spans="1:11" x14ac:dyDescent="0.35">
      <c r="J34" s="46" t="s">
        <v>251</v>
      </c>
      <c r="K34">
        <f>COUNTIFS('Thank You'!$I:$I,'Summary- FY 24-25'!J34)</f>
        <v>9</v>
      </c>
    </row>
    <row r="35" spans="1:11" x14ac:dyDescent="0.35">
      <c r="J35" s="46" t="s">
        <v>32</v>
      </c>
      <c r="K35">
        <f>COUNTIFS('Thank You'!$I:$I,'Summary- FY 24-25'!J35)</f>
        <v>22</v>
      </c>
    </row>
    <row r="36" spans="1:11" x14ac:dyDescent="0.35">
      <c r="J36" s="46" t="s">
        <v>54</v>
      </c>
      <c r="K36">
        <f>COUNTIFS('Thank You'!$I:$I,'Summary- FY 24-25'!J36)</f>
        <v>47</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FF49-62AB-41F9-94A5-F5A951BE70C4}">
  <dimension ref="A1:F24"/>
  <sheetViews>
    <sheetView workbookViewId="0">
      <selection activeCell="B20" sqref="B20:F20"/>
    </sheetView>
  </sheetViews>
  <sheetFormatPr defaultColWidth="23.81640625" defaultRowHeight="12" x14ac:dyDescent="0.3"/>
  <cols>
    <col min="1" max="2" width="23.81640625" style="14"/>
    <col min="3" max="3" width="27.08984375" style="14" customWidth="1"/>
    <col min="4" max="16384" width="23.81640625" style="14"/>
  </cols>
  <sheetData>
    <row r="1" spans="1:6" ht="12.5" thickBot="1" x14ac:dyDescent="0.35">
      <c r="A1" s="29" t="s">
        <v>1618</v>
      </c>
    </row>
    <row r="2" spans="1:6" ht="12.5" thickBot="1" x14ac:dyDescent="0.35">
      <c r="A2" s="15" t="s">
        <v>1619</v>
      </c>
      <c r="B2" s="16" t="s">
        <v>1620</v>
      </c>
      <c r="C2" s="16" t="s">
        <v>1657</v>
      </c>
      <c r="D2" s="16" t="s">
        <v>1621</v>
      </c>
      <c r="E2" s="16" t="s">
        <v>1622</v>
      </c>
      <c r="F2" s="16" t="s">
        <v>1623</v>
      </c>
    </row>
    <row r="3" spans="1:6" ht="48.5" thickBot="1" x14ac:dyDescent="0.35">
      <c r="A3" s="17" t="s">
        <v>1546</v>
      </c>
      <c r="B3" s="18" t="s">
        <v>1624</v>
      </c>
      <c r="C3" s="18" t="s">
        <v>1625</v>
      </c>
      <c r="D3" s="19" t="s">
        <v>1625</v>
      </c>
      <c r="E3" s="19" t="s">
        <v>1626</v>
      </c>
      <c r="F3" s="18" t="s">
        <v>1626</v>
      </c>
    </row>
    <row r="4" spans="1:6" ht="96.5" thickBot="1" x14ac:dyDescent="0.35">
      <c r="A4" s="17" t="s">
        <v>1627</v>
      </c>
      <c r="B4" s="18" t="s">
        <v>1628</v>
      </c>
      <c r="C4" s="18" t="s">
        <v>1625</v>
      </c>
      <c r="D4" s="19" t="s">
        <v>1625</v>
      </c>
      <c r="E4" s="19" t="s">
        <v>1626</v>
      </c>
      <c r="F4" s="18" t="s">
        <v>1629</v>
      </c>
    </row>
    <row r="5" spans="1:6" ht="12.5" thickBot="1" x14ac:dyDescent="0.35">
      <c r="A5" s="29" t="s">
        <v>1662</v>
      </c>
    </row>
    <row r="6" spans="1:6" ht="12.5" thickBot="1" x14ac:dyDescent="0.35">
      <c r="A6" s="15" t="s">
        <v>1619</v>
      </c>
      <c r="B6" s="16" t="s">
        <v>1620</v>
      </c>
      <c r="C6" s="16" t="s">
        <v>1657</v>
      </c>
      <c r="D6" s="16" t="s">
        <v>1621</v>
      </c>
      <c r="E6" s="16" t="s">
        <v>1622</v>
      </c>
      <c r="F6" s="16" t="s">
        <v>1623</v>
      </c>
    </row>
    <row r="7" spans="1:6" x14ac:dyDescent="0.3">
      <c r="A7" s="94" t="s">
        <v>1509</v>
      </c>
      <c r="B7" s="96" t="s">
        <v>1630</v>
      </c>
      <c r="C7" s="25" t="s">
        <v>1659</v>
      </c>
      <c r="D7" s="20" t="s">
        <v>1631</v>
      </c>
      <c r="E7" s="98" t="s">
        <v>1633</v>
      </c>
      <c r="F7" s="96">
        <v>500</v>
      </c>
    </row>
    <row r="8" spans="1:6" ht="12.5" thickBot="1" x14ac:dyDescent="0.35">
      <c r="A8" s="95"/>
      <c r="B8" s="97"/>
      <c r="C8" s="18" t="s">
        <v>1660</v>
      </c>
      <c r="D8" s="21" t="s">
        <v>1632</v>
      </c>
      <c r="E8" s="99"/>
      <c r="F8" s="97"/>
    </row>
    <row r="9" spans="1:6" ht="108.5" thickBot="1" x14ac:dyDescent="0.35">
      <c r="A9" s="17" t="s">
        <v>1634</v>
      </c>
      <c r="B9" s="18" t="s">
        <v>1635</v>
      </c>
      <c r="C9" s="18" t="s">
        <v>1661</v>
      </c>
      <c r="D9" s="22" t="s">
        <v>1509</v>
      </c>
      <c r="E9" s="19" t="s">
        <v>1636</v>
      </c>
      <c r="F9" s="18" t="s">
        <v>1637</v>
      </c>
    </row>
    <row r="10" spans="1:6" ht="12.5" thickBot="1" x14ac:dyDescent="0.35">
      <c r="A10" s="29" t="s">
        <v>1638</v>
      </c>
    </row>
    <row r="11" spans="1:6" ht="12.5" thickBot="1" x14ac:dyDescent="0.35">
      <c r="A11" s="30" t="s">
        <v>1619</v>
      </c>
      <c r="B11" s="31" t="s">
        <v>1620</v>
      </c>
      <c r="C11" s="16" t="s">
        <v>1657</v>
      </c>
      <c r="D11" s="31" t="s">
        <v>1621</v>
      </c>
      <c r="E11" s="31" t="s">
        <v>1622</v>
      </c>
      <c r="F11" s="31" t="s">
        <v>1623</v>
      </c>
    </row>
    <row r="12" spans="1:6" ht="36" x14ac:dyDescent="0.3">
      <c r="A12" s="26" t="s">
        <v>584</v>
      </c>
      <c r="B12" s="27" t="s">
        <v>1639</v>
      </c>
      <c r="C12" s="27" t="s">
        <v>1664</v>
      </c>
      <c r="D12" s="27" t="s">
        <v>1640</v>
      </c>
      <c r="E12" s="28" t="s">
        <v>1641</v>
      </c>
      <c r="F12" s="32">
        <v>5000</v>
      </c>
    </row>
    <row r="13" spans="1:6" ht="48" x14ac:dyDescent="0.3">
      <c r="A13" s="26" t="s">
        <v>1658</v>
      </c>
      <c r="B13" s="27" t="s">
        <v>1642</v>
      </c>
      <c r="C13" s="27" t="s">
        <v>1664</v>
      </c>
      <c r="D13" s="27" t="s">
        <v>1643</v>
      </c>
      <c r="E13" s="28" t="s">
        <v>1641</v>
      </c>
      <c r="F13" s="27" t="s">
        <v>1626</v>
      </c>
    </row>
    <row r="14" spans="1:6" ht="60" x14ac:dyDescent="0.3">
      <c r="A14" s="26" t="s">
        <v>1644</v>
      </c>
      <c r="B14" s="27" t="s">
        <v>1645</v>
      </c>
      <c r="C14" s="27" t="s">
        <v>1664</v>
      </c>
      <c r="D14" s="27" t="s">
        <v>1646</v>
      </c>
      <c r="E14" s="28" t="s">
        <v>1647</v>
      </c>
      <c r="F14" s="27" t="s">
        <v>1648</v>
      </c>
    </row>
    <row r="15" spans="1:6" ht="60" x14ac:dyDescent="0.3">
      <c r="A15" s="26" t="s">
        <v>1649</v>
      </c>
      <c r="B15" s="27" t="s">
        <v>1650</v>
      </c>
      <c r="C15" s="27" t="s">
        <v>1665</v>
      </c>
      <c r="D15" s="27" t="s">
        <v>1651</v>
      </c>
      <c r="E15" s="28" t="s">
        <v>1652</v>
      </c>
      <c r="F15" s="27" t="s">
        <v>1648</v>
      </c>
    </row>
    <row r="16" spans="1:6" ht="12.5" thickBot="1" x14ac:dyDescent="0.35">
      <c r="A16" s="29" t="s">
        <v>1653</v>
      </c>
    </row>
    <row r="17" spans="1:6" ht="12.5" thickBot="1" x14ac:dyDescent="0.35">
      <c r="A17" s="15" t="s">
        <v>1619</v>
      </c>
      <c r="B17" s="16" t="s">
        <v>1620</v>
      </c>
      <c r="C17" s="16" t="s">
        <v>1657</v>
      </c>
      <c r="D17" s="16" t="s">
        <v>1621</v>
      </c>
      <c r="E17" s="16" t="s">
        <v>1622</v>
      </c>
      <c r="F17" s="16" t="s">
        <v>1623</v>
      </c>
    </row>
    <row r="18" spans="1:6" ht="60.5" thickBot="1" x14ac:dyDescent="0.35">
      <c r="A18" s="17" t="s">
        <v>1654</v>
      </c>
      <c r="B18" s="18" t="s">
        <v>1655</v>
      </c>
      <c r="C18" s="27" t="s">
        <v>1664</v>
      </c>
      <c r="D18" s="18" t="s">
        <v>1663</v>
      </c>
      <c r="E18" s="19" t="s">
        <v>1647</v>
      </c>
      <c r="F18" s="18" t="s">
        <v>1626</v>
      </c>
    </row>
    <row r="19" spans="1:6" x14ac:dyDescent="0.3">
      <c r="A19" s="29" t="s">
        <v>1656</v>
      </c>
    </row>
    <row r="20" spans="1:6" ht="48" customHeight="1" x14ac:dyDescent="0.3">
      <c r="A20" s="26" t="s">
        <v>1667</v>
      </c>
      <c r="B20" s="91"/>
      <c r="C20" s="92"/>
      <c r="D20" s="92"/>
      <c r="E20" s="92"/>
      <c r="F20" s="93"/>
    </row>
    <row r="21" spans="1:6" x14ac:dyDescent="0.3">
      <c r="A21" s="26" t="s">
        <v>1668</v>
      </c>
      <c r="B21" s="90" t="s">
        <v>1669</v>
      </c>
      <c r="C21" s="90"/>
      <c r="D21" s="90"/>
      <c r="E21" s="90"/>
      <c r="F21" s="90"/>
    </row>
    <row r="22" spans="1:6" x14ac:dyDescent="0.3">
      <c r="A22" s="24"/>
    </row>
    <row r="23" spans="1:6" x14ac:dyDescent="0.3">
      <c r="A23" s="24"/>
    </row>
    <row r="24" spans="1:6" x14ac:dyDescent="0.3">
      <c r="A24" s="23"/>
    </row>
  </sheetData>
  <mergeCells count="6">
    <mergeCell ref="B21:F21"/>
    <mergeCell ref="B20:F20"/>
    <mergeCell ref="A7:A8"/>
    <mergeCell ref="B7:B8"/>
    <mergeCell ref="E7:E8"/>
    <mergeCell ref="F7:F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B4C6-7308-4154-A8A2-DD3AE5C7C294}">
  <dimension ref="A2:G10"/>
  <sheetViews>
    <sheetView workbookViewId="0">
      <selection activeCell="A2" sqref="A2"/>
    </sheetView>
  </sheetViews>
  <sheetFormatPr defaultRowHeight="14.5" x14ac:dyDescent="0.35"/>
  <cols>
    <col min="1" max="1" width="13.1796875" bestFit="1" customWidth="1"/>
    <col min="2" max="2" width="15.6328125" bestFit="1" customWidth="1"/>
    <col min="3" max="3" width="8.1796875" bestFit="1" customWidth="1"/>
    <col min="4" max="6" width="7.81640625" bestFit="1" customWidth="1"/>
    <col min="7" max="7" width="10.36328125" bestFit="1" customWidth="1"/>
  </cols>
  <sheetData>
    <row r="2" spans="1:7" x14ac:dyDescent="0.35">
      <c r="A2" t="s">
        <v>2033</v>
      </c>
    </row>
    <row r="3" spans="1:7" x14ac:dyDescent="0.35">
      <c r="A3" s="37" t="s">
        <v>2032</v>
      </c>
      <c r="B3" s="37" t="s">
        <v>1515</v>
      </c>
    </row>
    <row r="4" spans="1:7" x14ac:dyDescent="0.35">
      <c r="A4" s="37" t="s">
        <v>1513</v>
      </c>
      <c r="B4" t="s">
        <v>198</v>
      </c>
      <c r="C4" t="s">
        <v>252</v>
      </c>
      <c r="D4" t="s">
        <v>1516</v>
      </c>
      <c r="E4" t="s">
        <v>1727</v>
      </c>
      <c r="F4" t="s">
        <v>107</v>
      </c>
      <c r="G4" t="s">
        <v>1514</v>
      </c>
    </row>
    <row r="5" spans="1:7" x14ac:dyDescent="0.35">
      <c r="A5" s="7" t="s">
        <v>10</v>
      </c>
      <c r="B5">
        <v>7</v>
      </c>
      <c r="C5">
        <v>9</v>
      </c>
      <c r="D5">
        <v>8</v>
      </c>
      <c r="E5">
        <v>7</v>
      </c>
      <c r="F5">
        <v>8</v>
      </c>
      <c r="G5">
        <v>39</v>
      </c>
    </row>
    <row r="6" spans="1:7" x14ac:dyDescent="0.35">
      <c r="A6" s="7" t="s">
        <v>251</v>
      </c>
      <c r="C6">
        <v>2</v>
      </c>
      <c r="E6">
        <v>2</v>
      </c>
      <c r="G6">
        <v>4</v>
      </c>
    </row>
    <row r="7" spans="1:7" x14ac:dyDescent="0.35">
      <c r="A7" s="7" t="s">
        <v>32</v>
      </c>
      <c r="B7">
        <v>4</v>
      </c>
      <c r="C7">
        <v>7</v>
      </c>
      <c r="D7">
        <v>12</v>
      </c>
      <c r="E7">
        <v>5</v>
      </c>
      <c r="F7">
        <v>8</v>
      </c>
      <c r="G7">
        <v>36</v>
      </c>
    </row>
    <row r="8" spans="1:7" x14ac:dyDescent="0.35">
      <c r="A8" s="7" t="s">
        <v>54</v>
      </c>
      <c r="B8">
        <v>13</v>
      </c>
      <c r="C8">
        <v>9</v>
      </c>
      <c r="D8">
        <v>5</v>
      </c>
      <c r="E8">
        <v>12</v>
      </c>
      <c r="F8">
        <v>9</v>
      </c>
      <c r="G8">
        <v>48</v>
      </c>
    </row>
    <row r="9" spans="1:7" x14ac:dyDescent="0.35">
      <c r="A9" s="7" t="s">
        <v>74</v>
      </c>
      <c r="B9">
        <v>10</v>
      </c>
      <c r="C9">
        <v>5</v>
      </c>
      <c r="D9">
        <v>5</v>
      </c>
      <c r="E9">
        <v>2</v>
      </c>
      <c r="F9">
        <v>3</v>
      </c>
      <c r="G9">
        <v>25</v>
      </c>
    </row>
    <row r="10" spans="1:7" x14ac:dyDescent="0.35">
      <c r="A10" s="7" t="s">
        <v>1514</v>
      </c>
      <c r="B10">
        <v>34</v>
      </c>
      <c r="C10">
        <v>32</v>
      </c>
      <c r="D10">
        <v>30</v>
      </c>
      <c r="E10">
        <v>28</v>
      </c>
      <c r="F10">
        <v>28</v>
      </c>
      <c r="G10">
        <v>152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D38E-08C8-44CB-909F-0A2DAE5980C8}">
  <dimension ref="A1:G24"/>
  <sheetViews>
    <sheetView workbookViewId="0">
      <selection activeCell="G9" sqref="G9"/>
    </sheetView>
  </sheetViews>
  <sheetFormatPr defaultRowHeight="14.5" x14ac:dyDescent="0.35"/>
  <cols>
    <col min="1" max="1" width="8.6328125" customWidth="1"/>
    <col min="6" max="6" width="19.54296875" customWidth="1"/>
  </cols>
  <sheetData>
    <row r="1" spans="1:7" x14ac:dyDescent="0.35">
      <c r="A1" s="2" t="s">
        <v>77</v>
      </c>
      <c r="B1" s="2" t="s">
        <v>106</v>
      </c>
      <c r="F1" s="2" t="s">
        <v>77</v>
      </c>
      <c r="G1" s="2" t="s">
        <v>106</v>
      </c>
    </row>
    <row r="2" spans="1:7" x14ac:dyDescent="0.35">
      <c r="A2" s="33" t="s">
        <v>661</v>
      </c>
      <c r="B2" s="10" t="s">
        <v>252</v>
      </c>
      <c r="F2" s="33" t="s">
        <v>718</v>
      </c>
      <c r="G2" s="10" t="s">
        <v>252</v>
      </c>
    </row>
    <row r="3" spans="1:7" x14ac:dyDescent="0.35">
      <c r="A3" s="33" t="s">
        <v>662</v>
      </c>
      <c r="B3" s="10" t="s">
        <v>252</v>
      </c>
      <c r="F3" s="10" t="s">
        <v>719</v>
      </c>
      <c r="G3" s="10" t="s">
        <v>1615</v>
      </c>
    </row>
    <row r="4" spans="1:7" x14ac:dyDescent="0.35">
      <c r="A4" s="33" t="s">
        <v>663</v>
      </c>
      <c r="B4" s="10" t="s">
        <v>252</v>
      </c>
      <c r="F4" s="10" t="s">
        <v>720</v>
      </c>
      <c r="G4" s="10" t="s">
        <v>1615</v>
      </c>
    </row>
    <row r="5" spans="1:7" x14ac:dyDescent="0.35">
      <c r="A5" s="33" t="s">
        <v>664</v>
      </c>
      <c r="B5" s="10" t="s">
        <v>198</v>
      </c>
      <c r="F5" s="10" t="s">
        <v>721</v>
      </c>
      <c r="G5" s="10" t="s">
        <v>1615</v>
      </c>
    </row>
    <row r="6" spans="1:7" x14ac:dyDescent="0.35">
      <c r="A6" s="34" t="s">
        <v>665</v>
      </c>
      <c r="B6" s="11" t="s">
        <v>198</v>
      </c>
      <c r="F6" s="10" t="s">
        <v>722</v>
      </c>
      <c r="G6" s="10" t="s">
        <v>1615</v>
      </c>
    </row>
    <row r="7" spans="1:7" x14ac:dyDescent="0.35">
      <c r="A7" s="34" t="s">
        <v>666</v>
      </c>
      <c r="B7" s="11" t="s">
        <v>198</v>
      </c>
      <c r="F7" s="10" t="s">
        <v>723</v>
      </c>
      <c r="G7" s="10" t="s">
        <v>1616</v>
      </c>
    </row>
    <row r="8" spans="1:7" x14ac:dyDescent="0.35">
      <c r="A8" s="34" t="s">
        <v>667</v>
      </c>
      <c r="B8" s="11" t="s">
        <v>198</v>
      </c>
      <c r="F8" s="10" t="s">
        <v>724</v>
      </c>
      <c r="G8" s="10" t="s">
        <v>1616</v>
      </c>
    </row>
    <row r="9" spans="1:7" x14ac:dyDescent="0.35">
      <c r="A9" s="34" t="s">
        <v>668</v>
      </c>
      <c r="B9" s="11" t="s">
        <v>198</v>
      </c>
      <c r="F9" s="33" t="s">
        <v>725</v>
      </c>
      <c r="G9" s="10" t="s">
        <v>1616</v>
      </c>
    </row>
    <row r="10" spans="1:7" x14ac:dyDescent="0.35">
      <c r="A10" s="33" t="s">
        <v>669</v>
      </c>
      <c r="B10" s="8" t="s">
        <v>1617</v>
      </c>
      <c r="F10" s="10" t="s">
        <v>1728</v>
      </c>
      <c r="G10" s="10" t="s">
        <v>1729</v>
      </c>
    </row>
    <row r="11" spans="1:7" x14ac:dyDescent="0.35">
      <c r="A11" s="33" t="s">
        <v>670</v>
      </c>
      <c r="B11" s="8" t="s">
        <v>1617</v>
      </c>
    </row>
    <row r="12" spans="1:7" x14ac:dyDescent="0.35">
      <c r="A12" s="10" t="s">
        <v>671</v>
      </c>
      <c r="B12" s="8" t="s">
        <v>1617</v>
      </c>
    </row>
    <row r="13" spans="1:7" x14ac:dyDescent="0.35">
      <c r="A13" s="10" t="s">
        <v>672</v>
      </c>
      <c r="B13" s="8" t="s">
        <v>1617</v>
      </c>
    </row>
    <row r="14" spans="1:7" x14ac:dyDescent="0.35">
      <c r="A14" s="10" t="s">
        <v>673</v>
      </c>
      <c r="B14" s="8" t="s">
        <v>1617</v>
      </c>
    </row>
    <row r="15" spans="1:7" x14ac:dyDescent="0.35">
      <c r="A15" s="10" t="s">
        <v>674</v>
      </c>
      <c r="B15" s="8" t="s">
        <v>1617</v>
      </c>
    </row>
    <row r="16" spans="1:7" x14ac:dyDescent="0.35">
      <c r="A16" s="10" t="s">
        <v>675</v>
      </c>
      <c r="B16" s="8" t="s">
        <v>1617</v>
      </c>
    </row>
    <row r="17" spans="1:2" x14ac:dyDescent="0.35">
      <c r="A17" s="10" t="s">
        <v>676</v>
      </c>
      <c r="B17" s="8" t="s">
        <v>1617</v>
      </c>
    </row>
    <row r="18" spans="1:2" x14ac:dyDescent="0.35">
      <c r="A18" s="33" t="s">
        <v>677</v>
      </c>
      <c r="B18" s="8" t="s">
        <v>1617</v>
      </c>
    </row>
    <row r="19" spans="1:2" x14ac:dyDescent="0.35">
      <c r="A19" s="33" t="s">
        <v>678</v>
      </c>
      <c r="B19" s="10" t="s">
        <v>1685</v>
      </c>
    </row>
    <row r="20" spans="1:2" x14ac:dyDescent="0.35">
      <c r="A20" s="10" t="s">
        <v>1775</v>
      </c>
      <c r="B20" s="10" t="s">
        <v>1782</v>
      </c>
    </row>
    <row r="21" spans="1:2" x14ac:dyDescent="0.35">
      <c r="A21" s="10" t="s">
        <v>1776</v>
      </c>
      <c r="B21" s="10" t="s">
        <v>1782</v>
      </c>
    </row>
    <row r="22" spans="1:2" x14ac:dyDescent="0.35">
      <c r="A22" s="10" t="s">
        <v>1777</v>
      </c>
      <c r="B22" s="10" t="s">
        <v>1782</v>
      </c>
    </row>
    <row r="23" spans="1:2" x14ac:dyDescent="0.35">
      <c r="A23" s="10" t="s">
        <v>1778</v>
      </c>
      <c r="B23" s="10" t="s">
        <v>1782</v>
      </c>
    </row>
    <row r="24" spans="1:2" x14ac:dyDescent="0.35">
      <c r="A24" s="10" t="s">
        <v>1779</v>
      </c>
      <c r="B24" s="10" t="s">
        <v>1782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3FE4-FCF8-4805-B1C2-E4284E2FF454}">
  <sheetPr filterMode="1"/>
  <dimension ref="A1:K214"/>
  <sheetViews>
    <sheetView workbookViewId="0">
      <selection activeCell="F23" sqref="F23"/>
    </sheetView>
  </sheetViews>
  <sheetFormatPr defaultRowHeight="14.5" x14ac:dyDescent="0.35"/>
  <cols>
    <col min="1" max="1" width="5" customWidth="1"/>
    <col min="3" max="3" width="16.6328125" bestFit="1" customWidth="1"/>
    <col min="4" max="4" width="8.7265625" customWidth="1"/>
    <col min="5" max="5" width="7.7265625" customWidth="1"/>
    <col min="6" max="6" width="38.1796875" customWidth="1"/>
    <col min="7" max="7" width="14.90625" bestFit="1" customWidth="1"/>
    <col min="8" max="8" width="9.1796875" bestFit="1" customWidth="1"/>
    <col min="10" max="10" width="13.08984375" bestFit="1" customWidth="1"/>
    <col min="11" max="11" width="23.6328125" bestFit="1" customWidth="1"/>
  </cols>
  <sheetData>
    <row r="1" spans="1:11" x14ac:dyDescent="0.35">
      <c r="A1" s="82" t="s">
        <v>279</v>
      </c>
      <c r="B1" s="82" t="s">
        <v>0</v>
      </c>
      <c r="C1" s="82" t="s">
        <v>1</v>
      </c>
      <c r="D1" s="83" t="s">
        <v>77</v>
      </c>
      <c r="E1" s="82" t="s">
        <v>2</v>
      </c>
      <c r="F1" s="82" t="s">
        <v>3</v>
      </c>
      <c r="G1" s="82" t="s">
        <v>4</v>
      </c>
      <c r="H1" s="82" t="s">
        <v>5</v>
      </c>
      <c r="I1" s="82" t="s">
        <v>106</v>
      </c>
      <c r="J1" s="82" t="s">
        <v>199</v>
      </c>
      <c r="K1" s="82" t="s">
        <v>201</v>
      </c>
    </row>
    <row r="2" spans="1:11" x14ac:dyDescent="0.35">
      <c r="A2" s="1">
        <v>1</v>
      </c>
      <c r="B2" s="1">
        <v>7347</v>
      </c>
      <c r="C2" s="4" t="s">
        <v>51</v>
      </c>
      <c r="D2" s="3" t="s">
        <v>78</v>
      </c>
      <c r="E2" s="1" t="s">
        <v>47</v>
      </c>
      <c r="F2" s="1" t="s">
        <v>52</v>
      </c>
      <c r="G2" s="1" t="s">
        <v>53</v>
      </c>
      <c r="H2" s="1" t="s">
        <v>54</v>
      </c>
      <c r="I2" s="1" t="s">
        <v>107</v>
      </c>
      <c r="J2" s="1" t="s">
        <v>200</v>
      </c>
      <c r="K2" s="1" t="str">
        <f>_xlfn.CONCAT(J2," ",I2)</f>
        <v>CEO of the Quarter Q4-FY24</v>
      </c>
    </row>
    <row r="3" spans="1:11" x14ac:dyDescent="0.35">
      <c r="A3" s="1">
        <v>2</v>
      </c>
      <c r="B3" s="1">
        <v>4149</v>
      </c>
      <c r="C3" s="4" t="s">
        <v>41</v>
      </c>
      <c r="D3" s="3" t="s">
        <v>79</v>
      </c>
      <c r="E3" s="1" t="s">
        <v>28</v>
      </c>
      <c r="F3" s="1" t="s">
        <v>42</v>
      </c>
      <c r="G3" s="1" t="s">
        <v>43</v>
      </c>
      <c r="H3" s="1" t="s">
        <v>32</v>
      </c>
      <c r="I3" s="1" t="s">
        <v>107</v>
      </c>
      <c r="J3" s="1" t="s">
        <v>200</v>
      </c>
      <c r="K3" s="1" t="str">
        <f t="shared" ref="K3:K66" si="0">_xlfn.CONCAT(J3," ",I3)</f>
        <v>CEO of the Quarter Q4-FY24</v>
      </c>
    </row>
    <row r="4" spans="1:11" x14ac:dyDescent="0.35">
      <c r="A4" s="1">
        <v>3</v>
      </c>
      <c r="B4" s="1">
        <v>6805</v>
      </c>
      <c r="C4" s="4" t="s">
        <v>11</v>
      </c>
      <c r="D4" s="3" t="s">
        <v>80</v>
      </c>
      <c r="E4" s="1" t="s">
        <v>7</v>
      </c>
      <c r="F4" s="1" t="s">
        <v>12</v>
      </c>
      <c r="G4" s="1" t="s">
        <v>13</v>
      </c>
      <c r="H4" s="1" t="s">
        <v>10</v>
      </c>
      <c r="I4" s="1" t="s">
        <v>107</v>
      </c>
      <c r="J4" s="1" t="s">
        <v>200</v>
      </c>
      <c r="K4" s="1" t="str">
        <f t="shared" si="0"/>
        <v>CEO of the Quarter Q4-FY24</v>
      </c>
    </row>
    <row r="5" spans="1:11" x14ac:dyDescent="0.35">
      <c r="A5" s="1">
        <v>4</v>
      </c>
      <c r="B5" s="1">
        <v>6375</v>
      </c>
      <c r="C5" s="4" t="s">
        <v>17</v>
      </c>
      <c r="D5" s="3" t="s">
        <v>81</v>
      </c>
      <c r="E5" s="1" t="s">
        <v>7</v>
      </c>
      <c r="F5" s="1" t="s">
        <v>18</v>
      </c>
      <c r="G5" s="1" t="s">
        <v>9</v>
      </c>
      <c r="H5" s="1" t="s">
        <v>10</v>
      </c>
      <c r="I5" s="1" t="s">
        <v>107</v>
      </c>
      <c r="J5" s="1" t="s">
        <v>200</v>
      </c>
      <c r="K5" s="1" t="str">
        <f t="shared" si="0"/>
        <v>CEO of the Quarter Q4-FY24</v>
      </c>
    </row>
    <row r="6" spans="1:11" x14ac:dyDescent="0.35">
      <c r="A6" s="1">
        <v>5</v>
      </c>
      <c r="B6" s="1">
        <v>7644</v>
      </c>
      <c r="C6" s="4" t="s">
        <v>67</v>
      </c>
      <c r="D6" s="3" t="s">
        <v>82</v>
      </c>
      <c r="E6" s="1" t="s">
        <v>47</v>
      </c>
      <c r="F6" s="1" t="s">
        <v>68</v>
      </c>
      <c r="G6" s="1" t="s">
        <v>9</v>
      </c>
      <c r="H6" s="1" t="s">
        <v>54</v>
      </c>
      <c r="I6" s="1" t="s">
        <v>107</v>
      </c>
      <c r="J6" s="1" t="s">
        <v>200</v>
      </c>
      <c r="K6" s="1" t="str">
        <f t="shared" si="0"/>
        <v>CEO of the Quarter Q4-FY24</v>
      </c>
    </row>
    <row r="7" spans="1:11" x14ac:dyDescent="0.35">
      <c r="A7" s="1">
        <v>6</v>
      </c>
      <c r="B7" s="1">
        <v>6356</v>
      </c>
      <c r="C7" s="4" t="s">
        <v>49</v>
      </c>
      <c r="D7" s="3" t="s">
        <v>83</v>
      </c>
      <c r="E7" s="1" t="s">
        <v>47</v>
      </c>
      <c r="F7" s="1" t="s">
        <v>50</v>
      </c>
      <c r="G7" s="1" t="s">
        <v>35</v>
      </c>
      <c r="H7" s="1" t="s">
        <v>32</v>
      </c>
      <c r="I7" s="1" t="s">
        <v>107</v>
      </c>
      <c r="J7" s="1" t="s">
        <v>200</v>
      </c>
      <c r="K7" s="1" t="str">
        <f t="shared" si="0"/>
        <v>CEO of the Quarter Q4-FY24</v>
      </c>
    </row>
    <row r="8" spans="1:11" x14ac:dyDescent="0.35">
      <c r="A8" s="1">
        <v>7</v>
      </c>
      <c r="B8" s="1">
        <v>7658</v>
      </c>
      <c r="C8" s="4" t="s">
        <v>59</v>
      </c>
      <c r="D8" s="3" t="s">
        <v>84</v>
      </c>
      <c r="E8" s="1" t="s">
        <v>7</v>
      </c>
      <c r="F8" s="1" t="s">
        <v>60</v>
      </c>
      <c r="G8" s="1" t="s">
        <v>9</v>
      </c>
      <c r="H8" s="1" t="s">
        <v>54</v>
      </c>
      <c r="I8" s="1" t="s">
        <v>107</v>
      </c>
      <c r="J8" s="1" t="s">
        <v>200</v>
      </c>
      <c r="K8" s="1" t="str">
        <f t="shared" si="0"/>
        <v>CEO of the Quarter Q4-FY24</v>
      </c>
    </row>
    <row r="9" spans="1:11" x14ac:dyDescent="0.35">
      <c r="A9" s="1">
        <v>8</v>
      </c>
      <c r="B9" s="1">
        <v>7640</v>
      </c>
      <c r="C9" s="4" t="s">
        <v>6</v>
      </c>
      <c r="D9" s="3" t="s">
        <v>85</v>
      </c>
      <c r="E9" s="1" t="s">
        <v>7</v>
      </c>
      <c r="F9" s="1" t="s">
        <v>8</v>
      </c>
      <c r="G9" s="1" t="s">
        <v>9</v>
      </c>
      <c r="H9" s="1" t="s">
        <v>10</v>
      </c>
      <c r="I9" s="1" t="s">
        <v>107</v>
      </c>
      <c r="J9" s="1" t="s">
        <v>200</v>
      </c>
      <c r="K9" s="1" t="str">
        <f t="shared" si="0"/>
        <v>CEO of the Quarter Q4-FY24</v>
      </c>
    </row>
    <row r="10" spans="1:11" x14ac:dyDescent="0.35">
      <c r="A10" s="1">
        <v>9</v>
      </c>
      <c r="B10" s="1">
        <v>6745</v>
      </c>
      <c r="C10" s="4" t="s">
        <v>75</v>
      </c>
      <c r="D10" s="3" t="s">
        <v>86</v>
      </c>
      <c r="E10" s="1" t="s">
        <v>7</v>
      </c>
      <c r="F10" s="1" t="s">
        <v>72</v>
      </c>
      <c r="G10" s="1" t="s">
        <v>73</v>
      </c>
      <c r="H10" s="1" t="s">
        <v>74</v>
      </c>
      <c r="I10" s="1" t="s">
        <v>107</v>
      </c>
      <c r="J10" s="1" t="s">
        <v>200</v>
      </c>
      <c r="K10" s="1" t="str">
        <f t="shared" si="0"/>
        <v>CEO of the Quarter Q4-FY24</v>
      </c>
    </row>
    <row r="11" spans="1:11" x14ac:dyDescent="0.35">
      <c r="A11" s="1">
        <v>10</v>
      </c>
      <c r="B11" s="1">
        <v>5129</v>
      </c>
      <c r="C11" s="4" t="s">
        <v>30</v>
      </c>
      <c r="D11" s="3" t="s">
        <v>87</v>
      </c>
      <c r="E11" s="1" t="s">
        <v>28</v>
      </c>
      <c r="F11" s="1" t="s">
        <v>31</v>
      </c>
      <c r="G11" s="1" t="s">
        <v>24</v>
      </c>
      <c r="H11" s="1" t="s">
        <v>32</v>
      </c>
      <c r="I11" s="1" t="s">
        <v>107</v>
      </c>
      <c r="J11" s="1" t="s">
        <v>200</v>
      </c>
      <c r="K11" s="1" t="str">
        <f t="shared" si="0"/>
        <v>CEO of the Quarter Q4-FY24</v>
      </c>
    </row>
    <row r="12" spans="1:11" x14ac:dyDescent="0.35">
      <c r="A12" s="1">
        <v>11</v>
      </c>
      <c r="B12" s="1">
        <v>7667</v>
      </c>
      <c r="C12" s="4" t="s">
        <v>57</v>
      </c>
      <c r="D12" s="3" t="s">
        <v>88</v>
      </c>
      <c r="E12" s="1" t="s">
        <v>7</v>
      </c>
      <c r="F12" s="1" t="s">
        <v>58</v>
      </c>
      <c r="G12" s="1" t="s">
        <v>16</v>
      </c>
      <c r="H12" s="1" t="s">
        <v>54</v>
      </c>
      <c r="I12" s="1" t="s">
        <v>107</v>
      </c>
      <c r="J12" s="1" t="s">
        <v>200</v>
      </c>
      <c r="K12" s="1" t="str">
        <f t="shared" si="0"/>
        <v>CEO of the Quarter Q4-FY24</v>
      </c>
    </row>
    <row r="13" spans="1:11" x14ac:dyDescent="0.35">
      <c r="A13" s="1">
        <v>12</v>
      </c>
      <c r="B13" s="1">
        <v>7157</v>
      </c>
      <c r="C13" s="4" t="s">
        <v>46</v>
      </c>
      <c r="D13" s="3" t="s">
        <v>89</v>
      </c>
      <c r="E13" s="1" t="s">
        <v>47</v>
      </c>
      <c r="F13" s="1" t="s">
        <v>48</v>
      </c>
      <c r="G13" s="1" t="s">
        <v>40</v>
      </c>
      <c r="H13" s="1" t="s">
        <v>32</v>
      </c>
      <c r="I13" s="1" t="s">
        <v>107</v>
      </c>
      <c r="J13" s="1" t="s">
        <v>200</v>
      </c>
      <c r="K13" s="1" t="str">
        <f t="shared" si="0"/>
        <v>CEO of the Quarter Q4-FY24</v>
      </c>
    </row>
    <row r="14" spans="1:11" x14ac:dyDescent="0.35">
      <c r="A14" s="1">
        <v>13</v>
      </c>
      <c r="B14" s="1">
        <v>7493</v>
      </c>
      <c r="C14" s="4" t="s">
        <v>22</v>
      </c>
      <c r="D14" s="3" t="s">
        <v>90</v>
      </c>
      <c r="E14" s="1" t="s">
        <v>7</v>
      </c>
      <c r="F14" s="1" t="s">
        <v>23</v>
      </c>
      <c r="G14" s="1" t="s">
        <v>24</v>
      </c>
      <c r="H14" s="1" t="s">
        <v>10</v>
      </c>
      <c r="I14" s="1" t="s">
        <v>107</v>
      </c>
      <c r="J14" s="1" t="s">
        <v>200</v>
      </c>
      <c r="K14" s="1" t="str">
        <f t="shared" si="0"/>
        <v>CEO of the Quarter Q4-FY24</v>
      </c>
    </row>
    <row r="15" spans="1:11" x14ac:dyDescent="0.35">
      <c r="A15" s="1">
        <v>14</v>
      </c>
      <c r="B15" s="1">
        <v>1847</v>
      </c>
      <c r="C15" s="4" t="s">
        <v>44</v>
      </c>
      <c r="D15" s="3" t="s">
        <v>91</v>
      </c>
      <c r="E15" s="1" t="s">
        <v>7</v>
      </c>
      <c r="F15" s="1" t="s">
        <v>45</v>
      </c>
      <c r="G15" s="1" t="s">
        <v>35</v>
      </c>
      <c r="H15" s="1" t="s">
        <v>32</v>
      </c>
      <c r="I15" s="1" t="s">
        <v>107</v>
      </c>
      <c r="J15" s="1" t="s">
        <v>200</v>
      </c>
      <c r="K15" s="1" t="str">
        <f t="shared" si="0"/>
        <v>CEO of the Quarter Q4-FY24</v>
      </c>
    </row>
    <row r="16" spans="1:11" x14ac:dyDescent="0.35">
      <c r="A16" s="1">
        <v>15</v>
      </c>
      <c r="B16" s="1">
        <v>2220</v>
      </c>
      <c r="C16" s="4" t="s">
        <v>33</v>
      </c>
      <c r="D16" s="3" t="s">
        <v>92</v>
      </c>
      <c r="E16" s="1" t="s">
        <v>28</v>
      </c>
      <c r="F16" s="1" t="s">
        <v>34</v>
      </c>
      <c r="G16" s="1" t="s">
        <v>35</v>
      </c>
      <c r="H16" s="1" t="s">
        <v>32</v>
      </c>
      <c r="I16" s="1" t="s">
        <v>107</v>
      </c>
      <c r="J16" s="1" t="s">
        <v>200</v>
      </c>
      <c r="K16" s="1" t="str">
        <f t="shared" si="0"/>
        <v>CEO of the Quarter Q4-FY24</v>
      </c>
    </row>
    <row r="17" spans="1:11" x14ac:dyDescent="0.35">
      <c r="A17" s="1">
        <v>16</v>
      </c>
      <c r="B17" s="1">
        <v>7399</v>
      </c>
      <c r="C17" s="4" t="s">
        <v>71</v>
      </c>
      <c r="D17" s="3" t="s">
        <v>93</v>
      </c>
      <c r="E17" s="1" t="s">
        <v>7</v>
      </c>
      <c r="F17" s="1" t="s">
        <v>72</v>
      </c>
      <c r="G17" s="1" t="s">
        <v>73</v>
      </c>
      <c r="H17" s="1" t="s">
        <v>74</v>
      </c>
      <c r="I17" s="1" t="s">
        <v>107</v>
      </c>
      <c r="J17" s="1" t="s">
        <v>200</v>
      </c>
      <c r="K17" s="1" t="str">
        <f t="shared" si="0"/>
        <v>CEO of the Quarter Q4-FY24</v>
      </c>
    </row>
    <row r="18" spans="1:11" x14ac:dyDescent="0.35">
      <c r="A18" s="1">
        <v>17</v>
      </c>
      <c r="B18" s="1">
        <v>7426</v>
      </c>
      <c r="C18" s="4" t="s">
        <v>19</v>
      </c>
      <c r="D18" s="3" t="s">
        <v>94</v>
      </c>
      <c r="E18" s="1" t="s">
        <v>7</v>
      </c>
      <c r="F18" s="1" t="s">
        <v>20</v>
      </c>
      <c r="G18" s="1" t="s">
        <v>21</v>
      </c>
      <c r="H18" s="1" t="s">
        <v>10</v>
      </c>
      <c r="I18" s="1" t="s">
        <v>107</v>
      </c>
      <c r="J18" s="1" t="s">
        <v>200</v>
      </c>
      <c r="K18" s="1" t="str">
        <f t="shared" si="0"/>
        <v>CEO of the Quarter Q4-FY24</v>
      </c>
    </row>
    <row r="19" spans="1:11" x14ac:dyDescent="0.35">
      <c r="A19" s="1">
        <v>18</v>
      </c>
      <c r="B19" s="1">
        <v>7654</v>
      </c>
      <c r="C19" s="4" t="s">
        <v>55</v>
      </c>
      <c r="D19" s="3" t="s">
        <v>95</v>
      </c>
      <c r="E19" s="1" t="s">
        <v>7</v>
      </c>
      <c r="F19" s="1" t="s">
        <v>56</v>
      </c>
      <c r="G19" s="1" t="s">
        <v>16</v>
      </c>
      <c r="H19" s="1" t="s">
        <v>54</v>
      </c>
      <c r="I19" s="1" t="s">
        <v>107</v>
      </c>
      <c r="J19" s="1" t="s">
        <v>200</v>
      </c>
      <c r="K19" s="1" t="str">
        <f t="shared" si="0"/>
        <v>CEO of the Quarter Q4-FY24</v>
      </c>
    </row>
    <row r="20" spans="1:11" x14ac:dyDescent="0.35">
      <c r="A20" s="1">
        <v>19</v>
      </c>
      <c r="B20" s="1">
        <v>7756</v>
      </c>
      <c r="C20" s="4" t="s">
        <v>65</v>
      </c>
      <c r="D20" s="3" t="s">
        <v>96</v>
      </c>
      <c r="E20" s="1" t="s">
        <v>7</v>
      </c>
      <c r="F20" s="1" t="s">
        <v>66</v>
      </c>
      <c r="G20" s="1" t="s">
        <v>9</v>
      </c>
      <c r="H20" s="1" t="s">
        <v>54</v>
      </c>
      <c r="I20" s="1" t="s">
        <v>107</v>
      </c>
      <c r="J20" s="1" t="s">
        <v>200</v>
      </c>
      <c r="K20" s="1" t="str">
        <f t="shared" si="0"/>
        <v>CEO of the Quarter Q4-FY24</v>
      </c>
    </row>
    <row r="21" spans="1:11" x14ac:dyDescent="0.35">
      <c r="A21" s="1">
        <v>20</v>
      </c>
      <c r="B21" s="1">
        <v>7635</v>
      </c>
      <c r="C21" s="4" t="s">
        <v>76</v>
      </c>
      <c r="D21" s="3" t="s">
        <v>97</v>
      </c>
      <c r="E21" s="1" t="s">
        <v>7</v>
      </c>
      <c r="F21" s="1" t="s">
        <v>72</v>
      </c>
      <c r="G21" s="1" t="s">
        <v>73</v>
      </c>
      <c r="H21" s="1" t="s">
        <v>74</v>
      </c>
      <c r="I21" s="1" t="s">
        <v>107</v>
      </c>
      <c r="J21" s="1" t="s">
        <v>200</v>
      </c>
      <c r="K21" s="1" t="str">
        <f t="shared" si="0"/>
        <v>CEO of the Quarter Q4-FY24</v>
      </c>
    </row>
    <row r="22" spans="1:11" x14ac:dyDescent="0.35">
      <c r="A22" s="1">
        <v>21</v>
      </c>
      <c r="B22" s="1">
        <v>7021</v>
      </c>
      <c r="C22" s="4" t="s">
        <v>69</v>
      </c>
      <c r="D22" s="3" t="s">
        <v>98</v>
      </c>
      <c r="E22" s="1" t="s">
        <v>28</v>
      </c>
      <c r="F22" s="1" t="s">
        <v>70</v>
      </c>
      <c r="G22" s="1" t="s">
        <v>16</v>
      </c>
      <c r="H22" s="1" t="s">
        <v>54</v>
      </c>
      <c r="I22" s="1" t="s">
        <v>107</v>
      </c>
      <c r="J22" s="1" t="s">
        <v>200</v>
      </c>
      <c r="K22" s="1" t="str">
        <f t="shared" si="0"/>
        <v>CEO of the Quarter Q4-FY24</v>
      </c>
    </row>
    <row r="23" spans="1:11" x14ac:dyDescent="0.35">
      <c r="A23" s="1">
        <v>22</v>
      </c>
      <c r="B23" s="1">
        <v>7275</v>
      </c>
      <c r="C23" s="4" t="s">
        <v>27</v>
      </c>
      <c r="D23" s="3" t="s">
        <v>99</v>
      </c>
      <c r="E23" s="1" t="s">
        <v>28</v>
      </c>
      <c r="F23" s="1" t="s">
        <v>29</v>
      </c>
      <c r="G23" s="1" t="s">
        <v>24</v>
      </c>
      <c r="H23" s="1" t="s">
        <v>10</v>
      </c>
      <c r="I23" s="1" t="s">
        <v>107</v>
      </c>
      <c r="J23" s="1" t="s">
        <v>200</v>
      </c>
      <c r="K23" s="1" t="str">
        <f t="shared" si="0"/>
        <v>CEO of the Quarter Q4-FY24</v>
      </c>
    </row>
    <row r="24" spans="1:11" x14ac:dyDescent="0.35">
      <c r="A24" s="1">
        <v>23</v>
      </c>
      <c r="B24" s="1">
        <v>7656</v>
      </c>
      <c r="C24" s="4" t="s">
        <v>25</v>
      </c>
      <c r="D24" s="3" t="s">
        <v>100</v>
      </c>
      <c r="E24" s="1" t="s">
        <v>7</v>
      </c>
      <c r="F24" s="1" t="s">
        <v>26</v>
      </c>
      <c r="G24" s="1" t="s">
        <v>21</v>
      </c>
      <c r="H24" s="1" t="s">
        <v>10</v>
      </c>
      <c r="I24" s="1" t="s">
        <v>107</v>
      </c>
      <c r="J24" s="1" t="s">
        <v>200</v>
      </c>
      <c r="K24" s="1" t="str">
        <f t="shared" si="0"/>
        <v>CEO of the Quarter Q4-FY24</v>
      </c>
    </row>
    <row r="25" spans="1:11" x14ac:dyDescent="0.35">
      <c r="A25" s="1">
        <v>24</v>
      </c>
      <c r="B25" s="1">
        <v>2243</v>
      </c>
      <c r="C25" s="4" t="s">
        <v>63</v>
      </c>
      <c r="D25" s="3" t="s">
        <v>101</v>
      </c>
      <c r="E25" s="1" t="s">
        <v>28</v>
      </c>
      <c r="F25" s="1" t="s">
        <v>64</v>
      </c>
      <c r="G25" s="1" t="s">
        <v>53</v>
      </c>
      <c r="H25" s="1" t="s">
        <v>54</v>
      </c>
      <c r="I25" s="1" t="s">
        <v>107</v>
      </c>
      <c r="J25" s="1" t="s">
        <v>200</v>
      </c>
      <c r="K25" s="1" t="str">
        <f t="shared" si="0"/>
        <v>CEO of the Quarter Q4-FY24</v>
      </c>
    </row>
    <row r="26" spans="1:11" x14ac:dyDescent="0.35">
      <c r="A26" s="1">
        <v>25</v>
      </c>
      <c r="B26" s="1">
        <v>7230</v>
      </c>
      <c r="C26" s="4" t="s">
        <v>14</v>
      </c>
      <c r="D26" s="3" t="s">
        <v>102</v>
      </c>
      <c r="E26" s="1" t="s">
        <v>7</v>
      </c>
      <c r="F26" s="1" t="s">
        <v>15</v>
      </c>
      <c r="G26" s="1" t="s">
        <v>16</v>
      </c>
      <c r="H26" s="1" t="s">
        <v>10</v>
      </c>
      <c r="I26" s="1" t="s">
        <v>107</v>
      </c>
      <c r="J26" s="1" t="s">
        <v>200</v>
      </c>
      <c r="K26" s="1" t="str">
        <f t="shared" si="0"/>
        <v>CEO of the Quarter Q4-FY24</v>
      </c>
    </row>
    <row r="27" spans="1:11" x14ac:dyDescent="0.35">
      <c r="A27" s="1">
        <v>26</v>
      </c>
      <c r="B27" s="1">
        <v>7216</v>
      </c>
      <c r="C27" s="4" t="s">
        <v>36</v>
      </c>
      <c r="D27" s="3" t="s">
        <v>103</v>
      </c>
      <c r="E27" s="1" t="s">
        <v>7</v>
      </c>
      <c r="F27" s="1" t="s">
        <v>37</v>
      </c>
      <c r="G27" s="1" t="s">
        <v>35</v>
      </c>
      <c r="H27" s="1" t="s">
        <v>32</v>
      </c>
      <c r="I27" s="1" t="s">
        <v>107</v>
      </c>
      <c r="J27" s="1" t="s">
        <v>200</v>
      </c>
      <c r="K27" s="1" t="str">
        <f t="shared" si="0"/>
        <v>CEO of the Quarter Q4-FY24</v>
      </c>
    </row>
    <row r="28" spans="1:11" x14ac:dyDescent="0.35">
      <c r="A28" s="1">
        <v>27</v>
      </c>
      <c r="B28" s="1">
        <v>4121</v>
      </c>
      <c r="C28" s="4" t="s">
        <v>38</v>
      </c>
      <c r="D28" s="3" t="s">
        <v>104</v>
      </c>
      <c r="E28" s="1" t="s">
        <v>7</v>
      </c>
      <c r="F28" s="1" t="s">
        <v>39</v>
      </c>
      <c r="G28" s="1" t="s">
        <v>40</v>
      </c>
      <c r="H28" s="1" t="s">
        <v>32</v>
      </c>
      <c r="I28" s="1" t="s">
        <v>107</v>
      </c>
      <c r="J28" s="1" t="s">
        <v>200</v>
      </c>
      <c r="K28" s="1" t="str">
        <f t="shared" si="0"/>
        <v>CEO of the Quarter Q4-FY24</v>
      </c>
    </row>
    <row r="29" spans="1:11" x14ac:dyDescent="0.35">
      <c r="A29" s="1">
        <v>28</v>
      </c>
      <c r="B29" s="1">
        <v>1313</v>
      </c>
      <c r="C29" s="4" t="s">
        <v>61</v>
      </c>
      <c r="D29" s="3" t="s">
        <v>105</v>
      </c>
      <c r="E29" s="1" t="s">
        <v>28</v>
      </c>
      <c r="F29" s="1" t="s">
        <v>62</v>
      </c>
      <c r="G29" s="1" t="s">
        <v>53</v>
      </c>
      <c r="H29" s="1" t="s">
        <v>54</v>
      </c>
      <c r="I29" s="1" t="s">
        <v>107</v>
      </c>
      <c r="J29" s="1" t="s">
        <v>200</v>
      </c>
      <c r="K29" s="1" t="str">
        <f t="shared" si="0"/>
        <v>CEO of the Quarter Q4-FY24</v>
      </c>
    </row>
    <row r="30" spans="1:11" hidden="1" x14ac:dyDescent="0.35">
      <c r="A30" s="1">
        <v>29</v>
      </c>
      <c r="B30" s="1">
        <v>7517</v>
      </c>
      <c r="C30" s="4" t="s">
        <v>108</v>
      </c>
      <c r="D30" s="3" t="s">
        <v>131</v>
      </c>
      <c r="E30" s="1" t="s">
        <v>7</v>
      </c>
      <c r="F30" s="1" t="s">
        <v>60</v>
      </c>
      <c r="G30" s="1" t="s">
        <v>9</v>
      </c>
      <c r="H30" s="1" t="s">
        <v>10</v>
      </c>
      <c r="I30" s="1" t="s">
        <v>198</v>
      </c>
      <c r="J30" s="1" t="s">
        <v>200</v>
      </c>
      <c r="K30" s="1" t="str">
        <f t="shared" si="0"/>
        <v>CEO of the Quarter Q1-FY25</v>
      </c>
    </row>
    <row r="31" spans="1:11" hidden="1" x14ac:dyDescent="0.35">
      <c r="A31" s="1">
        <v>30</v>
      </c>
      <c r="B31" s="1">
        <v>2826</v>
      </c>
      <c r="C31" s="4" t="s">
        <v>169</v>
      </c>
      <c r="D31" s="3" t="s">
        <v>180</v>
      </c>
      <c r="E31" s="1" t="s">
        <v>7</v>
      </c>
      <c r="F31" s="1" t="s">
        <v>60</v>
      </c>
      <c r="G31" s="1" t="s">
        <v>9</v>
      </c>
      <c r="H31" s="1" t="s">
        <v>54</v>
      </c>
      <c r="I31" s="1" t="s">
        <v>198</v>
      </c>
      <c r="J31" s="1" t="s">
        <v>200</v>
      </c>
      <c r="K31" s="1" t="str">
        <f t="shared" si="0"/>
        <v>CEO of the Quarter Q1-FY25</v>
      </c>
    </row>
    <row r="32" spans="1:11" hidden="1" x14ac:dyDescent="0.35">
      <c r="A32" s="1">
        <v>31</v>
      </c>
      <c r="B32" s="1">
        <v>3963</v>
      </c>
      <c r="C32" s="4" t="s">
        <v>109</v>
      </c>
      <c r="D32" s="3" t="s">
        <v>132</v>
      </c>
      <c r="E32" s="1" t="s">
        <v>7</v>
      </c>
      <c r="F32" s="1" t="s">
        <v>154</v>
      </c>
      <c r="G32" s="1" t="s">
        <v>53</v>
      </c>
      <c r="H32" s="1" t="s">
        <v>54</v>
      </c>
      <c r="I32" s="1" t="s">
        <v>198</v>
      </c>
      <c r="J32" s="1" t="s">
        <v>200</v>
      </c>
      <c r="K32" s="1" t="str">
        <f t="shared" si="0"/>
        <v>CEO of the Quarter Q1-FY25</v>
      </c>
    </row>
    <row r="33" spans="1:11" hidden="1" x14ac:dyDescent="0.35">
      <c r="A33" s="1">
        <v>32</v>
      </c>
      <c r="B33" s="1">
        <v>1945</v>
      </c>
      <c r="C33" s="4" t="s">
        <v>110</v>
      </c>
      <c r="D33" s="3" t="s">
        <v>133</v>
      </c>
      <c r="E33" s="1" t="s">
        <v>28</v>
      </c>
      <c r="F33" s="1" t="s">
        <v>155</v>
      </c>
      <c r="G33" s="1" t="s">
        <v>16</v>
      </c>
      <c r="H33" s="1" t="s">
        <v>54</v>
      </c>
      <c r="I33" s="1" t="s">
        <v>198</v>
      </c>
      <c r="J33" s="1" t="s">
        <v>200</v>
      </c>
      <c r="K33" s="1" t="str">
        <f t="shared" si="0"/>
        <v>CEO of the Quarter Q1-FY25</v>
      </c>
    </row>
    <row r="34" spans="1:11" hidden="1" x14ac:dyDescent="0.35">
      <c r="A34" s="1">
        <v>33</v>
      </c>
      <c r="B34" s="1">
        <v>6721</v>
      </c>
      <c r="C34" s="4" t="s">
        <v>170</v>
      </c>
      <c r="D34" s="3" t="s">
        <v>181</v>
      </c>
      <c r="E34" s="1" t="s">
        <v>7</v>
      </c>
      <c r="F34" s="1" t="s">
        <v>191</v>
      </c>
      <c r="G34" s="1" t="s">
        <v>53</v>
      </c>
      <c r="H34" s="1" t="s">
        <v>54</v>
      </c>
      <c r="I34" s="1" t="s">
        <v>198</v>
      </c>
      <c r="J34" s="1" t="s">
        <v>200</v>
      </c>
      <c r="K34" s="1" t="str">
        <f t="shared" si="0"/>
        <v>CEO of the Quarter Q1-FY25</v>
      </c>
    </row>
    <row r="35" spans="1:11" hidden="1" x14ac:dyDescent="0.35">
      <c r="A35" s="1">
        <v>34</v>
      </c>
      <c r="B35" s="1">
        <v>7844</v>
      </c>
      <c r="C35" s="4" t="s">
        <v>111</v>
      </c>
      <c r="D35" s="3" t="s">
        <v>134</v>
      </c>
      <c r="E35" s="1" t="s">
        <v>47</v>
      </c>
      <c r="F35" s="1" t="s">
        <v>156</v>
      </c>
      <c r="G35" s="1" t="s">
        <v>16</v>
      </c>
      <c r="H35" s="1" t="s">
        <v>54</v>
      </c>
      <c r="I35" s="1" t="s">
        <v>198</v>
      </c>
      <c r="J35" s="1" t="s">
        <v>200</v>
      </c>
      <c r="K35" s="1" t="str">
        <f t="shared" si="0"/>
        <v>CEO of the Quarter Q1-FY25</v>
      </c>
    </row>
    <row r="36" spans="1:11" hidden="1" x14ac:dyDescent="0.35">
      <c r="A36" s="1">
        <v>35</v>
      </c>
      <c r="B36" s="1">
        <v>7029</v>
      </c>
      <c r="C36" s="4" t="s">
        <v>171</v>
      </c>
      <c r="D36" s="3" t="s">
        <v>182</v>
      </c>
      <c r="E36" s="1" t="s">
        <v>7</v>
      </c>
      <c r="F36" s="1" t="s">
        <v>192</v>
      </c>
      <c r="G36" s="1" t="s">
        <v>53</v>
      </c>
      <c r="H36" s="1" t="s">
        <v>54</v>
      </c>
      <c r="I36" s="1" t="s">
        <v>198</v>
      </c>
      <c r="J36" s="1" t="s">
        <v>200</v>
      </c>
      <c r="K36" s="1" t="str">
        <f t="shared" si="0"/>
        <v>CEO of the Quarter Q1-FY25</v>
      </c>
    </row>
    <row r="37" spans="1:11" hidden="1" x14ac:dyDescent="0.35">
      <c r="A37" s="1">
        <v>36</v>
      </c>
      <c r="B37" s="1">
        <v>2734</v>
      </c>
      <c r="C37" s="4" t="s">
        <v>112</v>
      </c>
      <c r="D37" s="3" t="s">
        <v>135</v>
      </c>
      <c r="E37" s="1" t="s">
        <v>7</v>
      </c>
      <c r="F37" s="1" t="s">
        <v>15</v>
      </c>
      <c r="G37" s="1" t="s">
        <v>16</v>
      </c>
      <c r="H37" s="1" t="s">
        <v>54</v>
      </c>
      <c r="I37" s="1" t="s">
        <v>198</v>
      </c>
      <c r="J37" s="1" t="s">
        <v>200</v>
      </c>
      <c r="K37" s="1" t="str">
        <f t="shared" si="0"/>
        <v>CEO of the Quarter Q1-FY25</v>
      </c>
    </row>
    <row r="38" spans="1:11" hidden="1" x14ac:dyDescent="0.35">
      <c r="A38" s="1">
        <v>37</v>
      </c>
      <c r="B38" s="1">
        <v>6801</v>
      </c>
      <c r="C38" s="4" t="s">
        <v>113</v>
      </c>
      <c r="D38" s="3" t="s">
        <v>136</v>
      </c>
      <c r="E38" s="1" t="s">
        <v>7</v>
      </c>
      <c r="F38" s="1" t="s">
        <v>157</v>
      </c>
      <c r="G38" s="1" t="s">
        <v>24</v>
      </c>
      <c r="H38" s="1" t="s">
        <v>10</v>
      </c>
      <c r="I38" s="1" t="s">
        <v>198</v>
      </c>
      <c r="J38" s="1" t="s">
        <v>200</v>
      </c>
      <c r="K38" s="1" t="str">
        <f t="shared" si="0"/>
        <v>CEO of the Quarter Q1-FY25</v>
      </c>
    </row>
    <row r="39" spans="1:11" hidden="1" x14ac:dyDescent="0.35">
      <c r="A39" s="1">
        <v>38</v>
      </c>
      <c r="B39" s="1">
        <v>669</v>
      </c>
      <c r="C39" s="4" t="s">
        <v>114</v>
      </c>
      <c r="D39" s="3" t="s">
        <v>137</v>
      </c>
      <c r="E39" s="1" t="s">
        <v>7</v>
      </c>
      <c r="F39" s="1" t="s">
        <v>39</v>
      </c>
      <c r="G39" s="1" t="s">
        <v>40</v>
      </c>
      <c r="H39" s="1" t="s">
        <v>74</v>
      </c>
      <c r="I39" s="1" t="s">
        <v>198</v>
      </c>
      <c r="J39" s="1" t="s">
        <v>200</v>
      </c>
      <c r="K39" s="1" t="str">
        <f t="shared" si="0"/>
        <v>CEO of the Quarter Q1-FY25</v>
      </c>
    </row>
    <row r="40" spans="1:11" hidden="1" x14ac:dyDescent="0.35">
      <c r="A40" s="1">
        <v>39</v>
      </c>
      <c r="B40" s="1">
        <v>7566</v>
      </c>
      <c r="C40" s="4" t="s">
        <v>115</v>
      </c>
      <c r="D40" s="3" t="s">
        <v>138</v>
      </c>
      <c r="E40" s="1" t="s">
        <v>7</v>
      </c>
      <c r="F40" s="1" t="s">
        <v>39</v>
      </c>
      <c r="G40" s="1" t="s">
        <v>40</v>
      </c>
      <c r="H40" s="1" t="s">
        <v>32</v>
      </c>
      <c r="I40" s="1" t="s">
        <v>198</v>
      </c>
      <c r="J40" s="1" t="s">
        <v>200</v>
      </c>
      <c r="K40" s="1" t="str">
        <f t="shared" si="0"/>
        <v>CEO of the Quarter Q1-FY25</v>
      </c>
    </row>
    <row r="41" spans="1:11" hidden="1" x14ac:dyDescent="0.35">
      <c r="A41" s="1">
        <v>40</v>
      </c>
      <c r="B41" s="1">
        <v>5714</v>
      </c>
      <c r="C41" s="4" t="s">
        <v>116</v>
      </c>
      <c r="D41" s="3" t="s">
        <v>139</v>
      </c>
      <c r="E41" s="1" t="s">
        <v>47</v>
      </c>
      <c r="F41" s="1" t="s">
        <v>158</v>
      </c>
      <c r="G41" s="1" t="s">
        <v>9</v>
      </c>
      <c r="H41" s="1" t="s">
        <v>54</v>
      </c>
      <c r="I41" s="1" t="s">
        <v>198</v>
      </c>
      <c r="J41" s="1" t="s">
        <v>200</v>
      </c>
      <c r="K41" s="1" t="str">
        <f t="shared" si="0"/>
        <v>CEO of the Quarter Q1-FY25</v>
      </c>
    </row>
    <row r="42" spans="1:11" hidden="1" x14ac:dyDescent="0.35">
      <c r="A42" s="1">
        <v>41</v>
      </c>
      <c r="B42" s="1">
        <v>4004</v>
      </c>
      <c r="C42" s="4" t="s">
        <v>172</v>
      </c>
      <c r="D42" s="3" t="s">
        <v>183</v>
      </c>
      <c r="E42" s="1" t="s">
        <v>7</v>
      </c>
      <c r="F42" s="1" t="s">
        <v>193</v>
      </c>
      <c r="G42" s="1" t="s">
        <v>9</v>
      </c>
      <c r="H42" s="1" t="s">
        <v>54</v>
      </c>
      <c r="I42" s="1" t="s">
        <v>198</v>
      </c>
      <c r="J42" s="1" t="s">
        <v>200</v>
      </c>
      <c r="K42" s="1" t="str">
        <f t="shared" si="0"/>
        <v>CEO of the Quarter Q1-FY25</v>
      </c>
    </row>
    <row r="43" spans="1:11" hidden="1" x14ac:dyDescent="0.35">
      <c r="A43" s="1">
        <v>42</v>
      </c>
      <c r="B43" s="1">
        <v>3098</v>
      </c>
      <c r="C43" s="4" t="s">
        <v>173</v>
      </c>
      <c r="D43" s="3" t="s">
        <v>184</v>
      </c>
      <c r="E43" s="1" t="s">
        <v>7</v>
      </c>
      <c r="F43" s="1" t="s">
        <v>194</v>
      </c>
      <c r="G43" s="1" t="s">
        <v>73</v>
      </c>
      <c r="H43" s="1" t="s">
        <v>74</v>
      </c>
      <c r="I43" s="1" t="s">
        <v>198</v>
      </c>
      <c r="J43" s="1" t="s">
        <v>200</v>
      </c>
      <c r="K43" s="1" t="str">
        <f t="shared" si="0"/>
        <v>CEO of the Quarter Q1-FY25</v>
      </c>
    </row>
    <row r="44" spans="1:11" hidden="1" x14ac:dyDescent="0.35">
      <c r="A44" s="1">
        <v>43</v>
      </c>
      <c r="B44" s="1">
        <v>7634</v>
      </c>
      <c r="C44" s="4" t="s">
        <v>117</v>
      </c>
      <c r="D44" s="3" t="s">
        <v>140</v>
      </c>
      <c r="E44" s="1" t="s">
        <v>28</v>
      </c>
      <c r="F44" s="1" t="s">
        <v>159</v>
      </c>
      <c r="G44" s="1" t="s">
        <v>168</v>
      </c>
      <c r="H44" s="1" t="s">
        <v>10</v>
      </c>
      <c r="I44" s="1" t="s">
        <v>198</v>
      </c>
      <c r="J44" s="1" t="s">
        <v>200</v>
      </c>
      <c r="K44" s="1" t="str">
        <f t="shared" si="0"/>
        <v>CEO of the Quarter Q1-FY25</v>
      </c>
    </row>
    <row r="45" spans="1:11" hidden="1" x14ac:dyDescent="0.35">
      <c r="A45" s="1">
        <v>44</v>
      </c>
      <c r="B45" s="1">
        <v>7445</v>
      </c>
      <c r="C45" s="4" t="s">
        <v>118</v>
      </c>
      <c r="D45" s="3" t="s">
        <v>141</v>
      </c>
      <c r="E45" s="1" t="s">
        <v>28</v>
      </c>
      <c r="F45" s="1" t="s">
        <v>160</v>
      </c>
      <c r="G45" s="1" t="s">
        <v>73</v>
      </c>
      <c r="H45" s="1" t="s">
        <v>74</v>
      </c>
      <c r="I45" s="1" t="s">
        <v>198</v>
      </c>
      <c r="J45" s="1" t="s">
        <v>200</v>
      </c>
      <c r="K45" s="1" t="str">
        <f t="shared" si="0"/>
        <v>CEO of the Quarter Q1-FY25</v>
      </c>
    </row>
    <row r="46" spans="1:11" hidden="1" x14ac:dyDescent="0.35">
      <c r="A46" s="1">
        <v>45</v>
      </c>
      <c r="B46" s="1">
        <v>7030</v>
      </c>
      <c r="C46" s="4" t="s">
        <v>174</v>
      </c>
      <c r="D46" s="3" t="s">
        <v>185</v>
      </c>
      <c r="E46" s="1" t="s">
        <v>7</v>
      </c>
      <c r="F46" s="1" t="s">
        <v>72</v>
      </c>
      <c r="G46" s="1" t="s">
        <v>73</v>
      </c>
      <c r="H46" s="1" t="s">
        <v>74</v>
      </c>
      <c r="I46" s="1" t="s">
        <v>198</v>
      </c>
      <c r="J46" s="1" t="s">
        <v>200</v>
      </c>
      <c r="K46" s="1" t="str">
        <f t="shared" si="0"/>
        <v>CEO of the Quarter Q1-FY25</v>
      </c>
    </row>
    <row r="47" spans="1:11" hidden="1" x14ac:dyDescent="0.35">
      <c r="A47" s="1">
        <v>46</v>
      </c>
      <c r="B47" s="1">
        <v>6918</v>
      </c>
      <c r="C47" s="4" t="s">
        <v>119</v>
      </c>
      <c r="D47" s="3" t="s">
        <v>142</v>
      </c>
      <c r="E47" s="1" t="s">
        <v>7</v>
      </c>
      <c r="F47" s="1" t="s">
        <v>72</v>
      </c>
      <c r="G47" s="1" t="s">
        <v>73</v>
      </c>
      <c r="H47" s="1" t="s">
        <v>74</v>
      </c>
      <c r="I47" s="1" t="s">
        <v>198</v>
      </c>
      <c r="J47" s="1" t="s">
        <v>200</v>
      </c>
      <c r="K47" s="1" t="str">
        <f t="shared" si="0"/>
        <v>CEO of the Quarter Q1-FY25</v>
      </c>
    </row>
    <row r="48" spans="1:11" hidden="1" x14ac:dyDescent="0.35">
      <c r="A48" s="1">
        <v>47</v>
      </c>
      <c r="B48" s="1">
        <v>6694</v>
      </c>
      <c r="C48" s="4" t="s">
        <v>120</v>
      </c>
      <c r="D48" s="3" t="s">
        <v>143</v>
      </c>
      <c r="E48" s="1" t="s">
        <v>7</v>
      </c>
      <c r="F48" s="1" t="s">
        <v>161</v>
      </c>
      <c r="G48" s="1" t="s">
        <v>40</v>
      </c>
      <c r="H48" s="1" t="s">
        <v>74</v>
      </c>
      <c r="I48" s="1" t="s">
        <v>198</v>
      </c>
      <c r="J48" s="1" t="s">
        <v>200</v>
      </c>
      <c r="K48" s="1" t="str">
        <f t="shared" si="0"/>
        <v>CEO of the Quarter Q1-FY25</v>
      </c>
    </row>
    <row r="49" spans="1:11" hidden="1" x14ac:dyDescent="0.35">
      <c r="A49" s="1">
        <v>48</v>
      </c>
      <c r="B49" s="1">
        <v>5194</v>
      </c>
      <c r="C49" s="4" t="s">
        <v>121</v>
      </c>
      <c r="D49" s="3" t="s">
        <v>144</v>
      </c>
      <c r="E49" s="1" t="s">
        <v>7</v>
      </c>
      <c r="F49" s="1" t="s">
        <v>162</v>
      </c>
      <c r="G49" s="1" t="s">
        <v>40</v>
      </c>
      <c r="H49" s="1" t="s">
        <v>32</v>
      </c>
      <c r="I49" s="1" t="s">
        <v>198</v>
      </c>
      <c r="J49" s="1" t="s">
        <v>200</v>
      </c>
      <c r="K49" s="1" t="str">
        <f t="shared" si="0"/>
        <v>CEO of the Quarter Q1-FY25</v>
      </c>
    </row>
    <row r="50" spans="1:11" hidden="1" x14ac:dyDescent="0.35">
      <c r="A50" s="1">
        <v>49</v>
      </c>
      <c r="B50" s="1">
        <v>6803</v>
      </c>
      <c r="C50" s="4" t="s">
        <v>122</v>
      </c>
      <c r="D50" s="3" t="s">
        <v>145</v>
      </c>
      <c r="E50" s="1" t="s">
        <v>7</v>
      </c>
      <c r="F50" s="1" t="s">
        <v>157</v>
      </c>
      <c r="G50" s="1" t="s">
        <v>24</v>
      </c>
      <c r="H50" s="1" t="s">
        <v>10</v>
      </c>
      <c r="I50" s="1" t="s">
        <v>198</v>
      </c>
      <c r="J50" s="1" t="s">
        <v>200</v>
      </c>
      <c r="K50" s="1" t="str">
        <f t="shared" si="0"/>
        <v>CEO of the Quarter Q1-FY25</v>
      </c>
    </row>
    <row r="51" spans="1:11" hidden="1" x14ac:dyDescent="0.35">
      <c r="A51" s="1">
        <v>50</v>
      </c>
      <c r="B51" s="1">
        <v>2815</v>
      </c>
      <c r="C51" s="4" t="s">
        <v>123</v>
      </c>
      <c r="D51" s="3" t="s">
        <v>146</v>
      </c>
      <c r="E51" s="1" t="s">
        <v>28</v>
      </c>
      <c r="F51" s="1" t="s">
        <v>160</v>
      </c>
      <c r="G51" s="1" t="s">
        <v>73</v>
      </c>
      <c r="H51" s="1" t="s">
        <v>74</v>
      </c>
      <c r="I51" s="1" t="s">
        <v>198</v>
      </c>
      <c r="J51" s="1" t="s">
        <v>200</v>
      </c>
      <c r="K51" s="1" t="str">
        <f t="shared" si="0"/>
        <v>CEO of the Quarter Q1-FY25</v>
      </c>
    </row>
    <row r="52" spans="1:11" hidden="1" x14ac:dyDescent="0.35">
      <c r="A52" s="1">
        <v>51</v>
      </c>
      <c r="B52" s="1">
        <v>7469</v>
      </c>
      <c r="C52" s="4" t="s">
        <v>175</v>
      </c>
      <c r="D52" s="3" t="s">
        <v>186</v>
      </c>
      <c r="E52" s="1" t="s">
        <v>7</v>
      </c>
      <c r="F52" s="1" t="s">
        <v>195</v>
      </c>
      <c r="G52" s="1" t="s">
        <v>35</v>
      </c>
      <c r="H52" s="1" t="s">
        <v>32</v>
      </c>
      <c r="I52" s="1" t="s">
        <v>198</v>
      </c>
      <c r="J52" s="1" t="s">
        <v>200</v>
      </c>
      <c r="K52" s="1" t="str">
        <f t="shared" si="0"/>
        <v>CEO of the Quarter Q1-FY25</v>
      </c>
    </row>
    <row r="53" spans="1:11" hidden="1" x14ac:dyDescent="0.35">
      <c r="A53" s="1">
        <v>52</v>
      </c>
      <c r="B53" s="1">
        <v>7569</v>
      </c>
      <c r="C53" s="4" t="s">
        <v>124</v>
      </c>
      <c r="D53" s="3" t="s">
        <v>147</v>
      </c>
      <c r="E53" s="1" t="s">
        <v>7</v>
      </c>
      <c r="F53" s="1" t="s">
        <v>163</v>
      </c>
      <c r="G53" s="1" t="s">
        <v>73</v>
      </c>
      <c r="H53" s="1" t="s">
        <v>74</v>
      </c>
      <c r="I53" s="1" t="s">
        <v>198</v>
      </c>
      <c r="J53" s="1" t="s">
        <v>200</v>
      </c>
      <c r="K53" s="1" t="str">
        <f t="shared" si="0"/>
        <v>CEO of the Quarter Q1-FY25</v>
      </c>
    </row>
    <row r="54" spans="1:11" hidden="1" x14ac:dyDescent="0.35">
      <c r="A54" s="1">
        <v>53</v>
      </c>
      <c r="B54" s="1">
        <v>7737</v>
      </c>
      <c r="C54" s="4" t="s">
        <v>176</v>
      </c>
      <c r="D54" s="3" t="s">
        <v>187</v>
      </c>
      <c r="E54" s="1" t="s">
        <v>7</v>
      </c>
      <c r="F54" s="1" t="s">
        <v>26</v>
      </c>
      <c r="G54" s="1" t="s">
        <v>21</v>
      </c>
      <c r="H54" s="1" t="s">
        <v>10</v>
      </c>
      <c r="I54" s="1" t="s">
        <v>198</v>
      </c>
      <c r="J54" s="1" t="s">
        <v>200</v>
      </c>
      <c r="K54" s="1" t="str">
        <f t="shared" si="0"/>
        <v>CEO of the Quarter Q1-FY25</v>
      </c>
    </row>
    <row r="55" spans="1:11" hidden="1" x14ac:dyDescent="0.35">
      <c r="A55" s="1">
        <v>54</v>
      </c>
      <c r="B55" s="1">
        <v>7808</v>
      </c>
      <c r="C55" s="4" t="s">
        <v>177</v>
      </c>
      <c r="D55" s="3" t="s">
        <v>188</v>
      </c>
      <c r="E55" s="1" t="s">
        <v>7</v>
      </c>
      <c r="F55" s="1" t="s">
        <v>196</v>
      </c>
      <c r="G55" s="1" t="s">
        <v>21</v>
      </c>
      <c r="H55" s="1" t="s">
        <v>10</v>
      </c>
      <c r="I55" s="1" t="s">
        <v>198</v>
      </c>
      <c r="J55" s="1" t="s">
        <v>200</v>
      </c>
      <c r="K55" s="1" t="str">
        <f t="shared" si="0"/>
        <v>CEO of the Quarter Q1-FY25</v>
      </c>
    </row>
    <row r="56" spans="1:11" hidden="1" x14ac:dyDescent="0.35">
      <c r="A56" s="1">
        <v>55</v>
      </c>
      <c r="B56" s="1">
        <v>4068</v>
      </c>
      <c r="C56" s="4" t="s">
        <v>178</v>
      </c>
      <c r="D56" s="3" t="s">
        <v>189</v>
      </c>
      <c r="E56" s="1" t="s">
        <v>47</v>
      </c>
      <c r="F56" s="1" t="s">
        <v>158</v>
      </c>
      <c r="G56" s="1" t="s">
        <v>9</v>
      </c>
      <c r="H56" s="1" t="s">
        <v>54</v>
      </c>
      <c r="I56" s="1" t="s">
        <v>198</v>
      </c>
      <c r="J56" s="1" t="s">
        <v>200</v>
      </c>
      <c r="K56" s="1" t="str">
        <f t="shared" si="0"/>
        <v>CEO of the Quarter Q1-FY25</v>
      </c>
    </row>
    <row r="57" spans="1:11" hidden="1" x14ac:dyDescent="0.35">
      <c r="A57" s="1">
        <v>56</v>
      </c>
      <c r="B57" s="1">
        <v>3447</v>
      </c>
      <c r="C57" s="4" t="s">
        <v>179</v>
      </c>
      <c r="D57" s="3" t="s">
        <v>190</v>
      </c>
      <c r="E57" s="1" t="s">
        <v>47</v>
      </c>
      <c r="F57" s="1" t="s">
        <v>197</v>
      </c>
      <c r="G57" s="1" t="s">
        <v>9</v>
      </c>
      <c r="H57" s="1" t="s">
        <v>54</v>
      </c>
      <c r="I57" s="1" t="s">
        <v>198</v>
      </c>
      <c r="J57" s="1" t="s">
        <v>200</v>
      </c>
      <c r="K57" s="1" t="str">
        <f t="shared" si="0"/>
        <v>CEO of the Quarter Q1-FY25</v>
      </c>
    </row>
    <row r="58" spans="1:11" hidden="1" x14ac:dyDescent="0.35">
      <c r="A58" s="1">
        <v>57</v>
      </c>
      <c r="B58" s="1">
        <v>7638</v>
      </c>
      <c r="C58" s="4" t="s">
        <v>125</v>
      </c>
      <c r="D58" s="3" t="s">
        <v>148</v>
      </c>
      <c r="E58" s="1" t="s">
        <v>7</v>
      </c>
      <c r="F58" s="1" t="s">
        <v>39</v>
      </c>
      <c r="G58" s="1" t="s">
        <v>40</v>
      </c>
      <c r="H58" s="1" t="s">
        <v>74</v>
      </c>
      <c r="I58" s="1" t="s">
        <v>198</v>
      </c>
      <c r="J58" s="1" t="s">
        <v>200</v>
      </c>
      <c r="K58" s="1" t="str">
        <f t="shared" si="0"/>
        <v>CEO of the Quarter Q1-FY25</v>
      </c>
    </row>
    <row r="59" spans="1:11" hidden="1" x14ac:dyDescent="0.35">
      <c r="A59" s="1">
        <v>58</v>
      </c>
      <c r="B59" s="1">
        <v>6481</v>
      </c>
      <c r="C59" s="4" t="s">
        <v>126</v>
      </c>
      <c r="D59" s="3" t="s">
        <v>149</v>
      </c>
      <c r="E59" s="1" t="s">
        <v>28</v>
      </c>
      <c r="F59" s="1" t="s">
        <v>164</v>
      </c>
      <c r="G59" s="1" t="s">
        <v>21</v>
      </c>
      <c r="H59" s="1" t="s">
        <v>10</v>
      </c>
      <c r="I59" s="1" t="s">
        <v>198</v>
      </c>
      <c r="J59" s="1" t="s">
        <v>200</v>
      </c>
      <c r="K59" s="1" t="str">
        <f t="shared" si="0"/>
        <v>CEO of the Quarter Q1-FY25</v>
      </c>
    </row>
    <row r="60" spans="1:11" hidden="1" x14ac:dyDescent="0.35">
      <c r="A60" s="1">
        <v>59</v>
      </c>
      <c r="B60" s="1">
        <v>4937</v>
      </c>
      <c r="C60" s="4" t="s">
        <v>127</v>
      </c>
      <c r="D60" s="3" t="s">
        <v>150</v>
      </c>
      <c r="E60" s="1" t="s">
        <v>47</v>
      </c>
      <c r="F60" s="1" t="s">
        <v>165</v>
      </c>
      <c r="G60" s="1" t="s">
        <v>53</v>
      </c>
      <c r="H60" s="1" t="s">
        <v>54</v>
      </c>
      <c r="I60" s="1" t="s">
        <v>198</v>
      </c>
      <c r="J60" s="1" t="s">
        <v>200</v>
      </c>
      <c r="K60" s="1" t="str">
        <f t="shared" si="0"/>
        <v>CEO of the Quarter Q1-FY25</v>
      </c>
    </row>
    <row r="61" spans="1:11" hidden="1" x14ac:dyDescent="0.35">
      <c r="A61" s="1">
        <v>60</v>
      </c>
      <c r="B61" s="1">
        <v>6593</v>
      </c>
      <c r="C61" s="4" t="s">
        <v>128</v>
      </c>
      <c r="D61" s="3" t="s">
        <v>151</v>
      </c>
      <c r="E61" s="1" t="s">
        <v>7</v>
      </c>
      <c r="F61" s="1" t="s">
        <v>166</v>
      </c>
      <c r="G61" s="1" t="s">
        <v>24</v>
      </c>
      <c r="H61" s="1" t="s">
        <v>54</v>
      </c>
      <c r="I61" s="1" t="s">
        <v>198</v>
      </c>
      <c r="J61" s="1" t="s">
        <v>200</v>
      </c>
      <c r="K61" s="1" t="str">
        <f t="shared" si="0"/>
        <v>CEO of the Quarter Q1-FY25</v>
      </c>
    </row>
    <row r="62" spans="1:11" hidden="1" x14ac:dyDescent="0.35">
      <c r="A62" s="1">
        <v>61</v>
      </c>
      <c r="B62" s="1">
        <v>7637</v>
      </c>
      <c r="C62" s="4" t="s">
        <v>129</v>
      </c>
      <c r="D62" s="3" t="s">
        <v>152</v>
      </c>
      <c r="E62" s="1" t="s">
        <v>7</v>
      </c>
      <c r="F62" s="1" t="s">
        <v>72</v>
      </c>
      <c r="G62" s="1" t="s">
        <v>73</v>
      </c>
      <c r="H62" s="1" t="s">
        <v>74</v>
      </c>
      <c r="I62" s="1" t="s">
        <v>198</v>
      </c>
      <c r="J62" s="1" t="s">
        <v>200</v>
      </c>
      <c r="K62" s="1" t="str">
        <f t="shared" si="0"/>
        <v>CEO of the Quarter Q1-FY25</v>
      </c>
    </row>
    <row r="63" spans="1:11" hidden="1" x14ac:dyDescent="0.35">
      <c r="A63" s="1">
        <v>62</v>
      </c>
      <c r="B63" s="1">
        <v>7642</v>
      </c>
      <c r="C63" s="4" t="s">
        <v>130</v>
      </c>
      <c r="D63" s="3" t="s">
        <v>153</v>
      </c>
      <c r="E63" s="1" t="s">
        <v>47</v>
      </c>
      <c r="F63" s="1" t="s">
        <v>167</v>
      </c>
      <c r="G63" s="1" t="s">
        <v>35</v>
      </c>
      <c r="H63" s="1" t="s">
        <v>32</v>
      </c>
      <c r="I63" s="1" t="s">
        <v>198</v>
      </c>
      <c r="J63" s="1" t="s">
        <v>200</v>
      </c>
      <c r="K63" s="1" t="str">
        <f t="shared" si="0"/>
        <v>CEO of the Quarter Q1-FY25</v>
      </c>
    </row>
    <row r="64" spans="1:11" hidden="1" x14ac:dyDescent="0.35">
      <c r="A64" s="1">
        <v>63</v>
      </c>
      <c r="B64" s="4">
        <v>7667</v>
      </c>
      <c r="C64" s="4" t="s">
        <v>57</v>
      </c>
      <c r="D64" s="3" t="s">
        <v>202</v>
      </c>
      <c r="E64" s="1" t="s">
        <v>7</v>
      </c>
      <c r="F64" s="1" t="s">
        <v>58</v>
      </c>
      <c r="G64" s="6" t="s">
        <v>16</v>
      </c>
      <c r="H64" s="6" t="s">
        <v>54</v>
      </c>
      <c r="I64" s="1" t="s">
        <v>252</v>
      </c>
      <c r="J64" s="1" t="s">
        <v>200</v>
      </c>
      <c r="K64" s="1" t="str">
        <f t="shared" si="0"/>
        <v>CEO of the Quarter Q2-FY 25</v>
      </c>
    </row>
    <row r="65" spans="1:11" hidden="1" x14ac:dyDescent="0.35">
      <c r="A65" s="1">
        <v>64</v>
      </c>
      <c r="B65" s="4">
        <v>7756</v>
      </c>
      <c r="C65" s="4" t="s">
        <v>65</v>
      </c>
      <c r="D65" s="3" t="s">
        <v>203</v>
      </c>
      <c r="E65" s="1" t="s">
        <v>7</v>
      </c>
      <c r="F65" s="1" t="s">
        <v>66</v>
      </c>
      <c r="G65" s="6" t="s">
        <v>9</v>
      </c>
      <c r="H65" s="6" t="s">
        <v>54</v>
      </c>
      <c r="I65" s="1" t="s">
        <v>252</v>
      </c>
      <c r="J65" s="1" t="s">
        <v>200</v>
      </c>
      <c r="K65" s="1" t="str">
        <f t="shared" si="0"/>
        <v>CEO of the Quarter Q2-FY 25</v>
      </c>
    </row>
    <row r="66" spans="1:11" hidden="1" x14ac:dyDescent="0.35">
      <c r="A66" s="1">
        <v>65</v>
      </c>
      <c r="B66" s="4">
        <v>5522</v>
      </c>
      <c r="C66" s="4" t="s">
        <v>253</v>
      </c>
      <c r="D66" s="3" t="s">
        <v>204</v>
      </c>
      <c r="E66" s="1" t="s">
        <v>7</v>
      </c>
      <c r="F66" s="1" t="s">
        <v>234</v>
      </c>
      <c r="G66" s="6" t="s">
        <v>73</v>
      </c>
      <c r="H66" s="6" t="s">
        <v>74</v>
      </c>
      <c r="I66" s="1" t="s">
        <v>252</v>
      </c>
      <c r="J66" s="1" t="s">
        <v>200</v>
      </c>
      <c r="K66" s="1" t="str">
        <f t="shared" si="0"/>
        <v>CEO of the Quarter Q2-FY 25</v>
      </c>
    </row>
    <row r="67" spans="1:11" hidden="1" x14ac:dyDescent="0.35">
      <c r="A67" s="1">
        <v>66</v>
      </c>
      <c r="B67" s="4">
        <v>3063</v>
      </c>
      <c r="C67" s="4" t="s">
        <v>254</v>
      </c>
      <c r="D67" s="3" t="s">
        <v>205</v>
      </c>
      <c r="E67" s="1" t="s">
        <v>7</v>
      </c>
      <c r="F67" s="1" t="s">
        <v>162</v>
      </c>
      <c r="G67" s="6" t="s">
        <v>40</v>
      </c>
      <c r="H67" s="6" t="s">
        <v>251</v>
      </c>
      <c r="I67" s="1" t="s">
        <v>252</v>
      </c>
      <c r="J67" s="1" t="s">
        <v>200</v>
      </c>
      <c r="K67" s="1" t="str">
        <f t="shared" ref="K67:K130" si="1">_xlfn.CONCAT(J67," ",I67)</f>
        <v>CEO of the Quarter Q2-FY 25</v>
      </c>
    </row>
    <row r="68" spans="1:11" hidden="1" x14ac:dyDescent="0.35">
      <c r="A68" s="1">
        <v>67</v>
      </c>
      <c r="B68" s="4">
        <v>7268</v>
      </c>
      <c r="C68" s="4" t="s">
        <v>255</v>
      </c>
      <c r="D68" s="3" t="s">
        <v>206</v>
      </c>
      <c r="E68" s="4" t="s">
        <v>47</v>
      </c>
      <c r="F68" s="4" t="s">
        <v>158</v>
      </c>
      <c r="G68" s="5" t="s">
        <v>9</v>
      </c>
      <c r="H68" s="6" t="s">
        <v>54</v>
      </c>
      <c r="I68" s="1" t="s">
        <v>252</v>
      </c>
      <c r="J68" s="1" t="s">
        <v>200</v>
      </c>
      <c r="K68" s="1" t="str">
        <f t="shared" si="1"/>
        <v>CEO of the Quarter Q2-FY 25</v>
      </c>
    </row>
    <row r="69" spans="1:11" hidden="1" x14ac:dyDescent="0.35">
      <c r="A69" s="1">
        <v>68</v>
      </c>
      <c r="B69" s="4">
        <v>7291</v>
      </c>
      <c r="C69" s="4" t="s">
        <v>256</v>
      </c>
      <c r="D69" s="3" t="s">
        <v>207</v>
      </c>
      <c r="E69" s="1" t="s">
        <v>7</v>
      </c>
      <c r="F69" s="1" t="s">
        <v>8</v>
      </c>
      <c r="G69" s="6" t="s">
        <v>9</v>
      </c>
      <c r="H69" s="6" t="s">
        <v>10</v>
      </c>
      <c r="I69" s="1" t="s">
        <v>252</v>
      </c>
      <c r="J69" s="1" t="s">
        <v>200</v>
      </c>
      <c r="K69" s="1" t="str">
        <f t="shared" si="1"/>
        <v>CEO of the Quarter Q2-FY 25</v>
      </c>
    </row>
    <row r="70" spans="1:11" hidden="1" x14ac:dyDescent="0.35">
      <c r="A70" s="1">
        <v>69</v>
      </c>
      <c r="B70" s="4">
        <v>4518</v>
      </c>
      <c r="C70" s="4" t="s">
        <v>257</v>
      </c>
      <c r="D70" s="3" t="s">
        <v>208</v>
      </c>
      <c r="E70" s="1" t="s">
        <v>28</v>
      </c>
      <c r="F70" s="1" t="s">
        <v>235</v>
      </c>
      <c r="G70" s="6" t="s">
        <v>53</v>
      </c>
      <c r="H70" s="6" t="s">
        <v>54</v>
      </c>
      <c r="I70" s="1" t="s">
        <v>252</v>
      </c>
      <c r="J70" s="1" t="s">
        <v>200</v>
      </c>
      <c r="K70" s="1" t="str">
        <f t="shared" si="1"/>
        <v>CEO of the Quarter Q2-FY 25</v>
      </c>
    </row>
    <row r="71" spans="1:11" hidden="1" x14ac:dyDescent="0.35">
      <c r="A71" s="1">
        <v>70</v>
      </c>
      <c r="B71" s="4">
        <v>1585</v>
      </c>
      <c r="C71" s="4" t="s">
        <v>258</v>
      </c>
      <c r="D71" s="3" t="s">
        <v>209</v>
      </c>
      <c r="E71" s="1" t="s">
        <v>7</v>
      </c>
      <c r="F71" s="1" t="s">
        <v>236</v>
      </c>
      <c r="G71" s="6" t="s">
        <v>53</v>
      </c>
      <c r="H71" s="6" t="s">
        <v>54</v>
      </c>
      <c r="I71" s="1" t="s">
        <v>252</v>
      </c>
      <c r="J71" s="1" t="s">
        <v>200</v>
      </c>
      <c r="K71" s="1" t="str">
        <f t="shared" si="1"/>
        <v>CEO of the Quarter Q2-FY 25</v>
      </c>
    </row>
    <row r="72" spans="1:11" hidden="1" x14ac:dyDescent="0.35">
      <c r="A72" s="1">
        <v>71</v>
      </c>
      <c r="B72" s="4">
        <v>7292</v>
      </c>
      <c r="C72" s="4" t="s">
        <v>259</v>
      </c>
      <c r="D72" s="3" t="s">
        <v>210</v>
      </c>
      <c r="E72" s="1" t="s">
        <v>47</v>
      </c>
      <c r="F72" s="1" t="s">
        <v>237</v>
      </c>
      <c r="G72" s="6" t="s">
        <v>35</v>
      </c>
      <c r="H72" s="6" t="s">
        <v>32</v>
      </c>
      <c r="I72" s="1" t="s">
        <v>252</v>
      </c>
      <c r="J72" s="1" t="s">
        <v>200</v>
      </c>
      <c r="K72" s="1" t="str">
        <f t="shared" si="1"/>
        <v>CEO of the Quarter Q2-FY 25</v>
      </c>
    </row>
    <row r="73" spans="1:11" hidden="1" x14ac:dyDescent="0.35">
      <c r="A73" s="1">
        <v>72</v>
      </c>
      <c r="B73" s="4">
        <v>6837</v>
      </c>
      <c r="C73" s="4" t="s">
        <v>260</v>
      </c>
      <c r="D73" s="3" t="s">
        <v>211</v>
      </c>
      <c r="E73" s="1" t="s">
        <v>47</v>
      </c>
      <c r="F73" s="1" t="s">
        <v>238</v>
      </c>
      <c r="G73" s="6" t="s">
        <v>73</v>
      </c>
      <c r="H73" s="6" t="s">
        <v>74</v>
      </c>
      <c r="I73" s="1" t="s">
        <v>252</v>
      </c>
      <c r="J73" s="1" t="s">
        <v>200</v>
      </c>
      <c r="K73" s="1" t="str">
        <f t="shared" si="1"/>
        <v>CEO of the Quarter Q2-FY 25</v>
      </c>
    </row>
    <row r="74" spans="1:11" hidden="1" x14ac:dyDescent="0.35">
      <c r="A74" s="1">
        <v>73</v>
      </c>
      <c r="B74" s="4">
        <v>7046</v>
      </c>
      <c r="C74" s="4" t="s">
        <v>261</v>
      </c>
      <c r="D74" s="3" t="s">
        <v>212</v>
      </c>
      <c r="E74" s="1" t="s">
        <v>7</v>
      </c>
      <c r="F74" s="1" t="s">
        <v>18</v>
      </c>
      <c r="G74" s="6" t="s">
        <v>9</v>
      </c>
      <c r="H74" s="6" t="s">
        <v>10</v>
      </c>
      <c r="I74" s="1" t="s">
        <v>252</v>
      </c>
      <c r="J74" s="1" t="s">
        <v>200</v>
      </c>
      <c r="K74" s="1" t="str">
        <f t="shared" si="1"/>
        <v>CEO of the Quarter Q2-FY 25</v>
      </c>
    </row>
    <row r="75" spans="1:11" hidden="1" x14ac:dyDescent="0.35">
      <c r="A75" s="1">
        <v>74</v>
      </c>
      <c r="B75" s="4">
        <v>7208</v>
      </c>
      <c r="C75" s="4" t="s">
        <v>262</v>
      </c>
      <c r="D75" s="3" t="s">
        <v>213</v>
      </c>
      <c r="E75" s="1" t="s">
        <v>47</v>
      </c>
      <c r="F75" s="1" t="s">
        <v>239</v>
      </c>
      <c r="G75" s="6" t="s">
        <v>35</v>
      </c>
      <c r="H75" s="6" t="s">
        <v>32</v>
      </c>
      <c r="I75" s="1" t="s">
        <v>252</v>
      </c>
      <c r="J75" s="1" t="s">
        <v>200</v>
      </c>
      <c r="K75" s="1" t="str">
        <f t="shared" si="1"/>
        <v>CEO of the Quarter Q2-FY 25</v>
      </c>
    </row>
    <row r="76" spans="1:11" hidden="1" x14ac:dyDescent="0.35">
      <c r="A76" s="1">
        <v>75</v>
      </c>
      <c r="B76" s="4">
        <v>7452</v>
      </c>
      <c r="C76" s="4" t="s">
        <v>263</v>
      </c>
      <c r="D76" s="3" t="s">
        <v>214</v>
      </c>
      <c r="E76" s="1" t="s">
        <v>7</v>
      </c>
      <c r="F76" s="1" t="s">
        <v>240</v>
      </c>
      <c r="G76" s="6" t="s">
        <v>249</v>
      </c>
      <c r="H76" s="6" t="s">
        <v>10</v>
      </c>
      <c r="I76" s="1" t="s">
        <v>252</v>
      </c>
      <c r="J76" s="1" t="s">
        <v>200</v>
      </c>
      <c r="K76" s="1" t="str">
        <f t="shared" si="1"/>
        <v>CEO of the Quarter Q2-FY 25</v>
      </c>
    </row>
    <row r="77" spans="1:11" hidden="1" x14ac:dyDescent="0.35">
      <c r="A77" s="1">
        <v>76</v>
      </c>
      <c r="B77" s="4">
        <v>4366</v>
      </c>
      <c r="C77" s="4" t="s">
        <v>264</v>
      </c>
      <c r="D77" s="3" t="s">
        <v>215</v>
      </c>
      <c r="E77" s="1" t="s">
        <v>7</v>
      </c>
      <c r="F77" s="1" t="s">
        <v>241</v>
      </c>
      <c r="G77" s="6" t="s">
        <v>53</v>
      </c>
      <c r="H77" s="6" t="s">
        <v>54</v>
      </c>
      <c r="I77" s="1" t="s">
        <v>252</v>
      </c>
      <c r="J77" s="1" t="s">
        <v>200</v>
      </c>
      <c r="K77" s="1" t="str">
        <f t="shared" si="1"/>
        <v>CEO of the Quarter Q2-FY 25</v>
      </c>
    </row>
    <row r="78" spans="1:11" hidden="1" x14ac:dyDescent="0.35">
      <c r="A78" s="1">
        <v>77</v>
      </c>
      <c r="B78" s="4">
        <v>2243</v>
      </c>
      <c r="C78" s="4" t="s">
        <v>63</v>
      </c>
      <c r="D78" s="3" t="s">
        <v>216</v>
      </c>
      <c r="E78" s="1" t="s">
        <v>28</v>
      </c>
      <c r="F78" s="1" t="s">
        <v>64</v>
      </c>
      <c r="G78" s="6" t="s">
        <v>53</v>
      </c>
      <c r="H78" s="6" t="s">
        <v>54</v>
      </c>
      <c r="I78" s="1" t="s">
        <v>252</v>
      </c>
      <c r="J78" s="1" t="s">
        <v>200</v>
      </c>
      <c r="K78" s="1" t="str">
        <f t="shared" si="1"/>
        <v>CEO of the Quarter Q2-FY 25</v>
      </c>
    </row>
    <row r="79" spans="1:11" hidden="1" x14ac:dyDescent="0.35">
      <c r="A79" s="1">
        <v>78</v>
      </c>
      <c r="B79" s="4">
        <v>767</v>
      </c>
      <c r="C79" s="4" t="s">
        <v>265</v>
      </c>
      <c r="D79" s="3" t="s">
        <v>217</v>
      </c>
      <c r="E79" s="1" t="s">
        <v>28</v>
      </c>
      <c r="F79" s="1" t="s">
        <v>242</v>
      </c>
      <c r="G79" s="6" t="s">
        <v>168</v>
      </c>
      <c r="H79" s="6" t="s">
        <v>10</v>
      </c>
      <c r="I79" s="1" t="s">
        <v>252</v>
      </c>
      <c r="J79" s="1" t="s">
        <v>200</v>
      </c>
      <c r="K79" s="1" t="str">
        <f t="shared" si="1"/>
        <v>CEO of the Quarter Q2-FY 25</v>
      </c>
    </row>
    <row r="80" spans="1:11" hidden="1" x14ac:dyDescent="0.35">
      <c r="A80" s="1">
        <v>79</v>
      </c>
      <c r="B80" s="4">
        <v>7584</v>
      </c>
      <c r="C80" s="4" t="s">
        <v>266</v>
      </c>
      <c r="D80" s="3" t="s">
        <v>218</v>
      </c>
      <c r="E80" s="1" t="s">
        <v>7</v>
      </c>
      <c r="F80" s="1" t="s">
        <v>8</v>
      </c>
      <c r="G80" s="6" t="s">
        <v>9</v>
      </c>
      <c r="H80" s="6" t="s">
        <v>10</v>
      </c>
      <c r="I80" s="1" t="s">
        <v>252</v>
      </c>
      <c r="J80" s="1" t="s">
        <v>200</v>
      </c>
      <c r="K80" s="1" t="str">
        <f t="shared" si="1"/>
        <v>CEO of the Quarter Q2-FY 25</v>
      </c>
    </row>
    <row r="81" spans="1:11" hidden="1" x14ac:dyDescent="0.35">
      <c r="A81" s="1">
        <v>80</v>
      </c>
      <c r="B81" s="4">
        <v>1907</v>
      </c>
      <c r="C81" s="4" t="s">
        <v>267</v>
      </c>
      <c r="D81" s="3" t="s">
        <v>219</v>
      </c>
      <c r="E81" s="1" t="s">
        <v>28</v>
      </c>
      <c r="F81" s="1" t="s">
        <v>31</v>
      </c>
      <c r="G81" s="6" t="s">
        <v>24</v>
      </c>
      <c r="H81" s="6" t="s">
        <v>32</v>
      </c>
      <c r="I81" s="1" t="s">
        <v>252</v>
      </c>
      <c r="J81" s="1" t="s">
        <v>200</v>
      </c>
      <c r="K81" s="1" t="str">
        <f t="shared" si="1"/>
        <v>CEO of the Quarter Q2-FY 25</v>
      </c>
    </row>
    <row r="82" spans="1:11" hidden="1" x14ac:dyDescent="0.35">
      <c r="A82" s="1">
        <v>81</v>
      </c>
      <c r="B82" s="4">
        <v>1313</v>
      </c>
      <c r="C82" s="4" t="s">
        <v>61</v>
      </c>
      <c r="D82" s="3" t="s">
        <v>220</v>
      </c>
      <c r="E82" s="1" t="s">
        <v>28</v>
      </c>
      <c r="F82" s="1" t="s">
        <v>62</v>
      </c>
      <c r="G82" s="6" t="s">
        <v>53</v>
      </c>
      <c r="H82" s="6" t="s">
        <v>54</v>
      </c>
      <c r="I82" s="1" t="s">
        <v>252</v>
      </c>
      <c r="J82" s="1" t="s">
        <v>200</v>
      </c>
      <c r="K82" s="1" t="str">
        <f t="shared" si="1"/>
        <v>CEO of the Quarter Q2-FY 25</v>
      </c>
    </row>
    <row r="83" spans="1:11" hidden="1" x14ac:dyDescent="0.35">
      <c r="A83" s="1">
        <v>82</v>
      </c>
      <c r="B83" s="4">
        <v>4013</v>
      </c>
      <c r="C83" s="4" t="s">
        <v>268</v>
      </c>
      <c r="D83" s="3" t="s">
        <v>221</v>
      </c>
      <c r="E83" s="1" t="s">
        <v>7</v>
      </c>
      <c r="F83" s="1" t="s">
        <v>60</v>
      </c>
      <c r="G83" s="6" t="s">
        <v>9</v>
      </c>
      <c r="H83" s="6" t="s">
        <v>54</v>
      </c>
      <c r="I83" s="1" t="s">
        <v>252</v>
      </c>
      <c r="J83" s="1" t="s">
        <v>200</v>
      </c>
      <c r="K83" s="1" t="str">
        <f t="shared" si="1"/>
        <v>CEO of the Quarter Q2-FY 25</v>
      </c>
    </row>
    <row r="84" spans="1:11" hidden="1" x14ac:dyDescent="0.35">
      <c r="A84" s="1">
        <v>83</v>
      </c>
      <c r="B84" s="4">
        <v>4416</v>
      </c>
      <c r="C84" s="4" t="s">
        <v>269</v>
      </c>
      <c r="D84" s="3" t="s">
        <v>222</v>
      </c>
      <c r="E84" s="1" t="s">
        <v>7</v>
      </c>
      <c r="F84" s="1" t="s">
        <v>243</v>
      </c>
      <c r="G84" s="6" t="s">
        <v>35</v>
      </c>
      <c r="H84" s="6" t="s">
        <v>32</v>
      </c>
      <c r="I84" s="1" t="s">
        <v>252</v>
      </c>
      <c r="J84" s="1" t="s">
        <v>200</v>
      </c>
      <c r="K84" s="1" t="str">
        <f t="shared" si="1"/>
        <v>CEO of the Quarter Q2-FY 25</v>
      </c>
    </row>
    <row r="85" spans="1:11" hidden="1" x14ac:dyDescent="0.35">
      <c r="A85" s="1">
        <v>84</v>
      </c>
      <c r="B85" s="4">
        <v>7804</v>
      </c>
      <c r="C85" s="4" t="s">
        <v>270</v>
      </c>
      <c r="D85" s="3" t="s">
        <v>223</v>
      </c>
      <c r="E85" s="1" t="s">
        <v>28</v>
      </c>
      <c r="F85" s="1" t="s">
        <v>244</v>
      </c>
      <c r="G85" s="6" t="s">
        <v>24</v>
      </c>
      <c r="H85" s="6" t="s">
        <v>10</v>
      </c>
      <c r="I85" s="1" t="s">
        <v>252</v>
      </c>
      <c r="J85" s="1" t="s">
        <v>200</v>
      </c>
      <c r="K85" s="1" t="str">
        <f t="shared" si="1"/>
        <v>CEO of the Quarter Q2-FY 25</v>
      </c>
    </row>
    <row r="86" spans="1:11" hidden="1" x14ac:dyDescent="0.35">
      <c r="A86" s="1">
        <v>85</v>
      </c>
      <c r="B86" s="4">
        <v>7200</v>
      </c>
      <c r="C86" s="4" t="s">
        <v>271</v>
      </c>
      <c r="D86" s="3" t="s">
        <v>224</v>
      </c>
      <c r="E86" s="1" t="s">
        <v>7</v>
      </c>
      <c r="F86" s="1" t="s">
        <v>8</v>
      </c>
      <c r="G86" s="6" t="s">
        <v>9</v>
      </c>
      <c r="H86" s="6" t="s">
        <v>10</v>
      </c>
      <c r="I86" s="1" t="s">
        <v>252</v>
      </c>
      <c r="J86" s="1" t="s">
        <v>200</v>
      </c>
      <c r="K86" s="1" t="str">
        <f t="shared" si="1"/>
        <v>CEO of the Quarter Q2-FY 25</v>
      </c>
    </row>
    <row r="87" spans="1:11" hidden="1" x14ac:dyDescent="0.35">
      <c r="A87" s="1">
        <v>86</v>
      </c>
      <c r="B87" s="4">
        <v>7005</v>
      </c>
      <c r="C87" s="4" t="s">
        <v>272</v>
      </c>
      <c r="D87" s="3" t="s">
        <v>225</v>
      </c>
      <c r="E87" s="1" t="s">
        <v>47</v>
      </c>
      <c r="F87" s="1" t="s">
        <v>238</v>
      </c>
      <c r="G87" s="6" t="s">
        <v>73</v>
      </c>
      <c r="H87" s="6" t="s">
        <v>74</v>
      </c>
      <c r="I87" s="1" t="s">
        <v>252</v>
      </c>
      <c r="J87" s="1" t="s">
        <v>200</v>
      </c>
      <c r="K87" s="1" t="str">
        <f t="shared" si="1"/>
        <v>CEO of the Quarter Q2-FY 25</v>
      </c>
    </row>
    <row r="88" spans="1:11" hidden="1" x14ac:dyDescent="0.35">
      <c r="A88" s="1">
        <v>87</v>
      </c>
      <c r="B88" s="4">
        <v>7656</v>
      </c>
      <c r="C88" s="4" t="s">
        <v>25</v>
      </c>
      <c r="D88" s="3" t="s">
        <v>226</v>
      </c>
      <c r="E88" s="1" t="s">
        <v>7</v>
      </c>
      <c r="F88" s="1" t="s">
        <v>26</v>
      </c>
      <c r="G88" s="6" t="s">
        <v>21</v>
      </c>
      <c r="H88" s="6" t="s">
        <v>10</v>
      </c>
      <c r="I88" s="1" t="s">
        <v>252</v>
      </c>
      <c r="J88" s="1" t="s">
        <v>200</v>
      </c>
      <c r="K88" s="1" t="str">
        <f t="shared" si="1"/>
        <v>CEO of the Quarter Q2-FY 25</v>
      </c>
    </row>
    <row r="89" spans="1:11" hidden="1" x14ac:dyDescent="0.35">
      <c r="A89" s="1">
        <v>88</v>
      </c>
      <c r="B89" s="4">
        <v>7528</v>
      </c>
      <c r="C89" s="4" t="s">
        <v>273</v>
      </c>
      <c r="D89" s="3" t="s">
        <v>227</v>
      </c>
      <c r="E89" s="1" t="s">
        <v>7</v>
      </c>
      <c r="F89" s="1" t="s">
        <v>245</v>
      </c>
      <c r="G89" s="6" t="s">
        <v>40</v>
      </c>
      <c r="H89" s="6" t="s">
        <v>32</v>
      </c>
      <c r="I89" s="1" t="s">
        <v>252</v>
      </c>
      <c r="J89" s="1" t="s">
        <v>200</v>
      </c>
      <c r="K89" s="1" t="str">
        <f t="shared" si="1"/>
        <v>CEO of the Quarter Q2-FY 25</v>
      </c>
    </row>
    <row r="90" spans="1:11" hidden="1" x14ac:dyDescent="0.35">
      <c r="A90" s="1">
        <v>89</v>
      </c>
      <c r="B90" s="4">
        <v>7630</v>
      </c>
      <c r="C90" s="4" t="s">
        <v>274</v>
      </c>
      <c r="D90" s="3" t="s">
        <v>228</v>
      </c>
      <c r="E90" s="1" t="s">
        <v>7</v>
      </c>
      <c r="F90" s="1" t="s">
        <v>39</v>
      </c>
      <c r="G90" s="6" t="s">
        <v>40</v>
      </c>
      <c r="H90" s="6" t="s">
        <v>74</v>
      </c>
      <c r="I90" s="1" t="s">
        <v>252</v>
      </c>
      <c r="J90" s="1" t="s">
        <v>200</v>
      </c>
      <c r="K90" s="1" t="str">
        <f t="shared" si="1"/>
        <v>CEO of the Quarter Q2-FY 25</v>
      </c>
    </row>
    <row r="91" spans="1:11" hidden="1" x14ac:dyDescent="0.35">
      <c r="A91" s="1">
        <v>90</v>
      </c>
      <c r="B91" s="4">
        <v>7420</v>
      </c>
      <c r="C91" s="4" t="s">
        <v>275</v>
      </c>
      <c r="D91" s="3" t="s">
        <v>229</v>
      </c>
      <c r="E91" s="1" t="s">
        <v>7</v>
      </c>
      <c r="F91" s="1" t="s">
        <v>72</v>
      </c>
      <c r="G91" s="6" t="s">
        <v>73</v>
      </c>
      <c r="H91" s="6" t="s">
        <v>74</v>
      </c>
      <c r="I91" s="1" t="s">
        <v>252</v>
      </c>
      <c r="J91" s="1" t="s">
        <v>200</v>
      </c>
      <c r="K91" s="1" t="str">
        <f t="shared" si="1"/>
        <v>CEO of the Quarter Q2-FY 25</v>
      </c>
    </row>
    <row r="92" spans="1:11" hidden="1" x14ac:dyDescent="0.35">
      <c r="A92" s="1">
        <v>91</v>
      </c>
      <c r="B92" s="4">
        <v>2220</v>
      </c>
      <c r="C92" s="4" t="s">
        <v>33</v>
      </c>
      <c r="D92" s="3" t="s">
        <v>230</v>
      </c>
      <c r="E92" s="1" t="s">
        <v>28</v>
      </c>
      <c r="F92" s="1" t="s">
        <v>34</v>
      </c>
      <c r="G92" s="6" t="s">
        <v>35</v>
      </c>
      <c r="H92" s="6" t="s">
        <v>32</v>
      </c>
      <c r="I92" s="1" t="s">
        <v>252</v>
      </c>
      <c r="J92" s="1" t="s">
        <v>200</v>
      </c>
      <c r="K92" s="1" t="str">
        <f t="shared" si="1"/>
        <v>CEO of the Quarter Q2-FY 25</v>
      </c>
    </row>
    <row r="93" spans="1:11" hidden="1" x14ac:dyDescent="0.35">
      <c r="A93" s="1">
        <v>92</v>
      </c>
      <c r="B93" s="4">
        <v>7470</v>
      </c>
      <c r="C93" s="4" t="s">
        <v>276</v>
      </c>
      <c r="D93" s="3" t="s">
        <v>231</v>
      </c>
      <c r="E93" s="1" t="s">
        <v>47</v>
      </c>
      <c r="F93" s="1" t="s">
        <v>246</v>
      </c>
      <c r="G93" s="6" t="s">
        <v>35</v>
      </c>
      <c r="H93" s="6" t="s">
        <v>32</v>
      </c>
      <c r="I93" s="1" t="s">
        <v>252</v>
      </c>
      <c r="J93" s="1" t="s">
        <v>200</v>
      </c>
      <c r="K93" s="1" t="str">
        <f t="shared" si="1"/>
        <v>CEO of the Quarter Q2-FY 25</v>
      </c>
    </row>
    <row r="94" spans="1:11" hidden="1" x14ac:dyDescent="0.35">
      <c r="A94" s="1">
        <v>93</v>
      </c>
      <c r="B94" s="4">
        <v>6127</v>
      </c>
      <c r="C94" s="4" t="s">
        <v>277</v>
      </c>
      <c r="D94" s="3" t="s">
        <v>232</v>
      </c>
      <c r="E94" s="1" t="s">
        <v>7</v>
      </c>
      <c r="F94" s="1" t="s">
        <v>247</v>
      </c>
      <c r="G94" s="6" t="s">
        <v>250</v>
      </c>
      <c r="H94" s="6" t="s">
        <v>10</v>
      </c>
      <c r="I94" s="1" t="s">
        <v>252</v>
      </c>
      <c r="J94" s="1" t="s">
        <v>200</v>
      </c>
      <c r="K94" s="1" t="str">
        <f t="shared" si="1"/>
        <v>CEO of the Quarter Q2-FY 25</v>
      </c>
    </row>
    <row r="95" spans="1:11" hidden="1" x14ac:dyDescent="0.35">
      <c r="A95" s="1">
        <v>94</v>
      </c>
      <c r="B95" s="4">
        <v>1458</v>
      </c>
      <c r="C95" s="4" t="s">
        <v>278</v>
      </c>
      <c r="D95" s="3" t="s">
        <v>233</v>
      </c>
      <c r="E95" s="1" t="s">
        <v>28</v>
      </c>
      <c r="F95" s="1" t="s">
        <v>248</v>
      </c>
      <c r="G95" s="6" t="s">
        <v>40</v>
      </c>
      <c r="H95" s="6" t="s">
        <v>251</v>
      </c>
      <c r="I95" s="1" t="s">
        <v>252</v>
      </c>
      <c r="J95" s="1" t="s">
        <v>200</v>
      </c>
      <c r="K95" s="1" t="str">
        <f t="shared" si="1"/>
        <v>CEO of the Quarter Q2-FY 25</v>
      </c>
    </row>
    <row r="96" spans="1:11" hidden="1" x14ac:dyDescent="0.35">
      <c r="A96" s="1">
        <v>95</v>
      </c>
      <c r="B96" s="1">
        <v>7208</v>
      </c>
      <c r="C96" s="4" t="s">
        <v>262</v>
      </c>
      <c r="D96" s="3" t="s">
        <v>307</v>
      </c>
      <c r="E96" s="1" t="s">
        <v>47</v>
      </c>
      <c r="F96" s="1" t="s">
        <v>239</v>
      </c>
      <c r="G96" s="6" t="s">
        <v>35</v>
      </c>
      <c r="H96" s="6" t="s">
        <v>32</v>
      </c>
      <c r="I96" s="1" t="s">
        <v>1516</v>
      </c>
      <c r="J96" s="1" t="s">
        <v>200</v>
      </c>
      <c r="K96" s="1" t="str">
        <f t="shared" si="1"/>
        <v>CEO of the Quarter Q3-FY24</v>
      </c>
    </row>
    <row r="97" spans="1:11" hidden="1" x14ac:dyDescent="0.35">
      <c r="A97" s="1">
        <v>96</v>
      </c>
      <c r="B97" s="1">
        <v>6690</v>
      </c>
      <c r="C97" s="4" t="s">
        <v>280</v>
      </c>
      <c r="D97" s="3" t="s">
        <v>308</v>
      </c>
      <c r="E97" s="1" t="s">
        <v>7</v>
      </c>
      <c r="F97" s="1" t="s">
        <v>56</v>
      </c>
      <c r="G97" s="6" t="s">
        <v>16</v>
      </c>
      <c r="H97" s="6" t="s">
        <v>54</v>
      </c>
      <c r="I97" s="1" t="s">
        <v>1516</v>
      </c>
      <c r="J97" s="1" t="s">
        <v>200</v>
      </c>
      <c r="K97" s="1" t="str">
        <f t="shared" si="1"/>
        <v>CEO of the Quarter Q3-FY24</v>
      </c>
    </row>
    <row r="98" spans="1:11" hidden="1" x14ac:dyDescent="0.35">
      <c r="A98" s="1">
        <v>97</v>
      </c>
      <c r="B98" s="1">
        <v>4380</v>
      </c>
      <c r="C98" s="4" t="s">
        <v>281</v>
      </c>
      <c r="D98" s="3" t="s">
        <v>309</v>
      </c>
      <c r="E98" s="1" t="s">
        <v>7</v>
      </c>
      <c r="F98" s="1" t="s">
        <v>1670</v>
      </c>
      <c r="G98" s="6" t="s">
        <v>9</v>
      </c>
      <c r="H98" s="6" t="s">
        <v>10</v>
      </c>
      <c r="I98" s="1" t="s">
        <v>1516</v>
      </c>
      <c r="J98" s="1" t="s">
        <v>200</v>
      </c>
      <c r="K98" s="1" t="str">
        <f t="shared" si="1"/>
        <v>CEO of the Quarter Q3-FY24</v>
      </c>
    </row>
    <row r="99" spans="1:11" hidden="1" x14ac:dyDescent="0.35">
      <c r="A99" s="1">
        <v>98</v>
      </c>
      <c r="B99" s="1">
        <v>3899</v>
      </c>
      <c r="C99" s="4" t="s">
        <v>282</v>
      </c>
      <c r="D99" s="3" t="s">
        <v>310</v>
      </c>
      <c r="E99" s="1" t="s">
        <v>7</v>
      </c>
      <c r="F99" s="1" t="s">
        <v>162</v>
      </c>
      <c r="G99" s="6" t="s">
        <v>40</v>
      </c>
      <c r="H99" s="6" t="s">
        <v>74</v>
      </c>
      <c r="I99" s="1" t="s">
        <v>1516</v>
      </c>
      <c r="J99" s="1" t="s">
        <v>200</v>
      </c>
      <c r="K99" s="1" t="str">
        <f t="shared" si="1"/>
        <v>CEO of the Quarter Q3-FY24</v>
      </c>
    </row>
    <row r="100" spans="1:11" hidden="1" x14ac:dyDescent="0.35">
      <c r="A100" s="1">
        <v>99</v>
      </c>
      <c r="B100" s="1">
        <v>5735</v>
      </c>
      <c r="C100" s="4" t="s">
        <v>283</v>
      </c>
      <c r="D100" s="3" t="s">
        <v>311</v>
      </c>
      <c r="E100" s="1" t="s">
        <v>47</v>
      </c>
      <c r="F100" s="1" t="s">
        <v>1671</v>
      </c>
      <c r="G100" s="6" t="s">
        <v>35</v>
      </c>
      <c r="H100" s="6" t="s">
        <v>32</v>
      </c>
      <c r="I100" s="1" t="s">
        <v>1516</v>
      </c>
      <c r="J100" s="1" t="s">
        <v>200</v>
      </c>
      <c r="K100" s="1" t="str">
        <f t="shared" si="1"/>
        <v>CEO of the Quarter Q3-FY24</v>
      </c>
    </row>
    <row r="101" spans="1:11" hidden="1" x14ac:dyDescent="0.35">
      <c r="A101" s="1">
        <v>100</v>
      </c>
      <c r="B101" s="1">
        <v>7495</v>
      </c>
      <c r="C101" s="4" t="s">
        <v>284</v>
      </c>
      <c r="D101" s="3" t="s">
        <v>312</v>
      </c>
      <c r="E101" s="1" t="s">
        <v>47</v>
      </c>
      <c r="F101" s="1" t="s">
        <v>1672</v>
      </c>
      <c r="G101" s="6" t="s">
        <v>35</v>
      </c>
      <c r="H101" s="6" t="s">
        <v>32</v>
      </c>
      <c r="I101" s="1" t="s">
        <v>1516</v>
      </c>
      <c r="J101" s="1" t="s">
        <v>200</v>
      </c>
      <c r="K101" s="1" t="str">
        <f t="shared" si="1"/>
        <v>CEO of the Quarter Q3-FY24</v>
      </c>
    </row>
    <row r="102" spans="1:11" hidden="1" x14ac:dyDescent="0.35">
      <c r="A102" s="1">
        <v>101</v>
      </c>
      <c r="B102" s="1">
        <v>7434</v>
      </c>
      <c r="C102" s="4" t="s">
        <v>285</v>
      </c>
      <c r="D102" s="3" t="s">
        <v>313</v>
      </c>
      <c r="E102" s="1" t="s">
        <v>47</v>
      </c>
      <c r="F102" s="1" t="s">
        <v>1673</v>
      </c>
      <c r="G102" s="6" t="s">
        <v>35</v>
      </c>
      <c r="H102" s="6" t="s">
        <v>32</v>
      </c>
      <c r="I102" s="1" t="s">
        <v>1516</v>
      </c>
      <c r="J102" s="1" t="s">
        <v>200</v>
      </c>
      <c r="K102" s="1" t="str">
        <f t="shared" si="1"/>
        <v>CEO of the Quarter Q3-FY24</v>
      </c>
    </row>
    <row r="103" spans="1:11" hidden="1" x14ac:dyDescent="0.35">
      <c r="A103" s="1">
        <v>102</v>
      </c>
      <c r="B103" s="1">
        <v>7394</v>
      </c>
      <c r="C103" s="4" t="s">
        <v>286</v>
      </c>
      <c r="D103" s="3" t="s">
        <v>314</v>
      </c>
      <c r="E103" s="1" t="s">
        <v>7</v>
      </c>
      <c r="F103" s="1" t="s">
        <v>234</v>
      </c>
      <c r="G103" s="6" t="s">
        <v>73</v>
      </c>
      <c r="H103" s="6" t="s">
        <v>74</v>
      </c>
      <c r="I103" s="1" t="s">
        <v>1516</v>
      </c>
      <c r="J103" s="1" t="s">
        <v>200</v>
      </c>
      <c r="K103" s="1" t="str">
        <f t="shared" si="1"/>
        <v>CEO of the Quarter Q3-FY24</v>
      </c>
    </row>
    <row r="104" spans="1:11" hidden="1" x14ac:dyDescent="0.35">
      <c r="A104" s="1">
        <v>103</v>
      </c>
      <c r="B104" s="1">
        <v>7254</v>
      </c>
      <c r="C104" s="4" t="s">
        <v>287</v>
      </c>
      <c r="D104" s="3" t="s">
        <v>315</v>
      </c>
      <c r="E104" s="1" t="s">
        <v>7</v>
      </c>
      <c r="F104" s="1" t="s">
        <v>1674</v>
      </c>
      <c r="G104" s="6" t="s">
        <v>35</v>
      </c>
      <c r="H104" s="6" t="s">
        <v>32</v>
      </c>
      <c r="I104" s="1" t="s">
        <v>1516</v>
      </c>
      <c r="J104" s="1" t="s">
        <v>200</v>
      </c>
      <c r="K104" s="1" t="str">
        <f t="shared" si="1"/>
        <v>CEO of the Quarter Q3-FY24</v>
      </c>
    </row>
    <row r="105" spans="1:11" hidden="1" x14ac:dyDescent="0.35">
      <c r="A105" s="1">
        <v>104</v>
      </c>
      <c r="B105" s="1">
        <v>7250</v>
      </c>
      <c r="C105" s="4" t="s">
        <v>288</v>
      </c>
      <c r="D105" s="3" t="s">
        <v>316</v>
      </c>
      <c r="E105" s="1" t="s">
        <v>7</v>
      </c>
      <c r="F105" s="1" t="s">
        <v>8</v>
      </c>
      <c r="G105" s="6" t="s">
        <v>9</v>
      </c>
      <c r="H105" s="6" t="s">
        <v>10</v>
      </c>
      <c r="I105" s="1" t="s">
        <v>1516</v>
      </c>
      <c r="J105" s="1" t="s">
        <v>200</v>
      </c>
      <c r="K105" s="1" t="str">
        <f t="shared" si="1"/>
        <v>CEO of the Quarter Q3-FY24</v>
      </c>
    </row>
    <row r="106" spans="1:11" hidden="1" x14ac:dyDescent="0.35">
      <c r="A106" s="1">
        <v>105</v>
      </c>
      <c r="B106" s="1">
        <v>7237</v>
      </c>
      <c r="C106" s="4" t="s">
        <v>289</v>
      </c>
      <c r="D106" s="3" t="s">
        <v>317</v>
      </c>
      <c r="E106" s="1" t="e">
        <v>#N/A</v>
      </c>
      <c r="F106" s="1" t="s">
        <v>8</v>
      </c>
      <c r="G106" s="6" t="s">
        <v>9</v>
      </c>
      <c r="H106" s="6" t="s">
        <v>10</v>
      </c>
      <c r="I106" s="1" t="s">
        <v>1516</v>
      </c>
      <c r="J106" s="1" t="s">
        <v>200</v>
      </c>
      <c r="K106" s="1" t="str">
        <f t="shared" si="1"/>
        <v>CEO of the Quarter Q3-FY24</v>
      </c>
    </row>
    <row r="107" spans="1:11" hidden="1" x14ac:dyDescent="0.35">
      <c r="A107" s="1">
        <v>106</v>
      </c>
      <c r="B107" s="1">
        <v>7123</v>
      </c>
      <c r="C107" s="4" t="s">
        <v>290</v>
      </c>
      <c r="D107" s="3" t="s">
        <v>318</v>
      </c>
      <c r="E107" s="1" t="s">
        <v>47</v>
      </c>
      <c r="F107" s="1" t="s">
        <v>1675</v>
      </c>
      <c r="G107" s="6" t="s">
        <v>35</v>
      </c>
      <c r="H107" s="6" t="s">
        <v>32</v>
      </c>
      <c r="I107" s="1" t="s">
        <v>1516</v>
      </c>
      <c r="J107" s="1" t="s">
        <v>200</v>
      </c>
      <c r="K107" s="1" t="str">
        <f t="shared" si="1"/>
        <v>CEO of the Quarter Q3-FY24</v>
      </c>
    </row>
    <row r="108" spans="1:11" hidden="1" x14ac:dyDescent="0.35">
      <c r="A108" s="1">
        <v>107</v>
      </c>
      <c r="B108" s="1">
        <v>2038</v>
      </c>
      <c r="C108" s="4" t="s">
        <v>291</v>
      </c>
      <c r="D108" s="3" t="s">
        <v>319</v>
      </c>
      <c r="E108" s="1" t="s">
        <v>28</v>
      </c>
      <c r="F108" s="1" t="s">
        <v>1676</v>
      </c>
      <c r="G108" s="6" t="s">
        <v>16</v>
      </c>
      <c r="H108" s="6" t="s">
        <v>54</v>
      </c>
      <c r="I108" s="1" t="s">
        <v>1516</v>
      </c>
      <c r="J108" s="1" t="s">
        <v>200</v>
      </c>
      <c r="K108" s="1" t="str">
        <f t="shared" si="1"/>
        <v>CEO of the Quarter Q3-FY24</v>
      </c>
    </row>
    <row r="109" spans="1:11" hidden="1" x14ac:dyDescent="0.35">
      <c r="A109" s="1">
        <v>108</v>
      </c>
      <c r="B109" s="1">
        <v>7722</v>
      </c>
      <c r="C109" s="4" t="s">
        <v>292</v>
      </c>
      <c r="D109" s="3" t="s">
        <v>320</v>
      </c>
      <c r="E109" s="1" t="s">
        <v>47</v>
      </c>
      <c r="F109" s="1" t="s">
        <v>238</v>
      </c>
      <c r="G109" s="6" t="s">
        <v>73</v>
      </c>
      <c r="H109" s="6" t="s">
        <v>74</v>
      </c>
      <c r="I109" s="1" t="s">
        <v>1516</v>
      </c>
      <c r="J109" s="1" t="s">
        <v>200</v>
      </c>
      <c r="K109" s="1" t="str">
        <f t="shared" si="1"/>
        <v>CEO of the Quarter Q3-FY24</v>
      </c>
    </row>
    <row r="110" spans="1:11" hidden="1" x14ac:dyDescent="0.35">
      <c r="A110" s="1">
        <v>109</v>
      </c>
      <c r="B110" s="1">
        <v>4171</v>
      </c>
      <c r="C110" s="4" t="s">
        <v>293</v>
      </c>
      <c r="D110" s="3" t="s">
        <v>321</v>
      </c>
      <c r="E110" s="1" t="s">
        <v>7</v>
      </c>
      <c r="F110" s="1" t="s">
        <v>162</v>
      </c>
      <c r="G110" s="6" t="s">
        <v>40</v>
      </c>
      <c r="H110" s="6" t="s">
        <v>32</v>
      </c>
      <c r="I110" s="1" t="s">
        <v>1516</v>
      </c>
      <c r="J110" s="1" t="s">
        <v>200</v>
      </c>
      <c r="K110" s="1" t="str">
        <f t="shared" si="1"/>
        <v>CEO of the Quarter Q3-FY24</v>
      </c>
    </row>
    <row r="111" spans="1:11" hidden="1" x14ac:dyDescent="0.35">
      <c r="A111" s="1">
        <v>110</v>
      </c>
      <c r="B111" s="1">
        <v>1404</v>
      </c>
      <c r="C111" s="4" t="s">
        <v>294</v>
      </c>
      <c r="D111" s="3" t="s">
        <v>322</v>
      </c>
      <c r="E111" s="1" t="s">
        <v>7</v>
      </c>
      <c r="F111" s="1" t="s">
        <v>1677</v>
      </c>
      <c r="G111" s="6" t="s">
        <v>40</v>
      </c>
      <c r="H111" s="6" t="s">
        <v>32</v>
      </c>
      <c r="I111" s="1" t="s">
        <v>1516</v>
      </c>
      <c r="J111" s="1" t="s">
        <v>200</v>
      </c>
      <c r="K111" s="1" t="str">
        <f t="shared" si="1"/>
        <v>CEO of the Quarter Q3-FY24</v>
      </c>
    </row>
    <row r="112" spans="1:11" hidden="1" x14ac:dyDescent="0.35">
      <c r="A112" s="1">
        <v>111</v>
      </c>
      <c r="B112" s="1">
        <v>2651</v>
      </c>
      <c r="C112" s="4" t="s">
        <v>295</v>
      </c>
      <c r="D112" s="3" t="s">
        <v>323</v>
      </c>
      <c r="E112" s="1" t="s">
        <v>28</v>
      </c>
      <c r="F112" s="1" t="s">
        <v>1678</v>
      </c>
      <c r="G112" s="6" t="s">
        <v>35</v>
      </c>
      <c r="H112" s="6" t="s">
        <v>32</v>
      </c>
      <c r="I112" s="1" t="s">
        <v>1516</v>
      </c>
      <c r="J112" s="1" t="s">
        <v>200</v>
      </c>
      <c r="K112" s="1" t="str">
        <f t="shared" si="1"/>
        <v>CEO of the Quarter Q3-FY24</v>
      </c>
    </row>
    <row r="113" spans="1:11" hidden="1" x14ac:dyDescent="0.35">
      <c r="A113" s="1">
        <v>112</v>
      </c>
      <c r="B113" s="1">
        <v>1585</v>
      </c>
      <c r="C113" s="4" t="s">
        <v>258</v>
      </c>
      <c r="D113" s="3" t="s">
        <v>324</v>
      </c>
      <c r="E113" s="1" t="s">
        <v>7</v>
      </c>
      <c r="F113" s="1" t="s">
        <v>236</v>
      </c>
      <c r="G113" s="6" t="s">
        <v>53</v>
      </c>
      <c r="H113" s="6" t="s">
        <v>54</v>
      </c>
      <c r="I113" s="1" t="s">
        <v>1516</v>
      </c>
      <c r="J113" s="1" t="s">
        <v>200</v>
      </c>
      <c r="K113" s="1" t="str">
        <f t="shared" si="1"/>
        <v>CEO of the Quarter Q3-FY24</v>
      </c>
    </row>
    <row r="114" spans="1:11" hidden="1" x14ac:dyDescent="0.35">
      <c r="A114" s="1">
        <v>113</v>
      </c>
      <c r="B114" s="1">
        <v>1377</v>
      </c>
      <c r="C114" s="4" t="s">
        <v>296</v>
      </c>
      <c r="D114" s="3" t="s">
        <v>325</v>
      </c>
      <c r="E114" s="1" t="s">
        <v>47</v>
      </c>
      <c r="F114" s="1" t="s">
        <v>1679</v>
      </c>
      <c r="G114" s="6" t="s">
        <v>53</v>
      </c>
      <c r="H114" s="6" t="s">
        <v>54</v>
      </c>
      <c r="I114" s="1" t="s">
        <v>1516</v>
      </c>
      <c r="J114" s="1" t="s">
        <v>200</v>
      </c>
      <c r="K114" s="1" t="str">
        <f t="shared" si="1"/>
        <v>CEO of the Quarter Q3-FY24</v>
      </c>
    </row>
    <row r="115" spans="1:11" hidden="1" x14ac:dyDescent="0.35">
      <c r="A115" s="1">
        <v>114</v>
      </c>
      <c r="B115" s="1">
        <v>2990</v>
      </c>
      <c r="C115" s="4" t="s">
        <v>297</v>
      </c>
      <c r="D115" s="3" t="s">
        <v>326</v>
      </c>
      <c r="E115" s="1" t="s">
        <v>7</v>
      </c>
      <c r="F115" s="1" t="s">
        <v>1680</v>
      </c>
      <c r="G115" s="6" t="s">
        <v>35</v>
      </c>
      <c r="H115" s="6" t="s">
        <v>32</v>
      </c>
      <c r="I115" s="1" t="s">
        <v>1516</v>
      </c>
      <c r="J115" s="1" t="s">
        <v>200</v>
      </c>
      <c r="K115" s="1" t="str">
        <f t="shared" si="1"/>
        <v>CEO of the Quarter Q3-FY24</v>
      </c>
    </row>
    <row r="116" spans="1:11" hidden="1" x14ac:dyDescent="0.35">
      <c r="A116" s="1">
        <v>115</v>
      </c>
      <c r="B116" s="1">
        <v>5897</v>
      </c>
      <c r="C116" s="4" t="s">
        <v>298</v>
      </c>
      <c r="D116" s="3" t="s">
        <v>327</v>
      </c>
      <c r="E116" s="1" t="s">
        <v>28</v>
      </c>
      <c r="F116" s="1" t="s">
        <v>1681</v>
      </c>
      <c r="G116" s="6" t="s">
        <v>16</v>
      </c>
      <c r="H116" s="6" t="s">
        <v>54</v>
      </c>
      <c r="I116" s="1" t="s">
        <v>1516</v>
      </c>
      <c r="J116" s="1" t="s">
        <v>200</v>
      </c>
      <c r="K116" s="1" t="str">
        <f t="shared" si="1"/>
        <v>CEO of the Quarter Q3-FY24</v>
      </c>
    </row>
    <row r="117" spans="1:11" hidden="1" x14ac:dyDescent="0.35">
      <c r="A117" s="1">
        <v>116</v>
      </c>
      <c r="B117" s="1">
        <v>3653</v>
      </c>
      <c r="C117" s="4" t="s">
        <v>299</v>
      </c>
      <c r="D117" s="3" t="s">
        <v>328</v>
      </c>
      <c r="E117" s="1" t="s">
        <v>7</v>
      </c>
      <c r="F117" s="1" t="s">
        <v>1682</v>
      </c>
      <c r="G117" s="6" t="s">
        <v>73</v>
      </c>
      <c r="H117" s="6" t="s">
        <v>74</v>
      </c>
      <c r="I117" s="1" t="s">
        <v>1516</v>
      </c>
      <c r="J117" s="1" t="s">
        <v>200</v>
      </c>
      <c r="K117" s="1" t="str">
        <f t="shared" si="1"/>
        <v>CEO of the Quarter Q3-FY24</v>
      </c>
    </row>
    <row r="118" spans="1:11" hidden="1" x14ac:dyDescent="0.35">
      <c r="A118" s="1">
        <v>117</v>
      </c>
      <c r="B118" s="1">
        <v>4036</v>
      </c>
      <c r="C118" s="4" t="s">
        <v>300</v>
      </c>
      <c r="D118" s="3" t="s">
        <v>329</v>
      </c>
      <c r="E118" s="1" t="s">
        <v>47</v>
      </c>
      <c r="F118" s="1" t="s">
        <v>1683</v>
      </c>
      <c r="G118" s="6" t="s">
        <v>35</v>
      </c>
      <c r="H118" s="6" t="s">
        <v>32</v>
      </c>
      <c r="I118" s="1" t="s">
        <v>1516</v>
      </c>
      <c r="J118" s="1" t="s">
        <v>200</v>
      </c>
      <c r="K118" s="1" t="str">
        <f t="shared" si="1"/>
        <v>CEO of the Quarter Q3-FY24</v>
      </c>
    </row>
    <row r="119" spans="1:11" hidden="1" x14ac:dyDescent="0.35">
      <c r="A119" s="1">
        <v>118</v>
      </c>
      <c r="B119" s="1">
        <v>6998</v>
      </c>
      <c r="C119" s="4" t="s">
        <v>301</v>
      </c>
      <c r="D119" s="3" t="s">
        <v>330</v>
      </c>
      <c r="E119" s="1" t="s">
        <v>7</v>
      </c>
      <c r="F119" s="1" t="s">
        <v>166</v>
      </c>
      <c r="G119" s="6" t="s">
        <v>24</v>
      </c>
      <c r="H119" s="6" t="s">
        <v>10</v>
      </c>
      <c r="I119" s="1" t="s">
        <v>1516</v>
      </c>
      <c r="J119" s="1" t="s">
        <v>200</v>
      </c>
      <c r="K119" s="1" t="str">
        <f t="shared" si="1"/>
        <v>CEO of the Quarter Q3-FY24</v>
      </c>
    </row>
    <row r="120" spans="1:11" hidden="1" x14ac:dyDescent="0.35">
      <c r="A120" s="1">
        <v>119</v>
      </c>
      <c r="B120" s="1">
        <v>6890</v>
      </c>
      <c r="C120" s="4" t="s">
        <v>302</v>
      </c>
      <c r="D120" s="3" t="s">
        <v>331</v>
      </c>
      <c r="E120" s="1" t="s">
        <v>7</v>
      </c>
      <c r="F120" s="1" t="s">
        <v>18</v>
      </c>
      <c r="G120" s="6" t="s">
        <v>9</v>
      </c>
      <c r="H120" s="6" t="s">
        <v>10</v>
      </c>
      <c r="I120" s="1" t="s">
        <v>1516</v>
      </c>
      <c r="J120" s="1" t="s">
        <v>200</v>
      </c>
      <c r="K120" s="1" t="str">
        <f t="shared" si="1"/>
        <v>CEO of the Quarter Q3-FY24</v>
      </c>
    </row>
    <row r="121" spans="1:11" hidden="1" x14ac:dyDescent="0.35">
      <c r="A121" s="1">
        <v>120</v>
      </c>
      <c r="B121" s="1">
        <v>6861</v>
      </c>
      <c r="C121" s="4" t="s">
        <v>303</v>
      </c>
      <c r="D121" s="3" t="s">
        <v>332</v>
      </c>
      <c r="E121" s="1" t="s">
        <v>47</v>
      </c>
      <c r="F121" s="1" t="s">
        <v>238</v>
      </c>
      <c r="G121" s="6" t="s">
        <v>73</v>
      </c>
      <c r="H121" s="6" t="s">
        <v>74</v>
      </c>
      <c r="I121" s="1" t="s">
        <v>1516</v>
      </c>
      <c r="J121" s="1" t="s">
        <v>200</v>
      </c>
      <c r="K121" s="1" t="str">
        <f t="shared" si="1"/>
        <v>CEO of the Quarter Q3-FY24</v>
      </c>
    </row>
    <row r="122" spans="1:11" hidden="1" x14ac:dyDescent="0.35">
      <c r="A122" s="1">
        <v>121</v>
      </c>
      <c r="B122" s="1">
        <v>6804</v>
      </c>
      <c r="C122" s="4" t="s">
        <v>304</v>
      </c>
      <c r="D122" s="3" t="s">
        <v>333</v>
      </c>
      <c r="E122" s="1" t="s">
        <v>7</v>
      </c>
      <c r="F122" s="1" t="s">
        <v>1684</v>
      </c>
      <c r="G122" s="6" t="s">
        <v>24</v>
      </c>
      <c r="H122" s="6" t="s">
        <v>10</v>
      </c>
      <c r="I122" s="1" t="s">
        <v>1516</v>
      </c>
      <c r="J122" s="1" t="s">
        <v>200</v>
      </c>
      <c r="K122" s="1" t="str">
        <f t="shared" si="1"/>
        <v>CEO of the Quarter Q3-FY24</v>
      </c>
    </row>
    <row r="123" spans="1:11" hidden="1" x14ac:dyDescent="0.35">
      <c r="A123" s="1">
        <v>122</v>
      </c>
      <c r="B123" s="1">
        <v>6801</v>
      </c>
      <c r="C123" s="4" t="s">
        <v>113</v>
      </c>
      <c r="D123" s="3" t="s">
        <v>334</v>
      </c>
      <c r="E123" s="1" t="s">
        <v>7</v>
      </c>
      <c r="F123" s="1" t="s">
        <v>157</v>
      </c>
      <c r="G123" s="6" t="s">
        <v>24</v>
      </c>
      <c r="H123" s="6" t="s">
        <v>10</v>
      </c>
      <c r="I123" s="1" t="s">
        <v>1516</v>
      </c>
      <c r="J123" s="1" t="s">
        <v>200</v>
      </c>
      <c r="K123" s="1" t="str">
        <f t="shared" si="1"/>
        <v>CEO of the Quarter Q3-FY24</v>
      </c>
    </row>
    <row r="124" spans="1:11" hidden="1" x14ac:dyDescent="0.35">
      <c r="A124" s="1">
        <v>123</v>
      </c>
      <c r="B124" s="1">
        <v>3265</v>
      </c>
      <c r="C124" s="4" t="s">
        <v>305</v>
      </c>
      <c r="D124" s="3" t="s">
        <v>335</v>
      </c>
      <c r="E124" s="1" t="s">
        <v>28</v>
      </c>
      <c r="F124" s="1" t="s">
        <v>31</v>
      </c>
      <c r="G124" s="6" t="s">
        <v>24</v>
      </c>
      <c r="H124" s="6" t="s">
        <v>10</v>
      </c>
      <c r="I124" s="1" t="s">
        <v>1516</v>
      </c>
      <c r="J124" s="1" t="s">
        <v>200</v>
      </c>
      <c r="K124" s="1" t="str">
        <f t="shared" si="1"/>
        <v>CEO of the Quarter Q3-FY24</v>
      </c>
    </row>
    <row r="125" spans="1:11" hidden="1" x14ac:dyDescent="0.35">
      <c r="A125" s="1">
        <v>124</v>
      </c>
      <c r="B125" s="1">
        <v>7320</v>
      </c>
      <c r="C125" s="4" t="s">
        <v>306</v>
      </c>
      <c r="D125" s="3" t="s">
        <v>336</v>
      </c>
      <c r="E125" s="1" t="s">
        <v>47</v>
      </c>
      <c r="F125" s="1" t="s">
        <v>237</v>
      </c>
      <c r="G125" s="6" t="s">
        <v>35</v>
      </c>
      <c r="H125" s="6" t="s">
        <v>32</v>
      </c>
      <c r="I125" s="1" t="s">
        <v>1516</v>
      </c>
      <c r="J125" s="1" t="s">
        <v>200</v>
      </c>
      <c r="K125" s="1" t="str">
        <f t="shared" si="1"/>
        <v>CEO of the Quarter Q3-FY24</v>
      </c>
    </row>
    <row r="126" spans="1:11" hidden="1" x14ac:dyDescent="0.35">
      <c r="A126" s="1">
        <v>125</v>
      </c>
      <c r="B126" s="80">
        <v>7543</v>
      </c>
      <c r="C126" s="4" t="s">
        <v>769</v>
      </c>
      <c r="D126" s="1" t="s">
        <v>1686</v>
      </c>
      <c r="E126" s="1" t="s">
        <v>47</v>
      </c>
      <c r="F126" s="1" t="s">
        <v>1712</v>
      </c>
      <c r="G126" s="1" t="s">
        <v>24</v>
      </c>
      <c r="H126" s="1" t="s">
        <v>54</v>
      </c>
      <c r="I126" s="1" t="s">
        <v>1727</v>
      </c>
      <c r="J126" s="1" t="s">
        <v>200</v>
      </c>
      <c r="K126" s="1" t="str">
        <f t="shared" si="1"/>
        <v>CEO of the Quarter Q3-FY25</v>
      </c>
    </row>
    <row r="127" spans="1:11" hidden="1" x14ac:dyDescent="0.35">
      <c r="A127" s="1">
        <v>126</v>
      </c>
      <c r="B127" s="80">
        <v>2387</v>
      </c>
      <c r="C127" s="4" t="s">
        <v>790</v>
      </c>
      <c r="D127" s="1" t="s">
        <v>1687</v>
      </c>
      <c r="E127" s="1" t="s">
        <v>7</v>
      </c>
      <c r="F127" s="1" t="s">
        <v>60</v>
      </c>
      <c r="G127" s="1" t="s">
        <v>9</v>
      </c>
      <c r="H127" s="1" t="s">
        <v>54</v>
      </c>
      <c r="I127" s="1" t="s">
        <v>1727</v>
      </c>
      <c r="J127" s="1" t="s">
        <v>200</v>
      </c>
      <c r="K127" s="1" t="str">
        <f t="shared" si="1"/>
        <v>CEO of the Quarter Q3-FY25</v>
      </c>
    </row>
    <row r="128" spans="1:11" hidden="1" x14ac:dyDescent="0.35">
      <c r="A128" s="1">
        <v>127</v>
      </c>
      <c r="B128" s="80">
        <v>4138</v>
      </c>
      <c r="C128" s="4" t="s">
        <v>806</v>
      </c>
      <c r="D128" s="1" t="s">
        <v>1688</v>
      </c>
      <c r="E128" s="1" t="s">
        <v>28</v>
      </c>
      <c r="F128" s="1" t="s">
        <v>1713</v>
      </c>
      <c r="G128" s="1" t="s">
        <v>53</v>
      </c>
      <c r="H128" s="1" t="s">
        <v>54</v>
      </c>
      <c r="I128" s="1" t="s">
        <v>1727</v>
      </c>
      <c r="J128" s="1" t="s">
        <v>200</v>
      </c>
      <c r="K128" s="1" t="str">
        <f t="shared" si="1"/>
        <v>CEO of the Quarter Q3-FY25</v>
      </c>
    </row>
    <row r="129" spans="1:11" hidden="1" x14ac:dyDescent="0.35">
      <c r="A129" s="1">
        <v>128</v>
      </c>
      <c r="B129" s="80">
        <v>6808</v>
      </c>
      <c r="C129" s="4" t="s">
        <v>640</v>
      </c>
      <c r="D129" s="1" t="s">
        <v>1689</v>
      </c>
      <c r="E129" s="1" t="s">
        <v>7</v>
      </c>
      <c r="F129" s="1" t="s">
        <v>60</v>
      </c>
      <c r="G129" s="1" t="s">
        <v>9</v>
      </c>
      <c r="H129" s="1" t="s">
        <v>10</v>
      </c>
      <c r="I129" s="1" t="s">
        <v>1727</v>
      </c>
      <c r="J129" s="1" t="s">
        <v>200</v>
      </c>
      <c r="K129" s="1" t="str">
        <f t="shared" si="1"/>
        <v>CEO of the Quarter Q3-FY25</v>
      </c>
    </row>
    <row r="130" spans="1:11" hidden="1" x14ac:dyDescent="0.35">
      <c r="A130" s="1">
        <v>129</v>
      </c>
      <c r="B130" s="80">
        <v>7799</v>
      </c>
      <c r="C130" s="4" t="s">
        <v>778</v>
      </c>
      <c r="D130" s="1" t="s">
        <v>1690</v>
      </c>
      <c r="E130" s="1" t="s">
        <v>28</v>
      </c>
      <c r="F130" s="1" t="s">
        <v>1714</v>
      </c>
      <c r="G130" s="1" t="s">
        <v>43</v>
      </c>
      <c r="H130" s="1" t="s">
        <v>10</v>
      </c>
      <c r="I130" s="1" t="s">
        <v>1727</v>
      </c>
      <c r="J130" s="1" t="s">
        <v>200</v>
      </c>
      <c r="K130" s="1" t="str">
        <f t="shared" si="1"/>
        <v>CEO of the Quarter Q3-FY25</v>
      </c>
    </row>
    <row r="131" spans="1:11" hidden="1" x14ac:dyDescent="0.35">
      <c r="A131" s="1">
        <v>130</v>
      </c>
      <c r="B131" s="80">
        <v>4889</v>
      </c>
      <c r="C131" s="4" t="s">
        <v>765</v>
      </c>
      <c r="D131" s="1" t="s">
        <v>970</v>
      </c>
      <c r="E131" s="1" t="s">
        <v>28</v>
      </c>
      <c r="F131" s="1" t="s">
        <v>1715</v>
      </c>
      <c r="G131" s="1" t="s">
        <v>395</v>
      </c>
      <c r="H131" s="1" t="s">
        <v>32</v>
      </c>
      <c r="I131" s="1" t="s">
        <v>1727</v>
      </c>
      <c r="J131" s="1" t="s">
        <v>200</v>
      </c>
      <c r="K131" s="1" t="str">
        <f t="shared" ref="K131:K187" si="2">_xlfn.CONCAT(J131," ",I131)</f>
        <v>CEO of the Quarter Q3-FY25</v>
      </c>
    </row>
    <row r="132" spans="1:11" hidden="1" x14ac:dyDescent="0.35">
      <c r="A132" s="1">
        <v>131</v>
      </c>
      <c r="B132" s="80">
        <v>4937</v>
      </c>
      <c r="C132" s="4" t="s">
        <v>127</v>
      </c>
      <c r="D132" s="1" t="s">
        <v>1691</v>
      </c>
      <c r="E132" s="1" t="s">
        <v>47</v>
      </c>
      <c r="F132" s="1" t="s">
        <v>165</v>
      </c>
      <c r="G132" s="1" t="s">
        <v>53</v>
      </c>
      <c r="H132" s="1" t="s">
        <v>54</v>
      </c>
      <c r="I132" s="1" t="s">
        <v>1727</v>
      </c>
      <c r="J132" s="1" t="s">
        <v>200</v>
      </c>
      <c r="K132" s="1" t="str">
        <f t="shared" si="2"/>
        <v>CEO of the Quarter Q3-FY25</v>
      </c>
    </row>
    <row r="133" spans="1:11" hidden="1" x14ac:dyDescent="0.35">
      <c r="A133" s="1">
        <v>132</v>
      </c>
      <c r="B133" s="80">
        <v>1697</v>
      </c>
      <c r="C133" s="4" t="s">
        <v>820</v>
      </c>
      <c r="D133" s="1" t="s">
        <v>1692</v>
      </c>
      <c r="E133" s="1" t="s">
        <v>47</v>
      </c>
      <c r="F133" s="1" t="s">
        <v>1716</v>
      </c>
      <c r="G133" s="1" t="s">
        <v>53</v>
      </c>
      <c r="H133" s="1" t="s">
        <v>54</v>
      </c>
      <c r="I133" s="1" t="s">
        <v>1727</v>
      </c>
      <c r="J133" s="1" t="s">
        <v>200</v>
      </c>
      <c r="K133" s="1" t="str">
        <f t="shared" si="2"/>
        <v>CEO of the Quarter Q3-FY25</v>
      </c>
    </row>
    <row r="134" spans="1:11" hidden="1" x14ac:dyDescent="0.35">
      <c r="A134" s="1">
        <v>133</v>
      </c>
      <c r="B134" s="80">
        <v>3993</v>
      </c>
      <c r="C134" s="4" t="s">
        <v>627</v>
      </c>
      <c r="D134" s="1" t="s">
        <v>1693</v>
      </c>
      <c r="E134" s="1" t="s">
        <v>28</v>
      </c>
      <c r="F134" s="1" t="s">
        <v>1717</v>
      </c>
      <c r="G134" s="1" t="s">
        <v>53</v>
      </c>
      <c r="H134" s="1" t="s">
        <v>32</v>
      </c>
      <c r="I134" s="1" t="s">
        <v>1727</v>
      </c>
      <c r="J134" s="1" t="s">
        <v>200</v>
      </c>
      <c r="K134" s="1" t="str">
        <f t="shared" si="2"/>
        <v>CEO of the Quarter Q3-FY25</v>
      </c>
    </row>
    <row r="135" spans="1:11" hidden="1" x14ac:dyDescent="0.35">
      <c r="A135" s="1">
        <v>134</v>
      </c>
      <c r="B135" s="80">
        <v>7068</v>
      </c>
      <c r="C135" s="4" t="s">
        <v>421</v>
      </c>
      <c r="D135" s="1" t="s">
        <v>1694</v>
      </c>
      <c r="E135" s="1" t="s">
        <v>7</v>
      </c>
      <c r="F135" s="1" t="s">
        <v>1718</v>
      </c>
      <c r="G135" s="1" t="s">
        <v>73</v>
      </c>
      <c r="H135" s="1" t="s">
        <v>32</v>
      </c>
      <c r="I135" s="1" t="s">
        <v>1727</v>
      </c>
      <c r="J135" s="1" t="s">
        <v>200</v>
      </c>
      <c r="K135" s="1" t="str">
        <f t="shared" si="2"/>
        <v>CEO of the Quarter Q3-FY25</v>
      </c>
    </row>
    <row r="136" spans="1:11" hidden="1" x14ac:dyDescent="0.35">
      <c r="A136" s="1">
        <v>135</v>
      </c>
      <c r="B136" s="80">
        <v>3964</v>
      </c>
      <c r="C136" s="4" t="s">
        <v>734</v>
      </c>
      <c r="D136" s="1" t="s">
        <v>1695</v>
      </c>
      <c r="E136" s="1" t="s">
        <v>47</v>
      </c>
      <c r="F136" s="1" t="s">
        <v>52</v>
      </c>
      <c r="G136" s="1" t="s">
        <v>53</v>
      </c>
      <c r="H136" s="1" t="s">
        <v>54</v>
      </c>
      <c r="I136" s="1" t="s">
        <v>1727</v>
      </c>
      <c r="J136" s="1" t="s">
        <v>200</v>
      </c>
      <c r="K136" s="1" t="str">
        <f t="shared" si="2"/>
        <v>CEO of the Quarter Q3-FY25</v>
      </c>
    </row>
    <row r="137" spans="1:11" hidden="1" x14ac:dyDescent="0.35">
      <c r="A137" s="1">
        <v>136</v>
      </c>
      <c r="B137" s="80">
        <v>2243</v>
      </c>
      <c r="C137" s="4" t="s">
        <v>63</v>
      </c>
      <c r="D137" s="1" t="s">
        <v>1696</v>
      </c>
      <c r="E137" s="1" t="s">
        <v>28</v>
      </c>
      <c r="F137" s="1" t="s">
        <v>64</v>
      </c>
      <c r="G137" s="1" t="s">
        <v>53</v>
      </c>
      <c r="H137" s="1" t="s">
        <v>54</v>
      </c>
      <c r="I137" s="1" t="s">
        <v>1727</v>
      </c>
      <c r="J137" s="1" t="s">
        <v>200</v>
      </c>
      <c r="K137" s="1" t="str">
        <f t="shared" si="2"/>
        <v>CEO of the Quarter Q3-FY25</v>
      </c>
    </row>
    <row r="138" spans="1:11" hidden="1" x14ac:dyDescent="0.35">
      <c r="A138" s="1">
        <v>137</v>
      </c>
      <c r="B138" s="80">
        <v>7877</v>
      </c>
      <c r="C138" s="4" t="s">
        <v>742</v>
      </c>
      <c r="D138" s="1" t="s">
        <v>1697</v>
      </c>
      <c r="E138" s="1" t="s">
        <v>47</v>
      </c>
      <c r="F138" s="1" t="s">
        <v>1719</v>
      </c>
      <c r="G138" s="1" t="s">
        <v>73</v>
      </c>
      <c r="H138" s="1" t="s">
        <v>74</v>
      </c>
      <c r="I138" s="1" t="s">
        <v>1727</v>
      </c>
      <c r="J138" s="1" t="s">
        <v>200</v>
      </c>
      <c r="K138" s="1" t="str">
        <f t="shared" si="2"/>
        <v>CEO of the Quarter Q3-FY25</v>
      </c>
    </row>
    <row r="139" spans="1:11" hidden="1" x14ac:dyDescent="0.35">
      <c r="A139" s="1">
        <v>138</v>
      </c>
      <c r="B139" s="80">
        <v>1680</v>
      </c>
      <c r="C139" s="4" t="s">
        <v>740</v>
      </c>
      <c r="D139" s="1" t="s">
        <v>1698</v>
      </c>
      <c r="E139" s="1" t="s">
        <v>7</v>
      </c>
      <c r="F139" s="1" t="s">
        <v>39</v>
      </c>
      <c r="G139" s="1" t="s">
        <v>40</v>
      </c>
      <c r="H139" s="1" t="s">
        <v>74</v>
      </c>
      <c r="I139" s="1" t="s">
        <v>1727</v>
      </c>
      <c r="J139" s="1" t="s">
        <v>200</v>
      </c>
      <c r="K139" s="1" t="str">
        <f t="shared" si="2"/>
        <v>CEO of the Quarter Q3-FY25</v>
      </c>
    </row>
    <row r="140" spans="1:11" hidden="1" x14ac:dyDescent="0.35">
      <c r="A140" s="1">
        <v>139</v>
      </c>
      <c r="B140" s="80">
        <v>2747</v>
      </c>
      <c r="C140" s="4" t="s">
        <v>772</v>
      </c>
      <c r="D140" s="1" t="s">
        <v>1699</v>
      </c>
      <c r="E140" s="1" t="s">
        <v>28</v>
      </c>
      <c r="F140" s="1" t="s">
        <v>1720</v>
      </c>
      <c r="G140" s="1" t="s">
        <v>24</v>
      </c>
      <c r="H140" s="1" t="s">
        <v>10</v>
      </c>
      <c r="I140" s="1" t="s">
        <v>1727</v>
      </c>
      <c r="J140" s="1" t="s">
        <v>200</v>
      </c>
      <c r="K140" s="1" t="str">
        <f t="shared" si="2"/>
        <v>CEO of the Quarter Q3-FY25</v>
      </c>
    </row>
    <row r="141" spans="1:11" hidden="1" x14ac:dyDescent="0.35">
      <c r="A141" s="1">
        <v>140</v>
      </c>
      <c r="B141" s="80">
        <v>7551</v>
      </c>
      <c r="C141" s="4" t="s">
        <v>404</v>
      </c>
      <c r="D141" s="1" t="s">
        <v>1700</v>
      </c>
      <c r="E141" s="1" t="s">
        <v>7</v>
      </c>
      <c r="F141" s="1" t="s">
        <v>234</v>
      </c>
      <c r="G141" s="1" t="s">
        <v>73</v>
      </c>
      <c r="H141" s="1" t="s">
        <v>32</v>
      </c>
      <c r="I141" s="1" t="s">
        <v>1727</v>
      </c>
      <c r="J141" s="1" t="s">
        <v>200</v>
      </c>
      <c r="K141" s="1" t="str">
        <f t="shared" si="2"/>
        <v>CEO of the Quarter Q3-FY25</v>
      </c>
    </row>
    <row r="142" spans="1:11" hidden="1" x14ac:dyDescent="0.35">
      <c r="A142" s="1">
        <v>141</v>
      </c>
      <c r="B142" s="80">
        <v>6519</v>
      </c>
      <c r="C142" s="4" t="s">
        <v>748</v>
      </c>
      <c r="D142" s="1" t="s">
        <v>1701</v>
      </c>
      <c r="E142" s="1" t="s">
        <v>47</v>
      </c>
      <c r="F142" s="1" t="s">
        <v>1721</v>
      </c>
      <c r="G142" s="1" t="s">
        <v>395</v>
      </c>
      <c r="H142" s="1" t="s">
        <v>10</v>
      </c>
      <c r="I142" s="1" t="s">
        <v>1727</v>
      </c>
      <c r="J142" s="1" t="s">
        <v>200</v>
      </c>
      <c r="K142" s="1" t="str">
        <f t="shared" si="2"/>
        <v>CEO of the Quarter Q3-FY25</v>
      </c>
    </row>
    <row r="143" spans="1:11" hidden="1" x14ac:dyDescent="0.35">
      <c r="A143" s="1">
        <v>142</v>
      </c>
      <c r="B143" s="80">
        <v>6500</v>
      </c>
      <c r="C143" s="4" t="s">
        <v>743</v>
      </c>
      <c r="D143" s="1" t="s">
        <v>1702</v>
      </c>
      <c r="E143" s="1" t="s">
        <v>7</v>
      </c>
      <c r="F143" s="1" t="s">
        <v>72</v>
      </c>
      <c r="G143" s="1" t="s">
        <v>73</v>
      </c>
      <c r="H143" s="1" t="s">
        <v>251</v>
      </c>
      <c r="I143" s="1" t="s">
        <v>1727</v>
      </c>
      <c r="J143" s="1" t="s">
        <v>200</v>
      </c>
      <c r="K143" s="1" t="str">
        <f t="shared" si="2"/>
        <v>CEO of the Quarter Q3-FY25</v>
      </c>
    </row>
    <row r="144" spans="1:11" hidden="1" x14ac:dyDescent="0.35">
      <c r="A144" s="1">
        <v>143</v>
      </c>
      <c r="B144" s="80">
        <v>7661</v>
      </c>
      <c r="C144" s="4" t="s">
        <v>735</v>
      </c>
      <c r="D144" s="1" t="s">
        <v>1703</v>
      </c>
      <c r="E144" s="1" t="s">
        <v>7</v>
      </c>
      <c r="F144" s="1" t="s">
        <v>1722</v>
      </c>
      <c r="G144" s="1" t="s">
        <v>395</v>
      </c>
      <c r="H144" s="1" t="s">
        <v>10</v>
      </c>
      <c r="I144" s="1" t="s">
        <v>1727</v>
      </c>
      <c r="J144" s="1" t="s">
        <v>200</v>
      </c>
      <c r="K144" s="1" t="str">
        <f t="shared" si="2"/>
        <v>CEO of the Quarter Q3-FY25</v>
      </c>
    </row>
    <row r="145" spans="1:11" hidden="1" x14ac:dyDescent="0.35">
      <c r="A145" s="1">
        <v>144</v>
      </c>
      <c r="B145" s="80">
        <v>4010</v>
      </c>
      <c r="C145" s="4" t="s">
        <v>437</v>
      </c>
      <c r="D145" s="1" t="s">
        <v>1704</v>
      </c>
      <c r="E145" s="1" t="s">
        <v>47</v>
      </c>
      <c r="F145" s="1" t="s">
        <v>158</v>
      </c>
      <c r="G145" s="1" t="s">
        <v>9</v>
      </c>
      <c r="H145" s="1" t="s">
        <v>54</v>
      </c>
      <c r="I145" s="1" t="s">
        <v>1727</v>
      </c>
      <c r="J145" s="1" t="s">
        <v>200</v>
      </c>
      <c r="K145" s="1" t="str">
        <f t="shared" si="2"/>
        <v>CEO of the Quarter Q3-FY25</v>
      </c>
    </row>
    <row r="146" spans="1:11" hidden="1" x14ac:dyDescent="0.35">
      <c r="A146" s="1">
        <v>145</v>
      </c>
      <c r="B146" s="80">
        <v>2695</v>
      </c>
      <c r="C146" s="4" t="s">
        <v>773</v>
      </c>
      <c r="D146" s="1" t="s">
        <v>1705</v>
      </c>
      <c r="E146" s="1" t="s">
        <v>28</v>
      </c>
      <c r="F146" s="1" t="s">
        <v>1723</v>
      </c>
      <c r="G146" s="1" t="s">
        <v>24</v>
      </c>
      <c r="H146" s="1" t="s">
        <v>251</v>
      </c>
      <c r="I146" s="1" t="s">
        <v>1727</v>
      </c>
      <c r="J146" s="1" t="s">
        <v>200</v>
      </c>
      <c r="K146" s="1" t="str">
        <f t="shared" si="2"/>
        <v>CEO of the Quarter Q3-FY25</v>
      </c>
    </row>
    <row r="147" spans="1:11" hidden="1" x14ac:dyDescent="0.35">
      <c r="A147" s="1">
        <v>146</v>
      </c>
      <c r="B147" s="80">
        <v>7576</v>
      </c>
      <c r="C147" s="4" t="s">
        <v>422</v>
      </c>
      <c r="D147" s="1" t="s">
        <v>1706</v>
      </c>
      <c r="E147" s="1" t="s">
        <v>47</v>
      </c>
      <c r="F147" s="1" t="s">
        <v>1724</v>
      </c>
      <c r="G147" s="1" t="s">
        <v>73</v>
      </c>
      <c r="H147" s="1" t="s">
        <v>32</v>
      </c>
      <c r="I147" s="1" t="s">
        <v>1727</v>
      </c>
      <c r="J147" s="1" t="s">
        <v>200</v>
      </c>
      <c r="K147" s="1" t="str">
        <f t="shared" si="2"/>
        <v>CEO of the Quarter Q3-FY25</v>
      </c>
    </row>
    <row r="148" spans="1:11" hidden="1" x14ac:dyDescent="0.35">
      <c r="A148" s="1">
        <v>147</v>
      </c>
      <c r="B148" s="80">
        <v>7247</v>
      </c>
      <c r="C148" s="4" t="s">
        <v>752</v>
      </c>
      <c r="D148" s="1" t="s">
        <v>1707</v>
      </c>
      <c r="E148" s="1" t="s">
        <v>7</v>
      </c>
      <c r="F148" s="1" t="s">
        <v>1725</v>
      </c>
      <c r="G148" s="1" t="s">
        <v>168</v>
      </c>
      <c r="H148" s="1" t="s">
        <v>10</v>
      </c>
      <c r="I148" s="1" t="s">
        <v>1727</v>
      </c>
      <c r="J148" s="1" t="s">
        <v>200</v>
      </c>
      <c r="K148" s="1" t="str">
        <f t="shared" si="2"/>
        <v>CEO of the Quarter Q3-FY25</v>
      </c>
    </row>
    <row r="149" spans="1:11" hidden="1" x14ac:dyDescent="0.35">
      <c r="A149" s="1">
        <v>148</v>
      </c>
      <c r="B149" s="80">
        <v>5714</v>
      </c>
      <c r="C149" s="4" t="s">
        <v>116</v>
      </c>
      <c r="D149" s="1" t="s">
        <v>1708</v>
      </c>
      <c r="E149" s="1" t="s">
        <v>47</v>
      </c>
      <c r="F149" s="1" t="s">
        <v>158</v>
      </c>
      <c r="G149" s="1" t="s">
        <v>9</v>
      </c>
      <c r="H149" s="1" t="s">
        <v>54</v>
      </c>
      <c r="I149" s="1" t="s">
        <v>1727</v>
      </c>
      <c r="J149" s="1" t="s">
        <v>200</v>
      </c>
      <c r="K149" s="1" t="str">
        <f t="shared" si="2"/>
        <v>CEO of the Quarter Q3-FY25</v>
      </c>
    </row>
    <row r="150" spans="1:11" hidden="1" x14ac:dyDescent="0.35">
      <c r="A150" s="1">
        <v>149</v>
      </c>
      <c r="B150" s="80">
        <v>6585</v>
      </c>
      <c r="C150" s="4" t="s">
        <v>777</v>
      </c>
      <c r="D150" s="1" t="s">
        <v>997</v>
      </c>
      <c r="E150" s="1" t="s">
        <v>7</v>
      </c>
      <c r="F150" s="1" t="s">
        <v>12</v>
      </c>
      <c r="G150" s="1" t="s">
        <v>13</v>
      </c>
      <c r="H150" s="1" t="s">
        <v>10</v>
      </c>
      <c r="I150" s="1" t="s">
        <v>1727</v>
      </c>
      <c r="J150" s="1" t="s">
        <v>200</v>
      </c>
      <c r="K150" s="1" t="str">
        <f t="shared" si="2"/>
        <v>CEO of the Quarter Q3-FY25</v>
      </c>
    </row>
    <row r="151" spans="1:11" hidden="1" x14ac:dyDescent="0.35">
      <c r="A151" s="1">
        <v>150</v>
      </c>
      <c r="B151" s="80">
        <v>2734</v>
      </c>
      <c r="C151" s="4" t="s">
        <v>112</v>
      </c>
      <c r="D151" s="1" t="s">
        <v>1709</v>
      </c>
      <c r="E151" s="1" t="s">
        <v>7</v>
      </c>
      <c r="F151" s="1" t="s">
        <v>15</v>
      </c>
      <c r="G151" s="1" t="s">
        <v>16</v>
      </c>
      <c r="H151" s="1" t="s">
        <v>54</v>
      </c>
      <c r="I151" s="1" t="s">
        <v>1727</v>
      </c>
      <c r="J151" s="1" t="s">
        <v>200</v>
      </c>
      <c r="K151" s="1" t="str">
        <f t="shared" si="2"/>
        <v>CEO of the Quarter Q3-FY25</v>
      </c>
    </row>
    <row r="152" spans="1:11" hidden="1" x14ac:dyDescent="0.35">
      <c r="A152" s="52">
        <v>151</v>
      </c>
      <c r="B152" s="80">
        <v>4517</v>
      </c>
      <c r="C152" s="4" t="s">
        <v>683</v>
      </c>
      <c r="D152" s="1" t="s">
        <v>1710</v>
      </c>
      <c r="E152" s="1" t="s">
        <v>7</v>
      </c>
      <c r="F152" s="1" t="s">
        <v>1726</v>
      </c>
      <c r="G152" s="1" t="s">
        <v>53</v>
      </c>
      <c r="H152" s="1" t="s">
        <v>54</v>
      </c>
      <c r="I152" s="1" t="s">
        <v>1727</v>
      </c>
      <c r="J152" s="1" t="s">
        <v>200</v>
      </c>
      <c r="K152" s="1" t="str">
        <f t="shared" si="2"/>
        <v>CEO of the Quarter Q3-FY25</v>
      </c>
    </row>
    <row r="153" spans="1:11" hidden="1" x14ac:dyDescent="0.35">
      <c r="A153" s="52">
        <v>152</v>
      </c>
      <c r="B153" s="80">
        <v>2292</v>
      </c>
      <c r="C153" s="4" t="s">
        <v>819</v>
      </c>
      <c r="D153" s="1" t="s">
        <v>1711</v>
      </c>
      <c r="E153" s="1" t="s">
        <v>47</v>
      </c>
      <c r="F153" s="1" t="s">
        <v>1716</v>
      </c>
      <c r="G153" s="1" t="s">
        <v>53</v>
      </c>
      <c r="H153" s="1" t="s">
        <v>54</v>
      </c>
      <c r="I153" s="1" t="s">
        <v>1727</v>
      </c>
      <c r="J153" s="1" t="s">
        <v>200</v>
      </c>
      <c r="K153" s="1" t="str">
        <f t="shared" si="2"/>
        <v>CEO of the Quarter Q3-FY25</v>
      </c>
    </row>
    <row r="154" spans="1:11" hidden="1" x14ac:dyDescent="0.35">
      <c r="A154" s="52">
        <v>153</v>
      </c>
      <c r="B154" s="80">
        <v>7586</v>
      </c>
      <c r="C154" s="64" t="s">
        <v>1529</v>
      </c>
      <c r="D154" s="1" t="s">
        <v>2241</v>
      </c>
      <c r="E154" s="47" t="s">
        <v>7</v>
      </c>
      <c r="F154" s="1" t="s">
        <v>2103</v>
      </c>
      <c r="G154" s="1" t="s">
        <v>16</v>
      </c>
      <c r="H154" s="1" t="s">
        <v>54</v>
      </c>
      <c r="I154" s="4" t="s">
        <v>2046</v>
      </c>
      <c r="J154" s="1" t="s">
        <v>200</v>
      </c>
      <c r="K154" s="1" t="str">
        <f t="shared" si="2"/>
        <v>CEO of the Quarter Q4-FY25</v>
      </c>
    </row>
    <row r="155" spans="1:11" hidden="1" x14ac:dyDescent="0.35">
      <c r="A155" s="52">
        <v>154</v>
      </c>
      <c r="B155" s="80">
        <v>7816</v>
      </c>
      <c r="C155" s="64" t="s">
        <v>423</v>
      </c>
      <c r="D155" s="1" t="s">
        <v>2193</v>
      </c>
      <c r="E155" s="47" t="s">
        <v>7</v>
      </c>
      <c r="F155" s="1" t="s">
        <v>2104</v>
      </c>
      <c r="G155" s="1" t="s">
        <v>21</v>
      </c>
      <c r="H155" s="1" t="s">
        <v>10</v>
      </c>
      <c r="I155" s="4" t="s">
        <v>2046</v>
      </c>
      <c r="J155" s="1" t="s">
        <v>200</v>
      </c>
      <c r="K155" s="1" t="str">
        <f t="shared" si="2"/>
        <v>CEO of the Quarter Q4-FY25</v>
      </c>
    </row>
    <row r="156" spans="1:11" hidden="1" x14ac:dyDescent="0.35">
      <c r="A156" s="52">
        <v>155</v>
      </c>
      <c r="B156" s="80">
        <v>7930</v>
      </c>
      <c r="C156" s="64" t="s">
        <v>1822</v>
      </c>
      <c r="D156" s="1" t="s">
        <v>2195</v>
      </c>
      <c r="E156" s="47" t="s">
        <v>7</v>
      </c>
      <c r="F156" s="1" t="s">
        <v>2105</v>
      </c>
      <c r="G156" s="1" t="s">
        <v>73</v>
      </c>
      <c r="H156" s="1" t="s">
        <v>32</v>
      </c>
      <c r="I156" s="4" t="s">
        <v>2046</v>
      </c>
      <c r="J156" s="1" t="s">
        <v>200</v>
      </c>
      <c r="K156" s="1" t="str">
        <f t="shared" si="2"/>
        <v>CEO of the Quarter Q4-FY25</v>
      </c>
    </row>
    <row r="157" spans="1:11" hidden="1" x14ac:dyDescent="0.35">
      <c r="A157" s="52">
        <v>156</v>
      </c>
      <c r="B157" s="80">
        <v>7744</v>
      </c>
      <c r="C157" s="64" t="s">
        <v>2041</v>
      </c>
      <c r="D157" s="1" t="s">
        <v>2277</v>
      </c>
      <c r="E157" s="47" t="s">
        <v>7</v>
      </c>
      <c r="F157" s="1" t="s">
        <v>195</v>
      </c>
      <c r="G157" s="1" t="s">
        <v>35</v>
      </c>
      <c r="H157" s="1" t="s">
        <v>32</v>
      </c>
      <c r="I157" s="4" t="s">
        <v>2046</v>
      </c>
      <c r="J157" s="1" t="s">
        <v>200</v>
      </c>
      <c r="K157" s="1" t="str">
        <f t="shared" si="2"/>
        <v>CEO of the Quarter Q4-FY25</v>
      </c>
    </row>
    <row r="158" spans="1:11" hidden="1" x14ac:dyDescent="0.35">
      <c r="A158" s="52">
        <v>157</v>
      </c>
      <c r="B158" s="80">
        <v>2651</v>
      </c>
      <c r="C158" s="64" t="s">
        <v>295</v>
      </c>
      <c r="D158" s="1" t="s">
        <v>2174</v>
      </c>
      <c r="E158" s="47" t="s">
        <v>28</v>
      </c>
      <c r="F158" s="1" t="s">
        <v>1678</v>
      </c>
      <c r="G158" s="1" t="s">
        <v>35</v>
      </c>
      <c r="H158" s="1" t="s">
        <v>32</v>
      </c>
      <c r="I158" s="4" t="s">
        <v>2046</v>
      </c>
      <c r="J158" s="1" t="s">
        <v>200</v>
      </c>
      <c r="K158" s="1" t="str">
        <f t="shared" si="2"/>
        <v>CEO of the Quarter Q4-FY25</v>
      </c>
    </row>
    <row r="159" spans="1:11" hidden="1" x14ac:dyDescent="0.35">
      <c r="A159" s="52">
        <v>158</v>
      </c>
      <c r="B159" s="80">
        <v>7969</v>
      </c>
      <c r="C159" s="64" t="s">
        <v>2042</v>
      </c>
      <c r="D159" s="1" t="s">
        <v>2190</v>
      </c>
      <c r="E159" s="47" t="s">
        <v>7</v>
      </c>
      <c r="F159" s="1" t="s">
        <v>8</v>
      </c>
      <c r="G159" s="1" t="s">
        <v>9</v>
      </c>
      <c r="H159" s="1" t="s">
        <v>10</v>
      </c>
      <c r="I159" s="4" t="s">
        <v>2046</v>
      </c>
      <c r="J159" s="1" t="s">
        <v>200</v>
      </c>
      <c r="K159" s="1" t="str">
        <f t="shared" si="2"/>
        <v>CEO of the Quarter Q4-FY25</v>
      </c>
    </row>
    <row r="160" spans="1:11" hidden="1" x14ac:dyDescent="0.35">
      <c r="A160" s="52">
        <v>159</v>
      </c>
      <c r="B160" s="80">
        <v>3915</v>
      </c>
      <c r="C160" s="64" t="s">
        <v>2043</v>
      </c>
      <c r="D160" s="1" t="s">
        <v>2249</v>
      </c>
      <c r="E160" s="47" t="s">
        <v>7</v>
      </c>
      <c r="F160" s="1" t="s">
        <v>2106</v>
      </c>
      <c r="G160" s="1" t="s">
        <v>40</v>
      </c>
      <c r="H160" s="1" t="s">
        <v>74</v>
      </c>
      <c r="I160" s="4" t="s">
        <v>2046</v>
      </c>
      <c r="J160" s="1" t="s">
        <v>200</v>
      </c>
      <c r="K160" s="1" t="str">
        <f t="shared" si="2"/>
        <v>CEO of the Quarter Q4-FY25</v>
      </c>
    </row>
    <row r="161" spans="1:11" hidden="1" x14ac:dyDescent="0.35">
      <c r="A161" s="52">
        <v>160</v>
      </c>
      <c r="B161" s="80">
        <v>7239</v>
      </c>
      <c r="C161" s="64" t="s">
        <v>1843</v>
      </c>
      <c r="D161" s="1" t="s">
        <v>2289</v>
      </c>
      <c r="E161" s="47" t="s">
        <v>7</v>
      </c>
      <c r="F161" s="1" t="s">
        <v>2107</v>
      </c>
      <c r="G161" s="1" t="s">
        <v>13</v>
      </c>
      <c r="H161" s="1" t="s">
        <v>10</v>
      </c>
      <c r="I161" s="4" t="s">
        <v>2046</v>
      </c>
      <c r="J161" s="1" t="s">
        <v>200</v>
      </c>
      <c r="K161" s="1" t="str">
        <f t="shared" si="2"/>
        <v>CEO of the Quarter Q4-FY25</v>
      </c>
    </row>
    <row r="162" spans="1:11" hidden="1" x14ac:dyDescent="0.35">
      <c r="A162" s="52">
        <v>161</v>
      </c>
      <c r="B162" s="80">
        <v>7737</v>
      </c>
      <c r="C162" s="64" t="s">
        <v>176</v>
      </c>
      <c r="D162" s="1" t="s">
        <v>2310</v>
      </c>
      <c r="E162" s="47" t="s">
        <v>7</v>
      </c>
      <c r="F162" s="1" t="s">
        <v>26</v>
      </c>
      <c r="G162" s="1" t="s">
        <v>21</v>
      </c>
      <c r="H162" s="1" t="s">
        <v>10</v>
      </c>
      <c r="I162" s="4" t="s">
        <v>2046</v>
      </c>
      <c r="J162" s="1" t="s">
        <v>200</v>
      </c>
      <c r="K162" s="1" t="str">
        <f t="shared" si="2"/>
        <v>CEO of the Quarter Q4-FY25</v>
      </c>
    </row>
    <row r="163" spans="1:11" hidden="1" x14ac:dyDescent="0.35">
      <c r="A163" s="52">
        <v>162</v>
      </c>
      <c r="B163" s="80">
        <v>3949</v>
      </c>
      <c r="C163" s="64" t="s">
        <v>440</v>
      </c>
      <c r="D163" s="1" t="s">
        <v>2175</v>
      </c>
      <c r="E163" s="47" t="s">
        <v>7</v>
      </c>
      <c r="F163" s="1" t="s">
        <v>2103</v>
      </c>
      <c r="G163" s="1" t="s">
        <v>16</v>
      </c>
      <c r="H163" s="1" t="s">
        <v>54</v>
      </c>
      <c r="I163" s="4" t="s">
        <v>2046</v>
      </c>
      <c r="J163" s="1" t="s">
        <v>200</v>
      </c>
      <c r="K163" s="1" t="str">
        <f t="shared" si="2"/>
        <v>CEO of the Quarter Q4-FY25</v>
      </c>
    </row>
    <row r="164" spans="1:11" hidden="1" x14ac:dyDescent="0.35">
      <c r="A164" s="52">
        <v>163</v>
      </c>
      <c r="B164" s="80">
        <v>7398</v>
      </c>
      <c r="C164" s="64" t="s">
        <v>645</v>
      </c>
      <c r="D164" s="1" t="s">
        <v>2189</v>
      </c>
      <c r="E164" s="47" t="s">
        <v>7</v>
      </c>
      <c r="F164" s="1" t="s">
        <v>18</v>
      </c>
      <c r="G164" s="1" t="s">
        <v>9</v>
      </c>
      <c r="H164" s="1" t="s">
        <v>10</v>
      </c>
      <c r="I164" s="4" t="s">
        <v>2046</v>
      </c>
      <c r="J164" s="1" t="s">
        <v>200</v>
      </c>
      <c r="K164" s="1" t="str">
        <f t="shared" si="2"/>
        <v>CEO of the Quarter Q4-FY25</v>
      </c>
    </row>
    <row r="165" spans="1:11" hidden="1" x14ac:dyDescent="0.35">
      <c r="A165" s="52">
        <v>164</v>
      </c>
      <c r="B165" s="80">
        <v>7512</v>
      </c>
      <c r="C165" s="64" t="s">
        <v>646</v>
      </c>
      <c r="D165" s="1" t="s">
        <v>2188</v>
      </c>
      <c r="E165" s="47" t="s">
        <v>7</v>
      </c>
      <c r="F165" s="1" t="s">
        <v>8</v>
      </c>
      <c r="G165" s="1" t="s">
        <v>9</v>
      </c>
      <c r="H165" s="1" t="s">
        <v>10</v>
      </c>
      <c r="I165" s="4" t="s">
        <v>2046</v>
      </c>
      <c r="J165" s="1" t="s">
        <v>200</v>
      </c>
      <c r="K165" s="1" t="str">
        <f t="shared" si="2"/>
        <v>CEO of the Quarter Q4-FY25</v>
      </c>
    </row>
    <row r="166" spans="1:11" hidden="1" x14ac:dyDescent="0.35">
      <c r="A166" s="52">
        <v>165</v>
      </c>
      <c r="B166" s="80">
        <v>7517</v>
      </c>
      <c r="C166" s="64" t="s">
        <v>108</v>
      </c>
      <c r="D166" s="1" t="s">
        <v>2184</v>
      </c>
      <c r="E166" s="47" t="s">
        <v>7</v>
      </c>
      <c r="F166" s="1" t="s">
        <v>60</v>
      </c>
      <c r="G166" s="1" t="s">
        <v>9</v>
      </c>
      <c r="H166" s="1" t="s">
        <v>10</v>
      </c>
      <c r="I166" s="4" t="s">
        <v>2046</v>
      </c>
      <c r="J166" s="1" t="s">
        <v>200</v>
      </c>
      <c r="K166" s="1" t="str">
        <f t="shared" si="2"/>
        <v>CEO of the Quarter Q4-FY25</v>
      </c>
    </row>
    <row r="167" spans="1:11" hidden="1" x14ac:dyDescent="0.35">
      <c r="A167" s="52">
        <v>166</v>
      </c>
      <c r="B167" s="80">
        <v>6611</v>
      </c>
      <c r="C167" s="64" t="s">
        <v>1829</v>
      </c>
      <c r="D167" s="1" t="s">
        <v>2240</v>
      </c>
      <c r="E167" s="47" t="s">
        <v>47</v>
      </c>
      <c r="F167" s="1" t="s">
        <v>167</v>
      </c>
      <c r="G167" s="1" t="s">
        <v>35</v>
      </c>
      <c r="H167" s="1" t="s">
        <v>32</v>
      </c>
      <c r="I167" s="4" t="s">
        <v>2046</v>
      </c>
      <c r="J167" s="1" t="s">
        <v>200</v>
      </c>
      <c r="K167" s="1" t="str">
        <f t="shared" si="2"/>
        <v>CEO of the Quarter Q4-FY25</v>
      </c>
    </row>
    <row r="168" spans="1:11" hidden="1" x14ac:dyDescent="0.35">
      <c r="A168" s="52">
        <v>167</v>
      </c>
      <c r="B168" s="80">
        <v>7808</v>
      </c>
      <c r="C168" s="64" t="s">
        <v>177</v>
      </c>
      <c r="D168" s="1" t="s">
        <v>2236</v>
      </c>
      <c r="E168" s="47" t="s">
        <v>7</v>
      </c>
      <c r="F168" s="1" t="s">
        <v>196</v>
      </c>
      <c r="G168" s="1" t="s">
        <v>21</v>
      </c>
      <c r="H168" s="1" t="s">
        <v>10</v>
      </c>
      <c r="I168" s="4" t="s">
        <v>2046</v>
      </c>
      <c r="J168" s="1" t="s">
        <v>200</v>
      </c>
      <c r="K168" s="1" t="str">
        <f t="shared" si="2"/>
        <v>CEO of the Quarter Q4-FY25</v>
      </c>
    </row>
    <row r="169" spans="1:11" hidden="1" x14ac:dyDescent="0.35">
      <c r="A169" s="52">
        <v>168</v>
      </c>
      <c r="B169" s="80">
        <v>6536</v>
      </c>
      <c r="C169" s="64" t="s">
        <v>1738</v>
      </c>
      <c r="D169" s="1" t="s">
        <v>2297</v>
      </c>
      <c r="E169" s="47" t="s">
        <v>7</v>
      </c>
      <c r="F169" s="1" t="s">
        <v>39</v>
      </c>
      <c r="G169" s="1" t="s">
        <v>40</v>
      </c>
      <c r="H169" s="1" t="s">
        <v>251</v>
      </c>
      <c r="I169" s="4" t="s">
        <v>2046</v>
      </c>
      <c r="J169" s="1" t="s">
        <v>200</v>
      </c>
      <c r="K169" s="1" t="str">
        <f t="shared" si="2"/>
        <v>CEO of the Quarter Q4-FY25</v>
      </c>
    </row>
    <row r="170" spans="1:11" hidden="1" x14ac:dyDescent="0.35">
      <c r="A170" s="52">
        <v>169</v>
      </c>
      <c r="B170" s="80">
        <v>5751</v>
      </c>
      <c r="C170" s="64" t="s">
        <v>1841</v>
      </c>
      <c r="D170" s="1" t="s">
        <v>2290</v>
      </c>
      <c r="E170" s="47" t="s">
        <v>7</v>
      </c>
      <c r="F170" s="1" t="s">
        <v>162</v>
      </c>
      <c r="G170" s="1" t="s">
        <v>40</v>
      </c>
      <c r="H170" s="1" t="s">
        <v>54</v>
      </c>
      <c r="I170" s="4" t="s">
        <v>2046</v>
      </c>
      <c r="J170" s="1" t="s">
        <v>200</v>
      </c>
      <c r="K170" s="1" t="str">
        <f t="shared" si="2"/>
        <v>CEO of the Quarter Q4-FY25</v>
      </c>
    </row>
    <row r="171" spans="1:11" hidden="1" x14ac:dyDescent="0.35">
      <c r="A171" s="52">
        <v>170</v>
      </c>
      <c r="B171" s="80">
        <v>7394</v>
      </c>
      <c r="C171" s="64" t="s">
        <v>286</v>
      </c>
      <c r="D171" s="1" t="s">
        <v>2320</v>
      </c>
      <c r="E171" s="47" t="s">
        <v>7</v>
      </c>
      <c r="F171" s="1" t="s">
        <v>234</v>
      </c>
      <c r="G171" s="1" t="s">
        <v>73</v>
      </c>
      <c r="H171" s="1" t="s">
        <v>74</v>
      </c>
      <c r="I171" s="4" t="s">
        <v>2046</v>
      </c>
      <c r="J171" s="1" t="s">
        <v>200</v>
      </c>
      <c r="K171" s="1" t="str">
        <f t="shared" si="2"/>
        <v>CEO of the Quarter Q4-FY25</v>
      </c>
    </row>
    <row r="172" spans="1:11" hidden="1" x14ac:dyDescent="0.35">
      <c r="A172" s="52">
        <v>171</v>
      </c>
      <c r="B172" s="80">
        <v>6624</v>
      </c>
      <c r="C172" s="64" t="s">
        <v>1844</v>
      </c>
      <c r="D172" s="1" t="s">
        <v>1927</v>
      </c>
      <c r="E172" s="47" t="s">
        <v>28</v>
      </c>
      <c r="F172" s="1" t="s">
        <v>2108</v>
      </c>
      <c r="G172" s="1" t="s">
        <v>13</v>
      </c>
      <c r="H172" s="1" t="s">
        <v>10</v>
      </c>
      <c r="I172" s="4" t="s">
        <v>2046</v>
      </c>
      <c r="J172" s="1" t="s">
        <v>200</v>
      </c>
      <c r="K172" s="1" t="str">
        <f t="shared" si="2"/>
        <v>CEO of the Quarter Q4-FY25</v>
      </c>
    </row>
    <row r="173" spans="1:11" hidden="1" x14ac:dyDescent="0.35">
      <c r="A173" s="52">
        <v>172</v>
      </c>
      <c r="B173" s="80">
        <v>7654</v>
      </c>
      <c r="C173" s="64" t="s">
        <v>55</v>
      </c>
      <c r="D173" s="1" t="s">
        <v>2286</v>
      </c>
      <c r="E173" s="47" t="s">
        <v>7</v>
      </c>
      <c r="F173" s="1" t="s">
        <v>56</v>
      </c>
      <c r="G173" s="1" t="s">
        <v>16</v>
      </c>
      <c r="H173" s="1" t="s">
        <v>54</v>
      </c>
      <c r="I173" s="4" t="s">
        <v>2046</v>
      </c>
      <c r="J173" s="1" t="s">
        <v>200</v>
      </c>
      <c r="K173" s="1" t="str">
        <f t="shared" si="2"/>
        <v>CEO of the Quarter Q4-FY25</v>
      </c>
    </row>
    <row r="174" spans="1:11" hidden="1" x14ac:dyDescent="0.35">
      <c r="A174" s="52">
        <v>173</v>
      </c>
      <c r="B174" s="80">
        <v>7827</v>
      </c>
      <c r="C174" s="64" t="s">
        <v>349</v>
      </c>
      <c r="D174" s="1" t="s">
        <v>2173</v>
      </c>
      <c r="E174" s="47" t="s">
        <v>47</v>
      </c>
      <c r="F174" s="1" t="s">
        <v>1721</v>
      </c>
      <c r="G174" s="1" t="s">
        <v>395</v>
      </c>
      <c r="H174" s="1" t="s">
        <v>10</v>
      </c>
      <c r="I174" s="4" t="s">
        <v>2046</v>
      </c>
      <c r="J174" s="1" t="s">
        <v>200</v>
      </c>
      <c r="K174" s="1" t="str">
        <f t="shared" si="2"/>
        <v>CEO of the Quarter Q4-FY25</v>
      </c>
    </row>
    <row r="175" spans="1:11" hidden="1" x14ac:dyDescent="0.35">
      <c r="A175" s="52">
        <v>174</v>
      </c>
      <c r="B175" s="80">
        <v>7776</v>
      </c>
      <c r="C175" s="64" t="s">
        <v>2044</v>
      </c>
      <c r="D175" s="1" t="s">
        <v>2186</v>
      </c>
      <c r="E175" s="47" t="s">
        <v>47</v>
      </c>
      <c r="F175" s="1" t="s">
        <v>197</v>
      </c>
      <c r="G175" s="1" t="s">
        <v>9</v>
      </c>
      <c r="H175" s="1" t="s">
        <v>54</v>
      </c>
      <c r="I175" s="4" t="s">
        <v>2046</v>
      </c>
      <c r="J175" s="1" t="s">
        <v>200</v>
      </c>
      <c r="K175" s="1" t="str">
        <f t="shared" si="2"/>
        <v>CEO of the Quarter Q4-FY25</v>
      </c>
    </row>
    <row r="176" spans="1:11" hidden="1" x14ac:dyDescent="0.35">
      <c r="A176" s="52">
        <v>175</v>
      </c>
      <c r="B176" s="80">
        <v>2990</v>
      </c>
      <c r="C176" s="64" t="s">
        <v>297</v>
      </c>
      <c r="D176" s="1" t="s">
        <v>2196</v>
      </c>
      <c r="E176" s="47" t="s">
        <v>28</v>
      </c>
      <c r="F176" s="1" t="s">
        <v>1678</v>
      </c>
      <c r="G176" s="1" t="s">
        <v>35</v>
      </c>
      <c r="H176" s="1" t="s">
        <v>32</v>
      </c>
      <c r="I176" s="4" t="s">
        <v>2046</v>
      </c>
      <c r="J176" s="1" t="s">
        <v>200</v>
      </c>
      <c r="K176" s="1" t="str">
        <f t="shared" si="2"/>
        <v>CEO of the Quarter Q4-FY25</v>
      </c>
    </row>
    <row r="177" spans="1:11" hidden="1" x14ac:dyDescent="0.35">
      <c r="A177" s="52">
        <v>176</v>
      </c>
      <c r="B177" s="80">
        <v>7895</v>
      </c>
      <c r="C177" s="64" t="s">
        <v>741</v>
      </c>
      <c r="D177" s="1" t="s">
        <v>2250</v>
      </c>
      <c r="E177" s="47" t="s">
        <v>7</v>
      </c>
      <c r="F177" s="1" t="s">
        <v>39</v>
      </c>
      <c r="G177" s="1" t="s">
        <v>40</v>
      </c>
      <c r="H177" s="1" t="s">
        <v>74</v>
      </c>
      <c r="I177" s="4" t="s">
        <v>2046</v>
      </c>
      <c r="J177" s="1" t="s">
        <v>200</v>
      </c>
      <c r="K177" s="1" t="str">
        <f t="shared" si="2"/>
        <v>CEO of the Quarter Q4-FY25</v>
      </c>
    </row>
    <row r="178" spans="1:11" hidden="1" x14ac:dyDescent="0.35">
      <c r="A178" s="52">
        <v>177</v>
      </c>
      <c r="B178" s="80">
        <v>7480</v>
      </c>
      <c r="C178" s="64" t="s">
        <v>409</v>
      </c>
      <c r="D178" s="1" t="s">
        <v>2244</v>
      </c>
      <c r="E178" s="47" t="s">
        <v>47</v>
      </c>
      <c r="F178" s="1" t="s">
        <v>197</v>
      </c>
      <c r="G178" s="1" t="s">
        <v>9</v>
      </c>
      <c r="H178" s="1" t="s">
        <v>54</v>
      </c>
      <c r="I178" s="4" t="s">
        <v>2046</v>
      </c>
      <c r="J178" s="1" t="s">
        <v>200</v>
      </c>
      <c r="K178" s="1" t="str">
        <f t="shared" si="2"/>
        <v>CEO of the Quarter Q4-FY25</v>
      </c>
    </row>
    <row r="179" spans="1:11" hidden="1" x14ac:dyDescent="0.35">
      <c r="A179" s="52">
        <v>178</v>
      </c>
      <c r="B179" s="80">
        <v>3081</v>
      </c>
      <c r="C179" s="64" t="s">
        <v>1856</v>
      </c>
      <c r="D179" s="1" t="s">
        <v>2285</v>
      </c>
      <c r="E179" s="47" t="s">
        <v>7</v>
      </c>
      <c r="F179" s="1" t="s">
        <v>2109</v>
      </c>
      <c r="G179" s="1" t="s">
        <v>35</v>
      </c>
      <c r="H179" s="1" t="s">
        <v>74</v>
      </c>
      <c r="I179" s="4" t="s">
        <v>2046</v>
      </c>
      <c r="J179" s="1" t="s">
        <v>200</v>
      </c>
      <c r="K179" s="1" t="str">
        <f t="shared" si="2"/>
        <v>CEO of the Quarter Q4-FY25</v>
      </c>
    </row>
    <row r="180" spans="1:11" hidden="1" x14ac:dyDescent="0.35">
      <c r="A180" s="52">
        <v>179</v>
      </c>
      <c r="B180" s="80">
        <v>7573</v>
      </c>
      <c r="C180" s="64" t="s">
        <v>2045</v>
      </c>
      <c r="D180" s="1" t="s">
        <v>2276</v>
      </c>
      <c r="E180" s="47" t="s">
        <v>7</v>
      </c>
      <c r="F180" s="1" t="s">
        <v>195</v>
      </c>
      <c r="G180" s="1" t="s">
        <v>35</v>
      </c>
      <c r="H180" s="1" t="s">
        <v>32</v>
      </c>
      <c r="I180" s="4" t="s">
        <v>2046</v>
      </c>
      <c r="J180" s="1" t="s">
        <v>200</v>
      </c>
      <c r="K180" s="1" t="str">
        <f t="shared" si="2"/>
        <v>CEO of the Quarter Q4-FY25</v>
      </c>
    </row>
    <row r="181" spans="1:11" hidden="1" x14ac:dyDescent="0.35">
      <c r="A181" s="52">
        <v>180</v>
      </c>
      <c r="B181" s="80">
        <v>7811</v>
      </c>
      <c r="C181" s="64" t="s">
        <v>355</v>
      </c>
      <c r="D181" s="1" t="s">
        <v>2294</v>
      </c>
      <c r="E181" s="47" t="s">
        <v>7</v>
      </c>
      <c r="F181" s="1" t="s">
        <v>2110</v>
      </c>
      <c r="G181" s="1" t="s">
        <v>21</v>
      </c>
      <c r="H181" s="1" t="s">
        <v>10</v>
      </c>
      <c r="I181" s="4" t="s">
        <v>2046</v>
      </c>
      <c r="J181" s="1" t="s">
        <v>200</v>
      </c>
      <c r="K181" s="1" t="str">
        <f t="shared" si="2"/>
        <v>CEO of the Quarter Q4-FY25</v>
      </c>
    </row>
    <row r="182" spans="1:11" hidden="1" x14ac:dyDescent="0.35">
      <c r="A182" s="52">
        <v>181</v>
      </c>
      <c r="B182" s="80">
        <v>7253</v>
      </c>
      <c r="C182" s="64" t="s">
        <v>689</v>
      </c>
      <c r="D182" s="1" t="s">
        <v>2304</v>
      </c>
      <c r="E182" s="47" t="s">
        <v>47</v>
      </c>
      <c r="F182" s="1" t="s">
        <v>246</v>
      </c>
      <c r="G182" s="1" t="s">
        <v>35</v>
      </c>
      <c r="H182" s="1" t="s">
        <v>32</v>
      </c>
      <c r="I182" s="4" t="s">
        <v>2046</v>
      </c>
      <c r="J182" s="1" t="s">
        <v>200</v>
      </c>
      <c r="K182" s="1" t="str">
        <f t="shared" si="2"/>
        <v>CEO of the Quarter Q4-FY25</v>
      </c>
    </row>
    <row r="183" spans="1:11" hidden="1" x14ac:dyDescent="0.35">
      <c r="A183" s="52">
        <v>182</v>
      </c>
      <c r="B183" s="80">
        <v>1704</v>
      </c>
      <c r="C183" s="64" t="s">
        <v>895</v>
      </c>
      <c r="D183" s="1" t="s">
        <v>2301</v>
      </c>
      <c r="E183" s="47" t="s">
        <v>28</v>
      </c>
      <c r="F183" s="1" t="s">
        <v>2111</v>
      </c>
      <c r="G183" s="1" t="s">
        <v>35</v>
      </c>
      <c r="H183" s="1" t="s">
        <v>54</v>
      </c>
      <c r="I183" s="4" t="s">
        <v>2046</v>
      </c>
      <c r="J183" s="1" t="s">
        <v>200</v>
      </c>
      <c r="K183" s="1" t="str">
        <f t="shared" si="2"/>
        <v>CEO of the Quarter Q4-FY25</v>
      </c>
    </row>
    <row r="184" spans="1:11" hidden="1" x14ac:dyDescent="0.35">
      <c r="A184" s="52">
        <v>183</v>
      </c>
      <c r="B184" s="80">
        <v>6541</v>
      </c>
      <c r="C184" s="64" t="s">
        <v>439</v>
      </c>
      <c r="D184" s="1" t="s">
        <v>2327</v>
      </c>
      <c r="E184" s="47" t="s">
        <v>7</v>
      </c>
      <c r="F184" s="1" t="s">
        <v>2112</v>
      </c>
      <c r="G184" s="1" t="s">
        <v>53</v>
      </c>
      <c r="H184" s="1" t="s">
        <v>54</v>
      </c>
      <c r="I184" s="4" t="s">
        <v>2046</v>
      </c>
      <c r="J184" s="1" t="s">
        <v>200</v>
      </c>
      <c r="K184" s="1" t="str">
        <f t="shared" si="2"/>
        <v>CEO of the Quarter Q4-FY25</v>
      </c>
    </row>
    <row r="185" spans="1:11" hidden="1" x14ac:dyDescent="0.35">
      <c r="A185" s="52">
        <v>184</v>
      </c>
      <c r="B185" s="80">
        <v>7902</v>
      </c>
      <c r="C185" s="64" t="s">
        <v>1832</v>
      </c>
      <c r="D185" s="1" t="s">
        <v>1900</v>
      </c>
      <c r="E185" s="47" t="s">
        <v>7</v>
      </c>
      <c r="F185" s="1" t="s">
        <v>234</v>
      </c>
      <c r="G185" s="1" t="s">
        <v>73</v>
      </c>
      <c r="H185" s="1" t="s">
        <v>32</v>
      </c>
      <c r="I185" s="4" t="s">
        <v>2046</v>
      </c>
      <c r="J185" s="1" t="s">
        <v>200</v>
      </c>
      <c r="K185" s="1" t="str">
        <f t="shared" si="2"/>
        <v>CEO of the Quarter Q4-FY25</v>
      </c>
    </row>
    <row r="186" spans="1:11" hidden="1" x14ac:dyDescent="0.35">
      <c r="A186" s="52">
        <v>185</v>
      </c>
      <c r="B186" s="80">
        <v>3206</v>
      </c>
      <c r="C186" s="64" t="s">
        <v>1846</v>
      </c>
      <c r="D186" s="1" t="s">
        <v>1931</v>
      </c>
      <c r="E186" s="47" t="s">
        <v>7</v>
      </c>
      <c r="F186" s="1" t="s">
        <v>2113</v>
      </c>
      <c r="G186" s="1" t="s">
        <v>24</v>
      </c>
      <c r="H186" s="1" t="s">
        <v>10</v>
      </c>
      <c r="I186" s="4" t="s">
        <v>2046</v>
      </c>
      <c r="J186" s="1" t="s">
        <v>200</v>
      </c>
      <c r="K186" s="1" t="str">
        <f t="shared" si="2"/>
        <v>CEO of the Quarter Q4-FY25</v>
      </c>
    </row>
    <row r="187" spans="1:11" hidden="1" x14ac:dyDescent="0.35">
      <c r="A187" s="52">
        <v>186</v>
      </c>
      <c r="B187" s="80">
        <v>7753</v>
      </c>
      <c r="C187" s="64" t="s">
        <v>1830</v>
      </c>
      <c r="D187" s="1" t="s">
        <v>2237</v>
      </c>
      <c r="E187" s="47" t="s">
        <v>7</v>
      </c>
      <c r="F187" s="1" t="s">
        <v>72</v>
      </c>
      <c r="G187" s="1" t="s">
        <v>73</v>
      </c>
      <c r="H187" s="1" t="s">
        <v>32</v>
      </c>
      <c r="I187" s="4" t="s">
        <v>2046</v>
      </c>
      <c r="J187" s="1" t="s">
        <v>200</v>
      </c>
      <c r="K187" s="1" t="str">
        <f t="shared" si="2"/>
        <v>CEO of the Quarter Q4-FY25</v>
      </c>
    </row>
    <row r="188" spans="1:11" hidden="1" x14ac:dyDescent="0.35">
      <c r="A188" s="52">
        <v>187</v>
      </c>
      <c r="B188" s="47">
        <v>7823</v>
      </c>
      <c r="C188" s="63" t="s">
        <v>351</v>
      </c>
      <c r="D188" s="84" t="s">
        <v>2376</v>
      </c>
      <c r="E188" s="47" t="s">
        <v>47</v>
      </c>
      <c r="F188" s="47" t="s">
        <v>2565</v>
      </c>
      <c r="G188" s="47" t="s">
        <v>21</v>
      </c>
      <c r="H188" s="47" t="s">
        <v>10</v>
      </c>
      <c r="I188" s="1" t="s">
        <v>2497</v>
      </c>
      <c r="J188" s="1" t="s">
        <v>200</v>
      </c>
      <c r="K188" s="1" t="str">
        <f t="shared" ref="K188" si="3">_xlfn.CONCAT(J188," ",I188)</f>
        <v>CEO of the Quarter Q1-FY26</v>
      </c>
    </row>
    <row r="189" spans="1:11" hidden="1" x14ac:dyDescent="0.35">
      <c r="A189" s="52">
        <v>188</v>
      </c>
      <c r="B189" s="47">
        <v>7739</v>
      </c>
      <c r="C189" s="63" t="s">
        <v>344</v>
      </c>
      <c r="D189" s="84" t="s">
        <v>2416</v>
      </c>
      <c r="E189" s="47" t="s">
        <v>7</v>
      </c>
      <c r="F189" s="47" t="s">
        <v>2566</v>
      </c>
      <c r="G189" s="47" t="s">
        <v>9</v>
      </c>
      <c r="H189" s="47" t="s">
        <v>10</v>
      </c>
      <c r="I189" s="1" t="s">
        <v>2497</v>
      </c>
      <c r="J189" s="1" t="s">
        <v>200</v>
      </c>
      <c r="K189" s="1" t="str">
        <f t="shared" ref="K189:K214" si="4">_xlfn.CONCAT(J189," ",I189)</f>
        <v>CEO of the Quarter Q1-FY26</v>
      </c>
    </row>
    <row r="190" spans="1:11" hidden="1" x14ac:dyDescent="0.35">
      <c r="A190" s="52">
        <v>189</v>
      </c>
      <c r="B190" s="47">
        <v>7585</v>
      </c>
      <c r="C190" s="63" t="s">
        <v>407</v>
      </c>
      <c r="D190" s="84" t="s">
        <v>2180</v>
      </c>
      <c r="E190" s="47" t="s">
        <v>7</v>
      </c>
      <c r="F190" s="47" t="s">
        <v>2103</v>
      </c>
      <c r="G190" s="47" t="s">
        <v>16</v>
      </c>
      <c r="H190" s="47" t="s">
        <v>54</v>
      </c>
      <c r="I190" s="1" t="s">
        <v>2497</v>
      </c>
      <c r="J190" s="1" t="s">
        <v>200</v>
      </c>
      <c r="K190" s="1" t="str">
        <f t="shared" si="4"/>
        <v>CEO of the Quarter Q1-FY26</v>
      </c>
    </row>
    <row r="191" spans="1:11" hidden="1" x14ac:dyDescent="0.35">
      <c r="A191" s="52">
        <v>190</v>
      </c>
      <c r="B191" s="47">
        <v>6890</v>
      </c>
      <c r="C191" s="63" t="s">
        <v>302</v>
      </c>
      <c r="D191" s="84" t="s">
        <v>2418</v>
      </c>
      <c r="E191" s="47" t="s">
        <v>7</v>
      </c>
      <c r="F191" s="47" t="s">
        <v>18</v>
      </c>
      <c r="G191" s="47" t="s">
        <v>9</v>
      </c>
      <c r="H191" s="47" t="s">
        <v>10</v>
      </c>
      <c r="I191" s="1" t="s">
        <v>2497</v>
      </c>
      <c r="J191" s="1" t="s">
        <v>200</v>
      </c>
      <c r="K191" s="1" t="str">
        <f t="shared" si="4"/>
        <v>CEO of the Quarter Q1-FY26</v>
      </c>
    </row>
    <row r="192" spans="1:11" hidden="1" x14ac:dyDescent="0.35">
      <c r="A192" s="52">
        <v>191</v>
      </c>
      <c r="B192" s="47">
        <v>3458</v>
      </c>
      <c r="C192" s="63" t="s">
        <v>452</v>
      </c>
      <c r="D192" s="84" t="s">
        <v>2467</v>
      </c>
      <c r="E192" s="47" t="s">
        <v>7</v>
      </c>
      <c r="F192" s="47" t="s">
        <v>2567</v>
      </c>
      <c r="G192" s="47" t="s">
        <v>9</v>
      </c>
      <c r="H192" s="47" t="s">
        <v>54</v>
      </c>
      <c r="I192" s="1" t="s">
        <v>2497</v>
      </c>
      <c r="J192" s="1" t="s">
        <v>200</v>
      </c>
      <c r="K192" s="1" t="str">
        <f t="shared" si="4"/>
        <v>CEO of the Quarter Q1-FY26</v>
      </c>
    </row>
    <row r="193" spans="1:11" hidden="1" x14ac:dyDescent="0.35">
      <c r="A193" s="52">
        <v>192</v>
      </c>
      <c r="B193" s="47">
        <v>7915</v>
      </c>
      <c r="C193" s="63" t="s">
        <v>873</v>
      </c>
      <c r="D193" s="84" t="s">
        <v>2405</v>
      </c>
      <c r="E193" s="47" t="s">
        <v>7</v>
      </c>
      <c r="F193" s="47" t="s">
        <v>8</v>
      </c>
      <c r="G193" s="47" t="s">
        <v>9</v>
      </c>
      <c r="H193" s="47" t="s">
        <v>10</v>
      </c>
      <c r="I193" s="1" t="s">
        <v>2497</v>
      </c>
      <c r="J193" s="1" t="s">
        <v>200</v>
      </c>
      <c r="K193" s="1" t="str">
        <f t="shared" si="4"/>
        <v>CEO of the Quarter Q1-FY26</v>
      </c>
    </row>
    <row r="194" spans="1:11" hidden="1" x14ac:dyDescent="0.35">
      <c r="A194" s="52">
        <v>193</v>
      </c>
      <c r="B194" s="47">
        <v>1363</v>
      </c>
      <c r="C194" s="63" t="s">
        <v>2339</v>
      </c>
      <c r="D194" s="84" t="s">
        <v>2390</v>
      </c>
      <c r="E194" s="47" t="s">
        <v>7</v>
      </c>
      <c r="F194" s="47" t="s">
        <v>2106</v>
      </c>
      <c r="G194" s="47" t="s">
        <v>40</v>
      </c>
      <c r="H194" s="47" t="s">
        <v>54</v>
      </c>
      <c r="I194" s="1" t="s">
        <v>2497</v>
      </c>
      <c r="J194" s="1" t="s">
        <v>200</v>
      </c>
      <c r="K194" s="1" t="str">
        <f t="shared" si="4"/>
        <v>CEO of the Quarter Q1-FY26</v>
      </c>
    </row>
    <row r="195" spans="1:11" hidden="1" x14ac:dyDescent="0.35">
      <c r="A195" s="52">
        <v>194</v>
      </c>
      <c r="B195" s="47">
        <v>7455</v>
      </c>
      <c r="C195" s="63" t="s">
        <v>712</v>
      </c>
      <c r="D195" s="84" t="s">
        <v>2419</v>
      </c>
      <c r="E195" s="47" t="s">
        <v>7</v>
      </c>
      <c r="F195" s="47" t="s">
        <v>60</v>
      </c>
      <c r="G195" s="47" t="s">
        <v>9</v>
      </c>
      <c r="H195" s="47" t="s">
        <v>10</v>
      </c>
      <c r="I195" s="1" t="s">
        <v>2497</v>
      </c>
      <c r="J195" s="1" t="s">
        <v>200</v>
      </c>
      <c r="K195" s="1" t="str">
        <f t="shared" si="4"/>
        <v>CEO of the Quarter Q1-FY26</v>
      </c>
    </row>
    <row r="196" spans="1:11" hidden="1" x14ac:dyDescent="0.35">
      <c r="A196" s="52">
        <v>195</v>
      </c>
      <c r="B196" s="47">
        <v>7426</v>
      </c>
      <c r="C196" s="63" t="s">
        <v>19</v>
      </c>
      <c r="D196" s="84" t="s">
        <v>2469</v>
      </c>
      <c r="E196" s="47" t="s">
        <v>7</v>
      </c>
      <c r="F196" s="47" t="s">
        <v>20</v>
      </c>
      <c r="G196" s="47" t="s">
        <v>21</v>
      </c>
      <c r="H196" s="47" t="s">
        <v>10</v>
      </c>
      <c r="I196" s="1" t="s">
        <v>2497</v>
      </c>
      <c r="J196" s="1" t="s">
        <v>200</v>
      </c>
      <c r="K196" s="1" t="str">
        <f t="shared" si="4"/>
        <v>CEO of the Quarter Q1-FY26</v>
      </c>
    </row>
    <row r="197" spans="1:11" hidden="1" x14ac:dyDescent="0.35">
      <c r="A197" s="52">
        <v>196</v>
      </c>
      <c r="B197" s="47">
        <v>6406</v>
      </c>
      <c r="C197" s="63" t="s">
        <v>448</v>
      </c>
      <c r="D197" s="84" t="s">
        <v>2463</v>
      </c>
      <c r="E197" s="47" t="s">
        <v>28</v>
      </c>
      <c r="F197" s="47" t="s">
        <v>2568</v>
      </c>
      <c r="G197" s="47" t="s">
        <v>16</v>
      </c>
      <c r="H197" s="47" t="s">
        <v>54</v>
      </c>
      <c r="I197" s="1" t="s">
        <v>2497</v>
      </c>
      <c r="J197" s="1" t="s">
        <v>200</v>
      </c>
      <c r="K197" s="1" t="str">
        <f t="shared" si="4"/>
        <v>CEO of the Quarter Q1-FY26</v>
      </c>
    </row>
    <row r="198" spans="1:11" hidden="1" x14ac:dyDescent="0.35">
      <c r="A198" s="52">
        <v>197</v>
      </c>
      <c r="B198" s="47">
        <v>7471</v>
      </c>
      <c r="C198" s="63" t="s">
        <v>813</v>
      </c>
      <c r="D198" s="84" t="s">
        <v>2278</v>
      </c>
      <c r="E198" s="47" t="s">
        <v>7</v>
      </c>
      <c r="F198" s="47" t="s">
        <v>2569</v>
      </c>
      <c r="G198" s="47" t="s">
        <v>16</v>
      </c>
      <c r="H198" s="47" t="s">
        <v>54</v>
      </c>
      <c r="I198" s="1" t="s">
        <v>2497</v>
      </c>
      <c r="J198" s="1" t="s">
        <v>200</v>
      </c>
      <c r="K198" s="1" t="str">
        <f t="shared" si="4"/>
        <v>CEO of the Quarter Q1-FY26</v>
      </c>
    </row>
    <row r="199" spans="1:11" hidden="1" x14ac:dyDescent="0.35">
      <c r="A199" s="52">
        <v>198</v>
      </c>
      <c r="B199" s="47">
        <v>7770</v>
      </c>
      <c r="C199" s="63" t="s">
        <v>2126</v>
      </c>
      <c r="D199" s="84" t="s">
        <v>2222</v>
      </c>
      <c r="E199" s="47" t="s">
        <v>47</v>
      </c>
      <c r="F199" s="47" t="s">
        <v>2570</v>
      </c>
      <c r="G199" s="47" t="s">
        <v>16</v>
      </c>
      <c r="H199" s="47" t="s">
        <v>54</v>
      </c>
      <c r="I199" s="1" t="s">
        <v>2497</v>
      </c>
      <c r="J199" s="1" t="s">
        <v>200</v>
      </c>
      <c r="K199" s="1" t="str">
        <f t="shared" si="4"/>
        <v>CEO of the Quarter Q1-FY26</v>
      </c>
    </row>
    <row r="200" spans="1:11" hidden="1" x14ac:dyDescent="0.35">
      <c r="A200" s="52">
        <v>199</v>
      </c>
      <c r="B200" s="47">
        <v>2186</v>
      </c>
      <c r="C200" s="63" t="s">
        <v>2336</v>
      </c>
      <c r="D200" s="84" t="s">
        <v>2387</v>
      </c>
      <c r="E200" s="47" t="s">
        <v>7</v>
      </c>
      <c r="F200" s="47" t="s">
        <v>60</v>
      </c>
      <c r="G200" s="47" t="s">
        <v>9</v>
      </c>
      <c r="H200" s="47" t="s">
        <v>54</v>
      </c>
      <c r="I200" s="1" t="s">
        <v>2497</v>
      </c>
      <c r="J200" s="1" t="s">
        <v>200</v>
      </c>
      <c r="K200" s="1" t="str">
        <f t="shared" si="4"/>
        <v>CEO of the Quarter Q1-FY26</v>
      </c>
    </row>
    <row r="201" spans="1:11" hidden="1" x14ac:dyDescent="0.35">
      <c r="A201" s="52">
        <v>200</v>
      </c>
      <c r="B201" s="47">
        <v>2244</v>
      </c>
      <c r="C201" s="63" t="s">
        <v>416</v>
      </c>
      <c r="D201" s="84" t="s">
        <v>2382</v>
      </c>
      <c r="E201" s="47" t="s">
        <v>7</v>
      </c>
      <c r="F201" s="47" t="s">
        <v>154</v>
      </c>
      <c r="G201" s="47" t="s">
        <v>53</v>
      </c>
      <c r="H201" s="47" t="s">
        <v>54</v>
      </c>
      <c r="I201" s="1" t="s">
        <v>2497</v>
      </c>
      <c r="J201" s="1" t="s">
        <v>200</v>
      </c>
      <c r="K201" s="1" t="str">
        <f t="shared" si="4"/>
        <v>CEO of the Quarter Q1-FY26</v>
      </c>
    </row>
    <row r="202" spans="1:11" hidden="1" x14ac:dyDescent="0.35">
      <c r="A202" s="52">
        <v>201</v>
      </c>
      <c r="B202" s="47">
        <v>7787</v>
      </c>
      <c r="C202" s="63" t="s">
        <v>2343</v>
      </c>
      <c r="D202" s="84" t="s">
        <v>2400</v>
      </c>
      <c r="E202" s="47" t="s">
        <v>7</v>
      </c>
      <c r="F202" s="47" t="s">
        <v>39</v>
      </c>
      <c r="G202" s="47" t="s">
        <v>40</v>
      </c>
      <c r="H202" s="47" t="s">
        <v>54</v>
      </c>
      <c r="I202" s="1" t="s">
        <v>2497</v>
      </c>
      <c r="J202" s="1" t="s">
        <v>200</v>
      </c>
      <c r="K202" s="1" t="str">
        <f t="shared" si="4"/>
        <v>CEO of the Quarter Q1-FY26</v>
      </c>
    </row>
    <row r="203" spans="1:11" hidden="1" x14ac:dyDescent="0.35">
      <c r="A203" s="52">
        <v>202</v>
      </c>
      <c r="B203" s="47">
        <v>7503</v>
      </c>
      <c r="C203" s="63" t="s">
        <v>2337</v>
      </c>
      <c r="D203" s="84" t="s">
        <v>2388</v>
      </c>
      <c r="E203" s="47" t="s">
        <v>7</v>
      </c>
      <c r="F203" s="47" t="s">
        <v>72</v>
      </c>
      <c r="G203" s="47" t="s">
        <v>73</v>
      </c>
      <c r="H203" s="47" t="s">
        <v>32</v>
      </c>
      <c r="I203" s="1" t="s">
        <v>2497</v>
      </c>
      <c r="J203" s="1" t="s">
        <v>200</v>
      </c>
      <c r="K203" s="1" t="str">
        <f t="shared" si="4"/>
        <v>CEO of the Quarter Q1-FY26</v>
      </c>
    </row>
    <row r="204" spans="1:11" hidden="1" x14ac:dyDescent="0.35">
      <c r="A204" s="52">
        <v>203</v>
      </c>
      <c r="B204" s="63">
        <v>7238</v>
      </c>
      <c r="C204" s="63" t="s">
        <v>798</v>
      </c>
      <c r="D204" s="85" t="s">
        <v>2446</v>
      </c>
      <c r="E204" s="63" t="s">
        <v>7</v>
      </c>
      <c r="F204" s="63" t="s">
        <v>2571</v>
      </c>
      <c r="G204" s="63" t="s">
        <v>168</v>
      </c>
      <c r="H204" s="63" t="s">
        <v>10</v>
      </c>
      <c r="I204" s="1" t="s">
        <v>2497</v>
      </c>
      <c r="J204" s="1" t="s">
        <v>200</v>
      </c>
      <c r="K204" s="1" t="str">
        <f t="shared" si="4"/>
        <v>CEO of the Quarter Q1-FY26</v>
      </c>
    </row>
    <row r="205" spans="1:11" hidden="1" x14ac:dyDescent="0.35">
      <c r="A205" s="52">
        <v>204</v>
      </c>
      <c r="B205" s="47">
        <v>7807</v>
      </c>
      <c r="C205" s="63" t="s">
        <v>458</v>
      </c>
      <c r="D205" s="84" t="s">
        <v>2436</v>
      </c>
      <c r="E205" s="47" t="s">
        <v>28</v>
      </c>
      <c r="F205" s="47" t="s">
        <v>2572</v>
      </c>
      <c r="G205" s="47" t="s">
        <v>21</v>
      </c>
      <c r="H205" s="47" t="s">
        <v>10</v>
      </c>
      <c r="I205" s="1" t="s">
        <v>2497</v>
      </c>
      <c r="J205" s="1" t="s">
        <v>200</v>
      </c>
      <c r="K205" s="1" t="str">
        <f t="shared" si="4"/>
        <v>CEO of the Quarter Q1-FY26</v>
      </c>
    </row>
    <row r="206" spans="1:11" hidden="1" x14ac:dyDescent="0.35">
      <c r="A206" s="52">
        <v>205</v>
      </c>
      <c r="B206" s="47">
        <v>7824</v>
      </c>
      <c r="C206" s="63" t="s">
        <v>408</v>
      </c>
      <c r="D206" s="84" t="s">
        <v>2401</v>
      </c>
      <c r="E206" s="47" t="s">
        <v>7</v>
      </c>
      <c r="F206" s="47" t="s">
        <v>2573</v>
      </c>
      <c r="G206" s="47" t="s">
        <v>35</v>
      </c>
      <c r="H206" s="47" t="s">
        <v>32</v>
      </c>
      <c r="I206" s="1" t="s">
        <v>2497</v>
      </c>
      <c r="J206" s="1" t="s">
        <v>200</v>
      </c>
      <c r="K206" s="1" t="str">
        <f t="shared" si="4"/>
        <v>CEO of the Quarter Q1-FY26</v>
      </c>
    </row>
    <row r="207" spans="1:11" hidden="1" x14ac:dyDescent="0.35">
      <c r="A207" s="52">
        <v>206</v>
      </c>
      <c r="B207" s="47">
        <v>5429</v>
      </c>
      <c r="C207" s="63" t="s">
        <v>2338</v>
      </c>
      <c r="D207" s="84" t="s">
        <v>2389</v>
      </c>
      <c r="E207" s="47" t="s">
        <v>7</v>
      </c>
      <c r="F207" s="47" t="s">
        <v>162</v>
      </c>
      <c r="G207" s="47" t="s">
        <v>40</v>
      </c>
      <c r="H207" s="47" t="s">
        <v>54</v>
      </c>
      <c r="I207" s="1" t="s">
        <v>2497</v>
      </c>
      <c r="J207" s="1" t="s">
        <v>200</v>
      </c>
      <c r="K207" s="1" t="str">
        <f t="shared" si="4"/>
        <v>CEO of the Quarter Q1-FY26</v>
      </c>
    </row>
    <row r="208" spans="1:11" hidden="1" x14ac:dyDescent="0.35">
      <c r="A208" s="52">
        <v>207</v>
      </c>
      <c r="B208" s="47">
        <v>7216</v>
      </c>
      <c r="C208" s="63" t="s">
        <v>36</v>
      </c>
      <c r="D208" s="84" t="s">
        <v>2415</v>
      </c>
      <c r="E208" s="47" t="s">
        <v>7</v>
      </c>
      <c r="F208" s="47" t="s">
        <v>37</v>
      </c>
      <c r="G208" s="47" t="s">
        <v>35</v>
      </c>
      <c r="H208" s="47" t="s">
        <v>32</v>
      </c>
      <c r="I208" s="1" t="s">
        <v>2497</v>
      </c>
      <c r="J208" s="1" t="s">
        <v>200</v>
      </c>
      <c r="K208" s="1" t="str">
        <f t="shared" si="4"/>
        <v>CEO of the Quarter Q1-FY26</v>
      </c>
    </row>
    <row r="209" spans="1:11" hidden="1" x14ac:dyDescent="0.35">
      <c r="A209" s="52">
        <v>208</v>
      </c>
      <c r="B209" s="47">
        <v>4379</v>
      </c>
      <c r="C209" s="63" t="s">
        <v>468</v>
      </c>
      <c r="D209" s="84" t="s">
        <v>2408</v>
      </c>
      <c r="E209" s="47" t="s">
        <v>28</v>
      </c>
      <c r="F209" s="47" t="s">
        <v>2574</v>
      </c>
      <c r="G209" s="47" t="s">
        <v>9</v>
      </c>
      <c r="H209" s="47" t="s">
        <v>10</v>
      </c>
      <c r="I209" s="1" t="s">
        <v>2497</v>
      </c>
      <c r="J209" s="1" t="s">
        <v>200</v>
      </c>
      <c r="K209" s="1" t="str">
        <f t="shared" si="4"/>
        <v>CEO of the Quarter Q1-FY26</v>
      </c>
    </row>
    <row r="210" spans="1:11" hidden="1" x14ac:dyDescent="0.35">
      <c r="A210" s="52">
        <v>209</v>
      </c>
      <c r="B210" s="47">
        <v>7904</v>
      </c>
      <c r="C210" s="63" t="s">
        <v>2344</v>
      </c>
      <c r="D210" s="84" t="s">
        <v>2407</v>
      </c>
      <c r="E210" s="47" t="s">
        <v>7</v>
      </c>
      <c r="F210" s="47" t="s">
        <v>58</v>
      </c>
      <c r="G210" s="47" t="s">
        <v>16</v>
      </c>
      <c r="H210" s="47" t="s">
        <v>54</v>
      </c>
      <c r="I210" s="1" t="s">
        <v>2497</v>
      </c>
      <c r="J210" s="1" t="s">
        <v>200</v>
      </c>
      <c r="K210" s="1" t="str">
        <f t="shared" si="4"/>
        <v>CEO of the Quarter Q1-FY26</v>
      </c>
    </row>
    <row r="211" spans="1:11" hidden="1" x14ac:dyDescent="0.35">
      <c r="A211" s="52">
        <v>210</v>
      </c>
      <c r="B211" s="47">
        <v>7978</v>
      </c>
      <c r="C211" s="63" t="s">
        <v>2079</v>
      </c>
      <c r="D211" s="84" t="s">
        <v>2427</v>
      </c>
      <c r="E211" s="47" t="s">
        <v>7</v>
      </c>
      <c r="F211" s="47" t="s">
        <v>72</v>
      </c>
      <c r="G211" s="47" t="s">
        <v>73</v>
      </c>
      <c r="H211" s="47" t="s">
        <v>32</v>
      </c>
      <c r="I211" s="1" t="s">
        <v>2497</v>
      </c>
      <c r="J211" s="1" t="s">
        <v>200</v>
      </c>
      <c r="K211" s="1" t="str">
        <f t="shared" si="4"/>
        <v>CEO of the Quarter Q1-FY26</v>
      </c>
    </row>
    <row r="212" spans="1:11" hidden="1" x14ac:dyDescent="0.35">
      <c r="A212" s="52">
        <v>211</v>
      </c>
      <c r="B212" s="47">
        <v>7644</v>
      </c>
      <c r="C212" s="63" t="s">
        <v>67</v>
      </c>
      <c r="D212" s="84" t="s">
        <v>2455</v>
      </c>
      <c r="E212" s="47" t="s">
        <v>47</v>
      </c>
      <c r="F212" s="47" t="s">
        <v>68</v>
      </c>
      <c r="G212" s="47" t="s">
        <v>9</v>
      </c>
      <c r="H212" s="47" t="s">
        <v>54</v>
      </c>
      <c r="I212" s="1" t="s">
        <v>2497</v>
      </c>
      <c r="J212" s="1" t="s">
        <v>200</v>
      </c>
      <c r="K212" s="1" t="str">
        <f t="shared" si="4"/>
        <v>CEO of the Quarter Q1-FY26</v>
      </c>
    </row>
    <row r="213" spans="1:11" hidden="1" x14ac:dyDescent="0.35">
      <c r="A213" s="52">
        <v>212</v>
      </c>
      <c r="B213" s="47">
        <v>6690</v>
      </c>
      <c r="C213" s="63" t="s">
        <v>280</v>
      </c>
      <c r="D213" s="84" t="s">
        <v>2464</v>
      </c>
      <c r="E213" s="47" t="s">
        <v>7</v>
      </c>
      <c r="F213" s="47" t="s">
        <v>56</v>
      </c>
      <c r="G213" s="47" t="s">
        <v>16</v>
      </c>
      <c r="H213" s="47" t="s">
        <v>54</v>
      </c>
      <c r="I213" s="1" t="s">
        <v>2497</v>
      </c>
      <c r="J213" s="1" t="s">
        <v>200</v>
      </c>
      <c r="K213" s="1" t="str">
        <f t="shared" si="4"/>
        <v>CEO of the Quarter Q1-FY26</v>
      </c>
    </row>
    <row r="214" spans="1:11" hidden="1" x14ac:dyDescent="0.35">
      <c r="A214" s="52">
        <v>213</v>
      </c>
      <c r="B214" s="47">
        <v>5782</v>
      </c>
      <c r="C214" s="63" t="s">
        <v>442</v>
      </c>
      <c r="D214" s="84" t="s">
        <v>2179</v>
      </c>
      <c r="E214" s="47" t="s">
        <v>7</v>
      </c>
      <c r="F214" s="47" t="s">
        <v>2575</v>
      </c>
      <c r="G214" s="47" t="s">
        <v>40</v>
      </c>
      <c r="H214" s="47" t="s">
        <v>54</v>
      </c>
      <c r="I214" s="1" t="s">
        <v>2497</v>
      </c>
      <c r="J214" s="1" t="s">
        <v>200</v>
      </c>
      <c r="K214" s="1" t="str">
        <f t="shared" si="4"/>
        <v>CEO of the Quarter Q1-FY26</v>
      </c>
    </row>
  </sheetData>
  <autoFilter ref="A1:K214" xr:uid="{18453FE4-FCF8-4805-B1C2-E4284E2FF454}">
    <filterColumn colId="8">
      <filters>
        <filter val="Q4-FY24"/>
      </filters>
    </filterColumn>
  </autoFilter>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7ACC-1E38-4602-96AB-DECF0B8A04ED}">
  <sheetPr filterMode="1"/>
  <dimension ref="A1:L1195"/>
  <sheetViews>
    <sheetView workbookViewId="0">
      <pane ySplit="1" topLeftCell="A654" activePane="bottomLeft" state="frozen"/>
      <selection pane="bottomLeft" activeCell="E516" sqref="E516:E678"/>
    </sheetView>
  </sheetViews>
  <sheetFormatPr defaultRowHeight="14.5" x14ac:dyDescent="0.35"/>
  <cols>
    <col min="2" max="2" width="20.26953125" bestFit="1" customWidth="1"/>
    <col min="6" max="6" width="12" bestFit="1" customWidth="1"/>
    <col min="7" max="7" width="12.26953125" bestFit="1" customWidth="1"/>
    <col min="8" max="8" width="14.90625" bestFit="1" customWidth="1"/>
    <col min="10" max="10" width="7.1796875" bestFit="1" customWidth="1"/>
  </cols>
  <sheetData>
    <row r="1" spans="1:12" x14ac:dyDescent="0.35">
      <c r="A1" s="53" t="s">
        <v>337</v>
      </c>
      <c r="B1" s="53" t="s">
        <v>338</v>
      </c>
      <c r="C1" s="53" t="s">
        <v>357</v>
      </c>
      <c r="D1" s="53" t="s">
        <v>358</v>
      </c>
      <c r="E1" s="53" t="s">
        <v>77</v>
      </c>
      <c r="F1" s="53" t="s">
        <v>392</v>
      </c>
      <c r="G1" s="53" t="s">
        <v>394</v>
      </c>
      <c r="H1" s="53" t="s">
        <v>4</v>
      </c>
      <c r="I1" s="53" t="s">
        <v>5</v>
      </c>
      <c r="J1" s="53" t="s">
        <v>680</v>
      </c>
      <c r="K1" s="53" t="s">
        <v>2564</v>
      </c>
      <c r="L1" s="53" t="s">
        <v>2598</v>
      </c>
    </row>
    <row r="2" spans="1:12" s="10" customFormat="1" ht="12" hidden="1" x14ac:dyDescent="0.3">
      <c r="A2" s="87">
        <v>3964</v>
      </c>
      <c r="B2" s="87" t="s">
        <v>734</v>
      </c>
      <c r="C2" s="87">
        <v>7400</v>
      </c>
      <c r="D2" s="87" t="s">
        <v>487</v>
      </c>
      <c r="E2" s="87" t="s">
        <v>918</v>
      </c>
      <c r="F2" s="87" t="s">
        <v>1509</v>
      </c>
      <c r="G2" s="88">
        <v>45603</v>
      </c>
      <c r="H2" s="87" t="s">
        <v>53</v>
      </c>
      <c r="I2" s="87" t="s">
        <v>54</v>
      </c>
      <c r="J2" s="87" t="s">
        <v>1511</v>
      </c>
      <c r="K2" s="87" t="str">
        <f>TEXT(G2,"mm-yyyy")</f>
        <v>11-2024</v>
      </c>
      <c r="L2" s="10" t="s">
        <v>2599</v>
      </c>
    </row>
    <row r="3" spans="1:12" s="10" customFormat="1" ht="12" hidden="1" x14ac:dyDescent="0.3">
      <c r="A3" s="75">
        <v>7661</v>
      </c>
      <c r="B3" s="75" t="s">
        <v>735</v>
      </c>
      <c r="C3" s="75">
        <v>4889</v>
      </c>
      <c r="D3" s="75" t="s">
        <v>765</v>
      </c>
      <c r="E3" s="75" t="s">
        <v>919</v>
      </c>
      <c r="F3" s="75" t="s">
        <v>1510</v>
      </c>
      <c r="G3" s="76">
        <v>45603</v>
      </c>
      <c r="H3" s="75" t="s">
        <v>395</v>
      </c>
      <c r="I3" s="75" t="s">
        <v>10</v>
      </c>
      <c r="J3" s="75" t="s">
        <v>1512</v>
      </c>
      <c r="K3" s="75" t="str">
        <f t="shared" ref="K3:K66" si="0">TEXT(G3,"mm-yyyy")</f>
        <v>11-2024</v>
      </c>
      <c r="L3" s="10" t="s">
        <v>2599</v>
      </c>
    </row>
    <row r="4" spans="1:12" s="10" customFormat="1" ht="12" hidden="1" x14ac:dyDescent="0.3">
      <c r="A4" s="75">
        <v>6707</v>
      </c>
      <c r="B4" s="75" t="s">
        <v>736</v>
      </c>
      <c r="C4" s="75">
        <v>7418</v>
      </c>
      <c r="D4" s="75" t="s">
        <v>745</v>
      </c>
      <c r="E4" s="75" t="s">
        <v>920</v>
      </c>
      <c r="F4" s="75" t="s">
        <v>1510</v>
      </c>
      <c r="G4" s="76">
        <v>45602</v>
      </c>
      <c r="H4" s="75" t="s">
        <v>73</v>
      </c>
      <c r="I4" s="75" t="s">
        <v>251</v>
      </c>
      <c r="J4" s="75" t="s">
        <v>1512</v>
      </c>
      <c r="K4" s="75" t="str">
        <f t="shared" si="0"/>
        <v>11-2024</v>
      </c>
      <c r="L4" s="10" t="s">
        <v>2599</v>
      </c>
    </row>
    <row r="5" spans="1:12" s="10" customFormat="1" ht="12" hidden="1" x14ac:dyDescent="0.3">
      <c r="A5" s="75">
        <v>4009</v>
      </c>
      <c r="B5" s="77" t="s">
        <v>602</v>
      </c>
      <c r="C5" s="75" t="s">
        <v>1508</v>
      </c>
      <c r="D5" s="75" t="s">
        <v>866</v>
      </c>
      <c r="E5" s="75" t="s">
        <v>921</v>
      </c>
      <c r="F5" s="78" t="s">
        <v>1509</v>
      </c>
      <c r="G5" s="76">
        <v>45602</v>
      </c>
      <c r="H5" s="75" t="s">
        <v>9</v>
      </c>
      <c r="I5" s="75" t="s">
        <v>54</v>
      </c>
      <c r="J5" s="75" t="s">
        <v>1511</v>
      </c>
      <c r="K5" s="75" t="str">
        <f t="shared" si="0"/>
        <v>11-2024</v>
      </c>
      <c r="L5" s="10" t="s">
        <v>2599</v>
      </c>
    </row>
    <row r="6" spans="1:12" s="10" customFormat="1" ht="12" hidden="1" x14ac:dyDescent="0.3">
      <c r="A6" s="75">
        <v>4013</v>
      </c>
      <c r="B6" s="77" t="s">
        <v>268</v>
      </c>
      <c r="C6" s="75" t="s">
        <v>1508</v>
      </c>
      <c r="D6" s="75" t="s">
        <v>866</v>
      </c>
      <c r="E6" s="75" t="s">
        <v>922</v>
      </c>
      <c r="F6" s="78" t="s">
        <v>1509</v>
      </c>
      <c r="G6" s="76">
        <v>45602</v>
      </c>
      <c r="H6" s="75" t="s">
        <v>9</v>
      </c>
      <c r="I6" s="75" t="s">
        <v>54</v>
      </c>
      <c r="J6" s="75" t="s">
        <v>1511</v>
      </c>
      <c r="K6" s="75" t="str">
        <f t="shared" si="0"/>
        <v>11-2024</v>
      </c>
      <c r="L6" s="10" t="s">
        <v>2599</v>
      </c>
    </row>
    <row r="7" spans="1:12" s="10" customFormat="1" ht="12" hidden="1" x14ac:dyDescent="0.3">
      <c r="A7" s="75">
        <v>3964</v>
      </c>
      <c r="B7" s="75" t="s">
        <v>734</v>
      </c>
      <c r="C7" s="75" t="s">
        <v>1508</v>
      </c>
      <c r="D7" s="75" t="s">
        <v>866</v>
      </c>
      <c r="E7" s="75" t="s">
        <v>923</v>
      </c>
      <c r="F7" s="75" t="s">
        <v>1509</v>
      </c>
      <c r="G7" s="76">
        <v>45602</v>
      </c>
      <c r="H7" s="75" t="s">
        <v>53</v>
      </c>
      <c r="I7" s="75" t="s">
        <v>54</v>
      </c>
      <c r="J7" s="75" t="s">
        <v>1511</v>
      </c>
      <c r="K7" s="75" t="str">
        <f t="shared" si="0"/>
        <v>11-2024</v>
      </c>
      <c r="L7" s="10" t="s">
        <v>2599</v>
      </c>
    </row>
    <row r="8" spans="1:12" s="10" customFormat="1" ht="12" hidden="1" x14ac:dyDescent="0.3">
      <c r="A8" s="75">
        <v>4068</v>
      </c>
      <c r="B8" s="77" t="s">
        <v>178</v>
      </c>
      <c r="C8" s="75" t="s">
        <v>1508</v>
      </c>
      <c r="D8" s="75" t="s">
        <v>866</v>
      </c>
      <c r="E8" s="75" t="s">
        <v>924</v>
      </c>
      <c r="F8" s="78" t="s">
        <v>1509</v>
      </c>
      <c r="G8" s="76">
        <v>45602</v>
      </c>
      <c r="H8" s="75" t="s">
        <v>9</v>
      </c>
      <c r="I8" s="75" t="s">
        <v>54</v>
      </c>
      <c r="J8" s="75" t="s">
        <v>1511</v>
      </c>
      <c r="K8" s="75" t="str">
        <f t="shared" si="0"/>
        <v>11-2024</v>
      </c>
      <c r="L8" s="10" t="s">
        <v>2599</v>
      </c>
    </row>
    <row r="9" spans="1:12" s="10" customFormat="1" ht="12" hidden="1" x14ac:dyDescent="0.3">
      <c r="A9" s="75">
        <v>7756</v>
      </c>
      <c r="B9" s="77" t="s">
        <v>65</v>
      </c>
      <c r="C9" s="75" t="s">
        <v>1508</v>
      </c>
      <c r="D9" s="75" t="s">
        <v>866</v>
      </c>
      <c r="E9" s="75" t="s">
        <v>925</v>
      </c>
      <c r="F9" s="78" t="s">
        <v>1509</v>
      </c>
      <c r="G9" s="76">
        <v>45602</v>
      </c>
      <c r="H9" s="75" t="s">
        <v>9</v>
      </c>
      <c r="I9" s="75" t="s">
        <v>54</v>
      </c>
      <c r="J9" s="75" t="s">
        <v>1511</v>
      </c>
      <c r="K9" s="75" t="str">
        <f t="shared" si="0"/>
        <v>11-2024</v>
      </c>
      <c r="L9" s="10" t="s">
        <v>2599</v>
      </c>
    </row>
    <row r="10" spans="1:12" s="10" customFormat="1" ht="12" hidden="1" x14ac:dyDescent="0.3">
      <c r="A10" s="75">
        <v>6586</v>
      </c>
      <c r="B10" s="77" t="s">
        <v>426</v>
      </c>
      <c r="C10" s="75" t="s">
        <v>1508</v>
      </c>
      <c r="D10" s="75" t="s">
        <v>866</v>
      </c>
      <c r="E10" s="75" t="s">
        <v>926</v>
      </c>
      <c r="F10" s="78" t="s">
        <v>1509</v>
      </c>
      <c r="G10" s="76">
        <v>45602</v>
      </c>
      <c r="H10" s="75" t="s">
        <v>9</v>
      </c>
      <c r="I10" s="75" t="s">
        <v>10</v>
      </c>
      <c r="J10" s="75" t="s">
        <v>1511</v>
      </c>
      <c r="K10" s="75" t="str">
        <f t="shared" si="0"/>
        <v>11-2024</v>
      </c>
      <c r="L10" s="10" t="s">
        <v>2599</v>
      </c>
    </row>
    <row r="11" spans="1:12" s="10" customFormat="1" ht="12" hidden="1" x14ac:dyDescent="0.3">
      <c r="A11" s="75">
        <v>2444</v>
      </c>
      <c r="B11" s="75" t="s">
        <v>737</v>
      </c>
      <c r="C11" s="75" t="s">
        <v>1508</v>
      </c>
      <c r="D11" s="75" t="s">
        <v>866</v>
      </c>
      <c r="E11" s="75" t="s">
        <v>927</v>
      </c>
      <c r="F11" s="75" t="s">
        <v>1509</v>
      </c>
      <c r="G11" s="76">
        <v>45602</v>
      </c>
      <c r="H11" s="75" t="s">
        <v>35</v>
      </c>
      <c r="I11" s="75" t="s">
        <v>32</v>
      </c>
      <c r="J11" s="75" t="s">
        <v>1511</v>
      </c>
      <c r="K11" s="75" t="str">
        <f t="shared" si="0"/>
        <v>11-2024</v>
      </c>
      <c r="L11" s="10" t="s">
        <v>2599</v>
      </c>
    </row>
    <row r="12" spans="1:12" s="10" customFormat="1" ht="12" hidden="1" x14ac:dyDescent="0.3">
      <c r="A12" s="75">
        <v>7469</v>
      </c>
      <c r="B12" s="75" t="s">
        <v>175</v>
      </c>
      <c r="C12" s="75" t="s">
        <v>1508</v>
      </c>
      <c r="D12" s="75" t="s">
        <v>866</v>
      </c>
      <c r="E12" s="75" t="s">
        <v>928</v>
      </c>
      <c r="F12" s="75" t="s">
        <v>1509</v>
      </c>
      <c r="G12" s="76">
        <v>45602</v>
      </c>
      <c r="H12" s="75" t="s">
        <v>35</v>
      </c>
      <c r="I12" s="75" t="s">
        <v>32</v>
      </c>
      <c r="J12" s="75" t="s">
        <v>1511</v>
      </c>
      <c r="K12" s="75" t="str">
        <f t="shared" si="0"/>
        <v>11-2024</v>
      </c>
      <c r="L12" s="10" t="s">
        <v>2599</v>
      </c>
    </row>
    <row r="13" spans="1:12" s="10" customFormat="1" ht="12" hidden="1" x14ac:dyDescent="0.3">
      <c r="A13" s="75">
        <v>4010</v>
      </c>
      <c r="B13" s="77" t="s">
        <v>437</v>
      </c>
      <c r="C13" s="75" t="s">
        <v>1508</v>
      </c>
      <c r="D13" s="75" t="s">
        <v>866</v>
      </c>
      <c r="E13" s="75" t="s">
        <v>929</v>
      </c>
      <c r="F13" s="78" t="s">
        <v>1509</v>
      </c>
      <c r="G13" s="76">
        <v>45602</v>
      </c>
      <c r="H13" s="75" t="s">
        <v>9</v>
      </c>
      <c r="I13" s="75" t="s">
        <v>54</v>
      </c>
      <c r="J13" s="75" t="s">
        <v>1511</v>
      </c>
      <c r="K13" s="75" t="str">
        <f t="shared" si="0"/>
        <v>11-2024</v>
      </c>
      <c r="L13" s="10" t="s">
        <v>2599</v>
      </c>
    </row>
    <row r="14" spans="1:12" s="10" customFormat="1" ht="12" hidden="1" x14ac:dyDescent="0.3">
      <c r="A14" s="75">
        <v>3323</v>
      </c>
      <c r="B14" s="75" t="s">
        <v>738</v>
      </c>
      <c r="C14" s="75">
        <v>4724</v>
      </c>
      <c r="D14" s="75" t="s">
        <v>867</v>
      </c>
      <c r="E14" s="75" t="s">
        <v>930</v>
      </c>
      <c r="F14" s="75" t="s">
        <v>1510</v>
      </c>
      <c r="G14" s="76">
        <v>45601</v>
      </c>
      <c r="H14" s="75" t="s">
        <v>40</v>
      </c>
      <c r="I14" s="75" t="s">
        <v>74</v>
      </c>
      <c r="J14" s="75" t="s">
        <v>1512</v>
      </c>
      <c r="K14" s="75" t="str">
        <f t="shared" si="0"/>
        <v>11-2024</v>
      </c>
      <c r="L14" s="10" t="s">
        <v>2599</v>
      </c>
    </row>
    <row r="15" spans="1:12" s="10" customFormat="1" ht="12" hidden="1" x14ac:dyDescent="0.3">
      <c r="A15" s="75">
        <v>3328</v>
      </c>
      <c r="B15" s="75" t="s">
        <v>739</v>
      </c>
      <c r="C15" s="75">
        <v>4724</v>
      </c>
      <c r="D15" s="75" t="s">
        <v>867</v>
      </c>
      <c r="E15" s="75" t="s">
        <v>931</v>
      </c>
      <c r="F15" s="75" t="s">
        <v>1510</v>
      </c>
      <c r="G15" s="76">
        <v>45601</v>
      </c>
      <c r="H15" s="75" t="s">
        <v>40</v>
      </c>
      <c r="I15" s="75" t="s">
        <v>74</v>
      </c>
      <c r="J15" s="75" t="s">
        <v>1512</v>
      </c>
      <c r="K15" s="75" t="str">
        <f t="shared" si="0"/>
        <v>11-2024</v>
      </c>
      <c r="L15" s="10" t="s">
        <v>2599</v>
      </c>
    </row>
    <row r="16" spans="1:12" s="10" customFormat="1" ht="12" hidden="1" x14ac:dyDescent="0.3">
      <c r="A16" s="75">
        <v>1680</v>
      </c>
      <c r="B16" s="75" t="s">
        <v>740</v>
      </c>
      <c r="C16" s="75">
        <v>4724</v>
      </c>
      <c r="D16" s="75" t="s">
        <v>867</v>
      </c>
      <c r="E16" s="75" t="s">
        <v>932</v>
      </c>
      <c r="F16" s="75" t="s">
        <v>1510</v>
      </c>
      <c r="G16" s="76">
        <v>45601</v>
      </c>
      <c r="H16" s="75" t="s">
        <v>40</v>
      </c>
      <c r="I16" s="75" t="s">
        <v>74</v>
      </c>
      <c r="J16" s="75" t="s">
        <v>1512</v>
      </c>
      <c r="K16" s="75" t="str">
        <f t="shared" si="0"/>
        <v>11-2024</v>
      </c>
      <c r="L16" s="10" t="s">
        <v>2599</v>
      </c>
    </row>
    <row r="17" spans="1:12" s="10" customFormat="1" ht="12" hidden="1" x14ac:dyDescent="0.3">
      <c r="A17" s="75">
        <v>7895</v>
      </c>
      <c r="B17" s="75" t="s">
        <v>741</v>
      </c>
      <c r="C17" s="75">
        <v>4724</v>
      </c>
      <c r="D17" s="75" t="s">
        <v>867</v>
      </c>
      <c r="E17" s="75" t="s">
        <v>933</v>
      </c>
      <c r="F17" s="75" t="s">
        <v>1510</v>
      </c>
      <c r="G17" s="76">
        <v>45601</v>
      </c>
      <c r="H17" s="75" t="s">
        <v>40</v>
      </c>
      <c r="I17" s="75" t="s">
        <v>74</v>
      </c>
      <c r="J17" s="75" t="s">
        <v>1512</v>
      </c>
      <c r="K17" s="75" t="str">
        <f t="shared" si="0"/>
        <v>11-2024</v>
      </c>
      <c r="L17" s="10" t="s">
        <v>2599</v>
      </c>
    </row>
    <row r="18" spans="1:12" s="10" customFormat="1" ht="12" hidden="1" x14ac:dyDescent="0.3">
      <c r="A18" s="75">
        <v>7877</v>
      </c>
      <c r="B18" s="75" t="s">
        <v>742</v>
      </c>
      <c r="C18" s="75">
        <v>4724</v>
      </c>
      <c r="D18" s="75" t="s">
        <v>867</v>
      </c>
      <c r="E18" s="75" t="s">
        <v>934</v>
      </c>
      <c r="F18" s="75" t="s">
        <v>1509</v>
      </c>
      <c r="G18" s="76">
        <v>45601</v>
      </c>
      <c r="H18" s="75" t="s">
        <v>73</v>
      </c>
      <c r="I18" s="75" t="s">
        <v>74</v>
      </c>
      <c r="J18" s="75" t="s">
        <v>1511</v>
      </c>
      <c r="K18" s="75" t="str">
        <f t="shared" si="0"/>
        <v>11-2024</v>
      </c>
      <c r="L18" s="10" t="s">
        <v>2599</v>
      </c>
    </row>
    <row r="19" spans="1:12" s="10" customFormat="1" ht="12" hidden="1" x14ac:dyDescent="0.3">
      <c r="A19" s="75">
        <v>7877</v>
      </c>
      <c r="B19" s="75" t="s">
        <v>742</v>
      </c>
      <c r="C19" s="75">
        <v>4724</v>
      </c>
      <c r="D19" s="75" t="s">
        <v>867</v>
      </c>
      <c r="E19" s="75" t="s">
        <v>934</v>
      </c>
      <c r="F19" s="75" t="s">
        <v>1510</v>
      </c>
      <c r="G19" s="76">
        <v>45601</v>
      </c>
      <c r="H19" s="75" t="s">
        <v>73</v>
      </c>
      <c r="I19" s="75" t="s">
        <v>74</v>
      </c>
      <c r="J19" s="75" t="s">
        <v>1512</v>
      </c>
      <c r="K19" s="75" t="str">
        <f t="shared" si="0"/>
        <v>11-2024</v>
      </c>
      <c r="L19" s="10" t="s">
        <v>2599</v>
      </c>
    </row>
    <row r="20" spans="1:12" s="10" customFormat="1" ht="12" hidden="1" x14ac:dyDescent="0.3">
      <c r="A20" s="75">
        <v>6500</v>
      </c>
      <c r="B20" s="75" t="s">
        <v>743</v>
      </c>
      <c r="C20" s="75">
        <v>7418</v>
      </c>
      <c r="D20" s="75" t="s">
        <v>745</v>
      </c>
      <c r="E20" s="75" t="s">
        <v>935</v>
      </c>
      <c r="F20" s="75" t="s">
        <v>1510</v>
      </c>
      <c r="G20" s="76">
        <v>45600</v>
      </c>
      <c r="H20" s="75" t="s">
        <v>73</v>
      </c>
      <c r="I20" s="75" t="s">
        <v>251</v>
      </c>
      <c r="J20" s="75" t="s">
        <v>1512</v>
      </c>
      <c r="K20" s="75" t="str">
        <f t="shared" si="0"/>
        <v>11-2024</v>
      </c>
      <c r="L20" s="10" t="s">
        <v>2599</v>
      </c>
    </row>
    <row r="21" spans="1:12" s="10" customFormat="1" ht="12" hidden="1" x14ac:dyDescent="0.3">
      <c r="A21" s="75">
        <v>7287</v>
      </c>
      <c r="B21" s="75" t="s">
        <v>744</v>
      </c>
      <c r="C21" s="75">
        <v>1763</v>
      </c>
      <c r="D21" s="75" t="s">
        <v>868</v>
      </c>
      <c r="E21" s="75" t="s">
        <v>936</v>
      </c>
      <c r="F21" s="75" t="s">
        <v>1510</v>
      </c>
      <c r="G21" s="76">
        <v>45600</v>
      </c>
      <c r="H21" s="75" t="s">
        <v>35</v>
      </c>
      <c r="I21" s="75" t="s">
        <v>32</v>
      </c>
      <c r="J21" s="75" t="s">
        <v>1512</v>
      </c>
      <c r="K21" s="75" t="str">
        <f t="shared" si="0"/>
        <v>11-2024</v>
      </c>
      <c r="L21" s="10" t="s">
        <v>2599</v>
      </c>
    </row>
    <row r="22" spans="1:12" s="10" customFormat="1" ht="12" hidden="1" x14ac:dyDescent="0.3">
      <c r="A22" s="75">
        <v>7056</v>
      </c>
      <c r="B22" s="75" t="s">
        <v>413</v>
      </c>
      <c r="C22" s="75">
        <v>7225</v>
      </c>
      <c r="D22" s="75" t="s">
        <v>419</v>
      </c>
      <c r="E22" s="75" t="s">
        <v>937</v>
      </c>
      <c r="F22" s="75" t="s">
        <v>1510</v>
      </c>
      <c r="G22" s="76">
        <v>45600</v>
      </c>
      <c r="H22" s="75" t="s">
        <v>35</v>
      </c>
      <c r="I22" s="75" t="s">
        <v>74</v>
      </c>
      <c r="J22" s="75" t="s">
        <v>1512</v>
      </c>
      <c r="K22" s="75" t="str">
        <f t="shared" si="0"/>
        <v>11-2024</v>
      </c>
      <c r="L22" s="10" t="s">
        <v>2599</v>
      </c>
    </row>
    <row r="23" spans="1:12" s="10" customFormat="1" ht="12" hidden="1" x14ac:dyDescent="0.3">
      <c r="A23" s="75">
        <v>7418</v>
      </c>
      <c r="B23" s="75" t="s">
        <v>745</v>
      </c>
      <c r="C23" s="75">
        <v>3624</v>
      </c>
      <c r="D23" s="75" t="s">
        <v>869</v>
      </c>
      <c r="E23" s="75" t="s">
        <v>938</v>
      </c>
      <c r="F23" s="75" t="s">
        <v>1510</v>
      </c>
      <c r="G23" s="76">
        <v>45600</v>
      </c>
      <c r="H23" s="75" t="s">
        <v>73</v>
      </c>
      <c r="I23" s="75" t="s">
        <v>251</v>
      </c>
      <c r="J23" s="75" t="s">
        <v>1512</v>
      </c>
      <c r="K23" s="75" t="str">
        <f t="shared" si="0"/>
        <v>11-2024</v>
      </c>
      <c r="L23" s="10" t="s">
        <v>2599</v>
      </c>
    </row>
    <row r="24" spans="1:12" s="10" customFormat="1" ht="12" hidden="1" x14ac:dyDescent="0.3">
      <c r="A24" s="75">
        <v>1192</v>
      </c>
      <c r="B24" s="75" t="s">
        <v>746</v>
      </c>
      <c r="C24" s="75">
        <v>7444</v>
      </c>
      <c r="D24" s="75" t="s">
        <v>870</v>
      </c>
      <c r="E24" s="75" t="s">
        <v>939</v>
      </c>
      <c r="F24" s="75" t="s">
        <v>1510</v>
      </c>
      <c r="G24" s="76">
        <v>45593</v>
      </c>
      <c r="H24" s="75" t="s">
        <v>35</v>
      </c>
      <c r="I24" s="75" t="s">
        <v>32</v>
      </c>
      <c r="J24" s="75" t="s">
        <v>1512</v>
      </c>
      <c r="K24" s="75" t="str">
        <f t="shared" si="0"/>
        <v>10-2024</v>
      </c>
      <c r="L24" s="10" t="s">
        <v>2599</v>
      </c>
    </row>
    <row r="25" spans="1:12" s="10" customFormat="1" ht="12" hidden="1" x14ac:dyDescent="0.3">
      <c r="A25" s="75">
        <v>2056</v>
      </c>
      <c r="B25" s="75" t="s">
        <v>747</v>
      </c>
      <c r="C25" s="75">
        <v>7444</v>
      </c>
      <c r="D25" s="75" t="s">
        <v>870</v>
      </c>
      <c r="E25" s="75" t="s">
        <v>940</v>
      </c>
      <c r="F25" s="75" t="s">
        <v>1510</v>
      </c>
      <c r="G25" s="76">
        <v>45593</v>
      </c>
      <c r="H25" s="75" t="s">
        <v>35</v>
      </c>
      <c r="I25" s="75" t="s">
        <v>32</v>
      </c>
      <c r="J25" s="75" t="s">
        <v>1512</v>
      </c>
      <c r="K25" s="75" t="str">
        <f t="shared" si="0"/>
        <v>10-2024</v>
      </c>
      <c r="L25" s="10" t="s">
        <v>2599</v>
      </c>
    </row>
    <row r="26" spans="1:12" s="10" customFormat="1" ht="12" hidden="1" x14ac:dyDescent="0.3">
      <c r="A26" s="75">
        <v>6519</v>
      </c>
      <c r="B26" s="75" t="s">
        <v>748</v>
      </c>
      <c r="C26" s="75" t="s">
        <v>1508</v>
      </c>
      <c r="D26" s="75" t="s">
        <v>866</v>
      </c>
      <c r="E26" s="75" t="s">
        <v>941</v>
      </c>
      <c r="F26" s="78" t="s">
        <v>1509</v>
      </c>
      <c r="G26" s="76">
        <v>45589</v>
      </c>
      <c r="H26" s="75" t="s">
        <v>395</v>
      </c>
      <c r="I26" s="75" t="s">
        <v>10</v>
      </c>
      <c r="J26" s="75" t="s">
        <v>1511</v>
      </c>
      <c r="K26" s="75" t="str">
        <f t="shared" si="0"/>
        <v>10-2024</v>
      </c>
      <c r="L26" s="10" t="s">
        <v>2599</v>
      </c>
    </row>
    <row r="27" spans="1:12" s="10" customFormat="1" ht="12" hidden="1" x14ac:dyDescent="0.3">
      <c r="A27" s="75">
        <v>7827</v>
      </c>
      <c r="B27" s="75" t="s">
        <v>349</v>
      </c>
      <c r="C27" s="75" t="s">
        <v>1508</v>
      </c>
      <c r="D27" s="75" t="s">
        <v>866</v>
      </c>
      <c r="E27" s="75" t="s">
        <v>942</v>
      </c>
      <c r="F27" s="78" t="s">
        <v>1509</v>
      </c>
      <c r="G27" s="76">
        <v>45589</v>
      </c>
      <c r="H27" s="75" t="s">
        <v>395</v>
      </c>
      <c r="I27" s="75" t="s">
        <v>10</v>
      </c>
      <c r="J27" s="75" t="s">
        <v>1511</v>
      </c>
      <c r="K27" s="75" t="str">
        <f t="shared" si="0"/>
        <v>10-2024</v>
      </c>
      <c r="L27" s="10" t="s">
        <v>2599</v>
      </c>
    </row>
    <row r="28" spans="1:12" s="10" customFormat="1" ht="12" hidden="1" x14ac:dyDescent="0.3">
      <c r="A28" s="75">
        <v>4004</v>
      </c>
      <c r="B28" s="75" t="s">
        <v>172</v>
      </c>
      <c r="C28" s="75" t="s">
        <v>1508</v>
      </c>
      <c r="D28" s="75" t="s">
        <v>866</v>
      </c>
      <c r="E28" s="75" t="s">
        <v>943</v>
      </c>
      <c r="F28" s="78" t="s">
        <v>1509</v>
      </c>
      <c r="G28" s="76">
        <v>45589</v>
      </c>
      <c r="H28" s="75" t="s">
        <v>9</v>
      </c>
      <c r="I28" s="75" t="s">
        <v>54</v>
      </c>
      <c r="J28" s="75" t="s">
        <v>1511</v>
      </c>
      <c r="K28" s="75" t="str">
        <f t="shared" si="0"/>
        <v>10-2024</v>
      </c>
      <c r="L28" s="10" t="s">
        <v>2599</v>
      </c>
    </row>
    <row r="29" spans="1:12" s="10" customFormat="1" ht="12" hidden="1" x14ac:dyDescent="0.3">
      <c r="A29" s="75">
        <v>2298</v>
      </c>
      <c r="B29" s="75" t="s">
        <v>749</v>
      </c>
      <c r="C29" s="75" t="s">
        <v>1508</v>
      </c>
      <c r="D29" s="75" t="s">
        <v>866</v>
      </c>
      <c r="E29" s="75" t="s">
        <v>944</v>
      </c>
      <c r="F29" s="75" t="s">
        <v>1509</v>
      </c>
      <c r="G29" s="76">
        <v>45589</v>
      </c>
      <c r="H29" s="75" t="s">
        <v>53</v>
      </c>
      <c r="I29" s="75" t="s">
        <v>54</v>
      </c>
      <c r="J29" s="75" t="s">
        <v>1511</v>
      </c>
      <c r="K29" s="75" t="str">
        <f t="shared" si="0"/>
        <v>10-2024</v>
      </c>
      <c r="L29" s="10" t="s">
        <v>2599</v>
      </c>
    </row>
    <row r="30" spans="1:12" s="10" customFormat="1" ht="12" hidden="1" x14ac:dyDescent="0.3">
      <c r="A30" s="75">
        <v>1313</v>
      </c>
      <c r="B30" s="75" t="s">
        <v>61</v>
      </c>
      <c r="C30" s="75" t="s">
        <v>1508</v>
      </c>
      <c r="D30" s="75" t="s">
        <v>866</v>
      </c>
      <c r="E30" s="75" t="s">
        <v>945</v>
      </c>
      <c r="F30" s="75" t="s">
        <v>1509</v>
      </c>
      <c r="G30" s="76">
        <v>45589</v>
      </c>
      <c r="H30" s="75" t="s">
        <v>53</v>
      </c>
      <c r="I30" s="75" t="s">
        <v>54</v>
      </c>
      <c r="J30" s="75" t="s">
        <v>1511</v>
      </c>
      <c r="K30" s="75" t="str">
        <f t="shared" si="0"/>
        <v>10-2024</v>
      </c>
      <c r="L30" s="10" t="s">
        <v>2599</v>
      </c>
    </row>
    <row r="31" spans="1:12" s="10" customFormat="1" ht="12" hidden="1" x14ac:dyDescent="0.3">
      <c r="A31" s="75">
        <v>5976</v>
      </c>
      <c r="B31" s="75" t="s">
        <v>750</v>
      </c>
      <c r="C31" s="75" t="s">
        <v>1508</v>
      </c>
      <c r="D31" s="75" t="s">
        <v>866</v>
      </c>
      <c r="E31" s="75" t="s">
        <v>946</v>
      </c>
      <c r="F31" s="75" t="s">
        <v>1509</v>
      </c>
      <c r="G31" s="76">
        <v>45589</v>
      </c>
      <c r="H31" s="75" t="s">
        <v>40</v>
      </c>
      <c r="I31" s="75" t="s">
        <v>32</v>
      </c>
      <c r="J31" s="75" t="s">
        <v>1511</v>
      </c>
      <c r="K31" s="75" t="str">
        <f t="shared" si="0"/>
        <v>10-2024</v>
      </c>
      <c r="L31" s="10" t="s">
        <v>2599</v>
      </c>
    </row>
    <row r="32" spans="1:12" s="10" customFormat="1" ht="12" hidden="1" x14ac:dyDescent="0.3">
      <c r="A32" s="75">
        <v>17</v>
      </c>
      <c r="B32" s="75" t="s">
        <v>751</v>
      </c>
      <c r="C32" s="75" t="s">
        <v>1508</v>
      </c>
      <c r="D32" s="75" t="s">
        <v>866</v>
      </c>
      <c r="E32" s="75" t="s">
        <v>947</v>
      </c>
      <c r="F32" s="75" t="s">
        <v>1509</v>
      </c>
      <c r="G32" s="76">
        <v>45589</v>
      </c>
      <c r="H32" s="75" t="s">
        <v>73</v>
      </c>
      <c r="I32" s="75" t="s">
        <v>10</v>
      </c>
      <c r="J32" s="75" t="s">
        <v>1511</v>
      </c>
      <c r="K32" s="75" t="str">
        <f t="shared" si="0"/>
        <v>10-2024</v>
      </c>
      <c r="L32" s="10" t="s">
        <v>2599</v>
      </c>
    </row>
    <row r="33" spans="1:12" s="10" customFormat="1" ht="12" hidden="1" x14ac:dyDescent="0.3">
      <c r="A33" s="75">
        <v>7247</v>
      </c>
      <c r="B33" s="75" t="s">
        <v>752</v>
      </c>
      <c r="C33" s="75" t="s">
        <v>1508</v>
      </c>
      <c r="D33" s="75" t="s">
        <v>866</v>
      </c>
      <c r="E33" s="75" t="s">
        <v>948</v>
      </c>
      <c r="F33" s="75" t="s">
        <v>1509</v>
      </c>
      <c r="G33" s="76">
        <v>45589</v>
      </c>
      <c r="H33" s="75" t="s">
        <v>168</v>
      </c>
      <c r="I33" s="75" t="s">
        <v>10</v>
      </c>
      <c r="J33" s="75" t="s">
        <v>1511</v>
      </c>
      <c r="K33" s="75" t="str">
        <f t="shared" si="0"/>
        <v>10-2024</v>
      </c>
      <c r="L33" s="10" t="s">
        <v>2599</v>
      </c>
    </row>
    <row r="34" spans="1:12" s="10" customFormat="1" ht="12" hidden="1" x14ac:dyDescent="0.3">
      <c r="A34" s="75">
        <v>4935</v>
      </c>
      <c r="B34" s="75" t="s">
        <v>753</v>
      </c>
      <c r="C34" s="75" t="s">
        <v>1508</v>
      </c>
      <c r="D34" s="75" t="s">
        <v>866</v>
      </c>
      <c r="E34" s="75" t="s">
        <v>949</v>
      </c>
      <c r="F34" s="75" t="s">
        <v>1509</v>
      </c>
      <c r="G34" s="76">
        <v>45589</v>
      </c>
      <c r="H34" s="75" t="s">
        <v>35</v>
      </c>
      <c r="I34" s="75" t="s">
        <v>54</v>
      </c>
      <c r="J34" s="75" t="s">
        <v>1511</v>
      </c>
      <c r="K34" s="75" t="str">
        <f t="shared" si="0"/>
        <v>10-2024</v>
      </c>
      <c r="L34" s="10" t="s">
        <v>2599</v>
      </c>
    </row>
    <row r="35" spans="1:12" s="10" customFormat="1" ht="12" hidden="1" x14ac:dyDescent="0.3">
      <c r="A35" s="75">
        <v>7123</v>
      </c>
      <c r="B35" s="75" t="s">
        <v>290</v>
      </c>
      <c r="C35" s="75" t="s">
        <v>1508</v>
      </c>
      <c r="D35" s="75" t="s">
        <v>866</v>
      </c>
      <c r="E35" s="75" t="s">
        <v>950</v>
      </c>
      <c r="F35" s="75" t="s">
        <v>1509</v>
      </c>
      <c r="G35" s="76">
        <v>45589</v>
      </c>
      <c r="H35" s="75" t="s">
        <v>35</v>
      </c>
      <c r="I35" s="75" t="s">
        <v>32</v>
      </c>
      <c r="J35" s="75" t="s">
        <v>1511</v>
      </c>
      <c r="K35" s="75" t="str">
        <f t="shared" si="0"/>
        <v>10-2024</v>
      </c>
      <c r="L35" s="10" t="s">
        <v>2599</v>
      </c>
    </row>
    <row r="36" spans="1:12" s="10" customFormat="1" ht="12" hidden="1" x14ac:dyDescent="0.3">
      <c r="A36" s="75">
        <v>7576</v>
      </c>
      <c r="B36" s="75" t="s">
        <v>422</v>
      </c>
      <c r="C36" s="75" t="s">
        <v>1508</v>
      </c>
      <c r="D36" s="75" t="s">
        <v>866</v>
      </c>
      <c r="E36" s="75" t="s">
        <v>951</v>
      </c>
      <c r="F36" s="75" t="s">
        <v>1509</v>
      </c>
      <c r="G36" s="76">
        <v>45589</v>
      </c>
      <c r="H36" s="75" t="s">
        <v>73</v>
      </c>
      <c r="I36" s="75" t="s">
        <v>32</v>
      </c>
      <c r="J36" s="75" t="s">
        <v>1511</v>
      </c>
      <c r="K36" s="75" t="str">
        <f t="shared" si="0"/>
        <v>10-2024</v>
      </c>
      <c r="L36" s="10" t="s">
        <v>2599</v>
      </c>
    </row>
    <row r="37" spans="1:12" s="10" customFormat="1" ht="12" hidden="1" x14ac:dyDescent="0.3">
      <c r="A37" s="75">
        <v>6461</v>
      </c>
      <c r="B37" s="75" t="s">
        <v>406</v>
      </c>
      <c r="C37" s="75" t="s">
        <v>1508</v>
      </c>
      <c r="D37" s="75" t="s">
        <v>866</v>
      </c>
      <c r="E37" s="75" t="s">
        <v>952</v>
      </c>
      <c r="F37" s="75" t="s">
        <v>1509</v>
      </c>
      <c r="G37" s="76">
        <v>45589</v>
      </c>
      <c r="H37" s="75" t="s">
        <v>73</v>
      </c>
      <c r="I37" s="75" t="s">
        <v>32</v>
      </c>
      <c r="J37" s="75" t="s">
        <v>1511</v>
      </c>
      <c r="K37" s="75" t="str">
        <f t="shared" si="0"/>
        <v>10-2024</v>
      </c>
      <c r="L37" s="10" t="s">
        <v>2599</v>
      </c>
    </row>
    <row r="38" spans="1:12" s="10" customFormat="1" ht="12" hidden="1" x14ac:dyDescent="0.3">
      <c r="A38" s="75">
        <v>7521</v>
      </c>
      <c r="B38" s="75" t="s">
        <v>754</v>
      </c>
      <c r="C38" s="75" t="s">
        <v>1508</v>
      </c>
      <c r="D38" s="75" t="s">
        <v>866</v>
      </c>
      <c r="E38" s="75" t="s">
        <v>953</v>
      </c>
      <c r="F38" s="75" t="s">
        <v>1509</v>
      </c>
      <c r="G38" s="76">
        <v>45589</v>
      </c>
      <c r="H38" s="75" t="s">
        <v>73</v>
      </c>
      <c r="I38" s="75" t="s">
        <v>32</v>
      </c>
      <c r="J38" s="75" t="s">
        <v>1511</v>
      </c>
      <c r="K38" s="75" t="str">
        <f t="shared" si="0"/>
        <v>10-2024</v>
      </c>
      <c r="L38" s="10" t="s">
        <v>2599</v>
      </c>
    </row>
    <row r="39" spans="1:12" s="10" customFormat="1" ht="12" hidden="1" x14ac:dyDescent="0.3">
      <c r="A39" s="75">
        <v>7648</v>
      </c>
      <c r="B39" s="75" t="s">
        <v>755</v>
      </c>
      <c r="C39" s="75" t="s">
        <v>1508</v>
      </c>
      <c r="D39" s="75" t="s">
        <v>866</v>
      </c>
      <c r="E39" s="75" t="s">
        <v>954</v>
      </c>
      <c r="F39" s="75" t="s">
        <v>1509</v>
      </c>
      <c r="G39" s="76">
        <v>45589</v>
      </c>
      <c r="H39" s="75" t="s">
        <v>73</v>
      </c>
      <c r="I39" s="75" t="s">
        <v>32</v>
      </c>
      <c r="J39" s="75" t="s">
        <v>1511</v>
      </c>
      <c r="K39" s="75" t="str">
        <f t="shared" si="0"/>
        <v>10-2024</v>
      </c>
      <c r="L39" s="10" t="s">
        <v>2599</v>
      </c>
    </row>
    <row r="40" spans="1:12" s="10" customFormat="1" ht="12" hidden="1" x14ac:dyDescent="0.3">
      <c r="A40" s="75">
        <v>7055</v>
      </c>
      <c r="B40" s="75" t="s">
        <v>418</v>
      </c>
      <c r="C40" s="75" t="s">
        <v>1508</v>
      </c>
      <c r="D40" s="75" t="s">
        <v>866</v>
      </c>
      <c r="E40" s="75" t="s">
        <v>955</v>
      </c>
      <c r="F40" s="75" t="s">
        <v>1509</v>
      </c>
      <c r="G40" s="76">
        <v>45589</v>
      </c>
      <c r="H40" s="75" t="s">
        <v>73</v>
      </c>
      <c r="I40" s="75" t="s">
        <v>32</v>
      </c>
      <c r="J40" s="75" t="s">
        <v>1511</v>
      </c>
      <c r="K40" s="75" t="str">
        <f t="shared" si="0"/>
        <v>10-2024</v>
      </c>
      <c r="L40" s="10" t="s">
        <v>2599</v>
      </c>
    </row>
    <row r="41" spans="1:12" s="10" customFormat="1" ht="12" hidden="1" x14ac:dyDescent="0.3">
      <c r="A41" s="75">
        <v>7404</v>
      </c>
      <c r="B41" s="75" t="s">
        <v>756</v>
      </c>
      <c r="C41" s="75" t="s">
        <v>1508</v>
      </c>
      <c r="D41" s="75" t="s">
        <v>866</v>
      </c>
      <c r="E41" s="75" t="s">
        <v>956</v>
      </c>
      <c r="F41" s="75" t="s">
        <v>1509</v>
      </c>
      <c r="G41" s="76">
        <v>45589</v>
      </c>
      <c r="H41" s="75" t="s">
        <v>73</v>
      </c>
      <c r="I41" s="75" t="s">
        <v>32</v>
      </c>
      <c r="J41" s="75" t="s">
        <v>1511</v>
      </c>
      <c r="K41" s="75" t="str">
        <f t="shared" si="0"/>
        <v>10-2024</v>
      </c>
      <c r="L41" s="10" t="s">
        <v>2599</v>
      </c>
    </row>
    <row r="42" spans="1:12" s="10" customFormat="1" ht="12" hidden="1" x14ac:dyDescent="0.3">
      <c r="A42" s="75">
        <v>7447</v>
      </c>
      <c r="B42" s="75" t="s">
        <v>757</v>
      </c>
      <c r="C42" s="75" t="s">
        <v>1508</v>
      </c>
      <c r="D42" s="75" t="s">
        <v>866</v>
      </c>
      <c r="E42" s="75" t="s">
        <v>957</v>
      </c>
      <c r="F42" s="75" t="s">
        <v>1509</v>
      </c>
      <c r="G42" s="76">
        <v>45589</v>
      </c>
      <c r="H42" s="75" t="s">
        <v>73</v>
      </c>
      <c r="I42" s="75" t="s">
        <v>32</v>
      </c>
      <c r="J42" s="75" t="s">
        <v>1511</v>
      </c>
      <c r="K42" s="75" t="str">
        <f t="shared" si="0"/>
        <v>10-2024</v>
      </c>
      <c r="L42" s="10" t="s">
        <v>2599</v>
      </c>
    </row>
    <row r="43" spans="1:12" s="10" customFormat="1" ht="12" hidden="1" x14ac:dyDescent="0.3">
      <c r="A43" s="75">
        <v>7050</v>
      </c>
      <c r="B43" s="75" t="s">
        <v>417</v>
      </c>
      <c r="C43" s="75" t="s">
        <v>1508</v>
      </c>
      <c r="D43" s="75" t="s">
        <v>866</v>
      </c>
      <c r="E43" s="75" t="s">
        <v>958</v>
      </c>
      <c r="F43" s="75" t="s">
        <v>1509</v>
      </c>
      <c r="G43" s="76">
        <v>45589</v>
      </c>
      <c r="H43" s="75" t="s">
        <v>73</v>
      </c>
      <c r="I43" s="75" t="s">
        <v>32</v>
      </c>
      <c r="J43" s="75" t="s">
        <v>1511</v>
      </c>
      <c r="K43" s="75" t="str">
        <f t="shared" si="0"/>
        <v>10-2024</v>
      </c>
      <c r="L43" s="10" t="s">
        <v>2599</v>
      </c>
    </row>
    <row r="44" spans="1:12" s="10" customFormat="1" ht="12" hidden="1" x14ac:dyDescent="0.3">
      <c r="A44" s="75">
        <v>7156</v>
      </c>
      <c r="B44" s="75" t="s">
        <v>401</v>
      </c>
      <c r="C44" s="75" t="s">
        <v>1508</v>
      </c>
      <c r="D44" s="75" t="s">
        <v>866</v>
      </c>
      <c r="E44" s="75" t="s">
        <v>959</v>
      </c>
      <c r="F44" s="75" t="s">
        <v>1509</v>
      </c>
      <c r="G44" s="76">
        <v>45589</v>
      </c>
      <c r="H44" s="75" t="s">
        <v>73</v>
      </c>
      <c r="I44" s="75" t="s">
        <v>32</v>
      </c>
      <c r="J44" s="75" t="s">
        <v>1511</v>
      </c>
      <c r="K44" s="75" t="str">
        <f t="shared" si="0"/>
        <v>10-2024</v>
      </c>
      <c r="L44" s="10" t="s">
        <v>2599</v>
      </c>
    </row>
    <row r="45" spans="1:12" s="10" customFormat="1" ht="12" hidden="1" x14ac:dyDescent="0.3">
      <c r="A45" s="75">
        <v>4982</v>
      </c>
      <c r="B45" s="75" t="s">
        <v>758</v>
      </c>
      <c r="C45" s="75" t="s">
        <v>1508</v>
      </c>
      <c r="D45" s="75" t="s">
        <v>866</v>
      </c>
      <c r="E45" s="75" t="s">
        <v>960</v>
      </c>
      <c r="F45" s="75" t="s">
        <v>1509</v>
      </c>
      <c r="G45" s="76">
        <v>45589</v>
      </c>
      <c r="H45" s="75" t="s">
        <v>40</v>
      </c>
      <c r="I45" s="75" t="s">
        <v>32</v>
      </c>
      <c r="J45" s="75" t="s">
        <v>1511</v>
      </c>
      <c r="K45" s="75" t="str">
        <f t="shared" si="0"/>
        <v>10-2024</v>
      </c>
      <c r="L45" s="10" t="s">
        <v>2599</v>
      </c>
    </row>
    <row r="46" spans="1:12" s="10" customFormat="1" ht="12" hidden="1" x14ac:dyDescent="0.3">
      <c r="A46" s="75">
        <v>3148</v>
      </c>
      <c r="B46" s="75" t="s">
        <v>759</v>
      </c>
      <c r="C46" s="75" t="s">
        <v>1508</v>
      </c>
      <c r="D46" s="75" t="s">
        <v>866</v>
      </c>
      <c r="E46" s="75" t="s">
        <v>961</v>
      </c>
      <c r="F46" s="75" t="s">
        <v>1509</v>
      </c>
      <c r="G46" s="76">
        <v>45589</v>
      </c>
      <c r="H46" s="75" t="s">
        <v>73</v>
      </c>
      <c r="I46" s="75" t="s">
        <v>32</v>
      </c>
      <c r="J46" s="75" t="s">
        <v>1511</v>
      </c>
      <c r="K46" s="75" t="str">
        <f t="shared" si="0"/>
        <v>10-2024</v>
      </c>
      <c r="L46" s="10" t="s">
        <v>2599</v>
      </c>
    </row>
    <row r="47" spans="1:12" s="10" customFormat="1" ht="12" hidden="1" x14ac:dyDescent="0.3">
      <c r="A47" s="75">
        <v>7130</v>
      </c>
      <c r="B47" s="75" t="s">
        <v>760</v>
      </c>
      <c r="C47" s="75" t="s">
        <v>1508</v>
      </c>
      <c r="D47" s="75" t="s">
        <v>866</v>
      </c>
      <c r="E47" s="75" t="s">
        <v>962</v>
      </c>
      <c r="F47" s="75" t="s">
        <v>1509</v>
      </c>
      <c r="G47" s="76">
        <v>45589</v>
      </c>
      <c r="H47" s="75" t="s">
        <v>73</v>
      </c>
      <c r="I47" s="75" t="s">
        <v>32</v>
      </c>
      <c r="J47" s="75" t="s">
        <v>1511</v>
      </c>
      <c r="K47" s="75" t="str">
        <f t="shared" si="0"/>
        <v>10-2024</v>
      </c>
      <c r="L47" s="10" t="s">
        <v>2599</v>
      </c>
    </row>
    <row r="48" spans="1:12" s="10" customFormat="1" ht="12" hidden="1" x14ac:dyDescent="0.3">
      <c r="A48" s="75">
        <v>2056</v>
      </c>
      <c r="B48" s="75" t="s">
        <v>747</v>
      </c>
      <c r="C48" s="75" t="s">
        <v>1508</v>
      </c>
      <c r="D48" s="75" t="s">
        <v>866</v>
      </c>
      <c r="E48" s="75" t="s">
        <v>963</v>
      </c>
      <c r="F48" s="75" t="s">
        <v>1509</v>
      </c>
      <c r="G48" s="76">
        <v>45589</v>
      </c>
      <c r="H48" s="75" t="s">
        <v>35</v>
      </c>
      <c r="I48" s="75" t="s">
        <v>32</v>
      </c>
      <c r="J48" s="75" t="s">
        <v>1511</v>
      </c>
      <c r="K48" s="75" t="str">
        <f t="shared" si="0"/>
        <v>10-2024</v>
      </c>
      <c r="L48" s="10" t="s">
        <v>2599</v>
      </c>
    </row>
    <row r="49" spans="1:12" s="10" customFormat="1" ht="12" hidden="1" x14ac:dyDescent="0.3">
      <c r="A49" s="75">
        <v>2444</v>
      </c>
      <c r="B49" s="75" t="s">
        <v>737</v>
      </c>
      <c r="C49" s="75" t="s">
        <v>1508</v>
      </c>
      <c r="D49" s="75" t="s">
        <v>866</v>
      </c>
      <c r="E49" s="75" t="s">
        <v>964</v>
      </c>
      <c r="F49" s="75" t="s">
        <v>1509</v>
      </c>
      <c r="G49" s="76">
        <v>45589</v>
      </c>
      <c r="H49" s="75" t="s">
        <v>35</v>
      </c>
      <c r="I49" s="75" t="s">
        <v>32</v>
      </c>
      <c r="J49" s="75" t="s">
        <v>1511</v>
      </c>
      <c r="K49" s="75" t="str">
        <f t="shared" si="0"/>
        <v>10-2024</v>
      </c>
      <c r="L49" s="10" t="s">
        <v>2599</v>
      </c>
    </row>
    <row r="50" spans="1:12" s="10" customFormat="1" ht="12" hidden="1" x14ac:dyDescent="0.3">
      <c r="A50" s="75">
        <v>7609</v>
      </c>
      <c r="B50" s="75" t="s">
        <v>761</v>
      </c>
      <c r="C50" s="75" t="s">
        <v>1508</v>
      </c>
      <c r="D50" s="75" t="s">
        <v>866</v>
      </c>
      <c r="E50" s="75" t="s">
        <v>965</v>
      </c>
      <c r="F50" s="75" t="s">
        <v>1509</v>
      </c>
      <c r="G50" s="76">
        <v>45589</v>
      </c>
      <c r="H50" s="75" t="s">
        <v>40</v>
      </c>
      <c r="I50" s="75" t="s">
        <v>32</v>
      </c>
      <c r="J50" s="75" t="s">
        <v>1511</v>
      </c>
      <c r="K50" s="75" t="str">
        <f t="shared" si="0"/>
        <v>10-2024</v>
      </c>
      <c r="L50" s="10" t="s">
        <v>2599</v>
      </c>
    </row>
    <row r="51" spans="1:12" s="10" customFormat="1" ht="12" hidden="1" x14ac:dyDescent="0.3">
      <c r="A51" s="75">
        <v>6516</v>
      </c>
      <c r="B51" s="75" t="s">
        <v>762</v>
      </c>
      <c r="C51" s="75" t="s">
        <v>1508</v>
      </c>
      <c r="D51" s="75" t="s">
        <v>866</v>
      </c>
      <c r="E51" s="75" t="s">
        <v>966</v>
      </c>
      <c r="F51" s="75" t="s">
        <v>1509</v>
      </c>
      <c r="G51" s="76">
        <v>45589</v>
      </c>
      <c r="H51" s="75" t="s">
        <v>40</v>
      </c>
      <c r="I51" s="75" t="s">
        <v>32</v>
      </c>
      <c r="J51" s="75" t="s">
        <v>1511</v>
      </c>
      <c r="K51" s="75" t="str">
        <f t="shared" si="0"/>
        <v>10-2024</v>
      </c>
      <c r="L51" s="10" t="s">
        <v>2599</v>
      </c>
    </row>
    <row r="52" spans="1:12" s="10" customFormat="1" ht="12" hidden="1" x14ac:dyDescent="0.3">
      <c r="A52" s="75">
        <v>7080</v>
      </c>
      <c r="B52" s="75" t="s">
        <v>763</v>
      </c>
      <c r="C52" s="75" t="s">
        <v>1508</v>
      </c>
      <c r="D52" s="75" t="s">
        <v>866</v>
      </c>
      <c r="E52" s="75" t="s">
        <v>967</v>
      </c>
      <c r="F52" s="75" t="s">
        <v>1509</v>
      </c>
      <c r="G52" s="76">
        <v>45589</v>
      </c>
      <c r="H52" s="75" t="s">
        <v>16</v>
      </c>
      <c r="I52" s="75" t="s">
        <v>54</v>
      </c>
      <c r="J52" s="75" t="s">
        <v>1511</v>
      </c>
      <c r="K52" s="75" t="str">
        <f t="shared" si="0"/>
        <v>10-2024</v>
      </c>
      <c r="L52" s="10" t="s">
        <v>2599</v>
      </c>
    </row>
    <row r="53" spans="1:12" s="10" customFormat="1" ht="12" hidden="1" x14ac:dyDescent="0.3">
      <c r="A53" s="75">
        <v>5472</v>
      </c>
      <c r="B53" s="75" t="s">
        <v>764</v>
      </c>
      <c r="C53" s="75" t="s">
        <v>1508</v>
      </c>
      <c r="D53" s="75" t="s">
        <v>866</v>
      </c>
      <c r="E53" s="75" t="s">
        <v>968</v>
      </c>
      <c r="F53" s="75" t="s">
        <v>1509</v>
      </c>
      <c r="G53" s="76">
        <v>45589</v>
      </c>
      <c r="H53" s="75" t="s">
        <v>73</v>
      </c>
      <c r="I53" s="75" t="s">
        <v>32</v>
      </c>
      <c r="J53" s="75" t="s">
        <v>1511</v>
      </c>
      <c r="K53" s="75" t="str">
        <f t="shared" si="0"/>
        <v>10-2024</v>
      </c>
      <c r="L53" s="10" t="s">
        <v>2599</v>
      </c>
    </row>
    <row r="54" spans="1:12" s="10" customFormat="1" ht="12" hidden="1" x14ac:dyDescent="0.3">
      <c r="A54" s="75">
        <v>6541</v>
      </c>
      <c r="B54" s="75" t="s">
        <v>439</v>
      </c>
      <c r="C54" s="75" t="s">
        <v>1508</v>
      </c>
      <c r="D54" s="75" t="s">
        <v>866</v>
      </c>
      <c r="E54" s="75" t="s">
        <v>969</v>
      </c>
      <c r="F54" s="75" t="s">
        <v>1509</v>
      </c>
      <c r="G54" s="76">
        <v>45589</v>
      </c>
      <c r="H54" s="75" t="s">
        <v>53</v>
      </c>
      <c r="I54" s="75" t="s">
        <v>54</v>
      </c>
      <c r="J54" s="75" t="s">
        <v>1511</v>
      </c>
      <c r="K54" s="75" t="str">
        <f t="shared" si="0"/>
        <v>10-2024</v>
      </c>
      <c r="L54" s="10" t="s">
        <v>2599</v>
      </c>
    </row>
    <row r="55" spans="1:12" s="10" customFormat="1" ht="12" hidden="1" x14ac:dyDescent="0.3">
      <c r="A55" s="75">
        <v>4889</v>
      </c>
      <c r="B55" s="75" t="s">
        <v>765</v>
      </c>
      <c r="C55" s="75">
        <v>66</v>
      </c>
      <c r="D55" s="75" t="s">
        <v>480</v>
      </c>
      <c r="E55" s="75" t="s">
        <v>970</v>
      </c>
      <c r="F55" s="78" t="s">
        <v>1509</v>
      </c>
      <c r="G55" s="76">
        <v>45587</v>
      </c>
      <c r="H55" s="75" t="s">
        <v>395</v>
      </c>
      <c r="I55" s="75" t="s">
        <v>32</v>
      </c>
      <c r="J55" s="75" t="s">
        <v>1511</v>
      </c>
      <c r="K55" s="75" t="str">
        <f t="shared" si="0"/>
        <v>10-2024</v>
      </c>
      <c r="L55" s="10" t="s">
        <v>2599</v>
      </c>
    </row>
    <row r="56" spans="1:12" s="10" customFormat="1" ht="12" hidden="1" x14ac:dyDescent="0.3">
      <c r="A56" s="75">
        <v>7287</v>
      </c>
      <c r="B56" s="75" t="s">
        <v>744</v>
      </c>
      <c r="C56" s="75">
        <v>3973</v>
      </c>
      <c r="D56" s="75" t="s">
        <v>871</v>
      </c>
      <c r="E56" s="75" t="s">
        <v>971</v>
      </c>
      <c r="F56" s="75" t="s">
        <v>1510</v>
      </c>
      <c r="G56" s="76">
        <v>45587</v>
      </c>
      <c r="H56" s="75" t="s">
        <v>35</v>
      </c>
      <c r="I56" s="75" t="s">
        <v>32</v>
      </c>
      <c r="J56" s="75" t="s">
        <v>1512</v>
      </c>
      <c r="K56" s="75" t="str">
        <f t="shared" si="0"/>
        <v>10-2024</v>
      </c>
      <c r="L56" s="10" t="s">
        <v>2599</v>
      </c>
    </row>
    <row r="57" spans="1:12" s="10" customFormat="1" ht="12" hidden="1" x14ac:dyDescent="0.3">
      <c r="A57" s="75">
        <v>2444</v>
      </c>
      <c r="B57" s="75" t="s">
        <v>737</v>
      </c>
      <c r="C57" s="75">
        <v>7162</v>
      </c>
      <c r="D57" s="75" t="s">
        <v>400</v>
      </c>
      <c r="E57" s="75" t="s">
        <v>972</v>
      </c>
      <c r="F57" s="75" t="s">
        <v>1510</v>
      </c>
      <c r="G57" s="76">
        <v>45586</v>
      </c>
      <c r="H57" s="75" t="s">
        <v>35</v>
      </c>
      <c r="I57" s="75" t="s">
        <v>32</v>
      </c>
      <c r="J57" s="75" t="s">
        <v>1512</v>
      </c>
      <c r="K57" s="75" t="str">
        <f t="shared" si="0"/>
        <v>10-2024</v>
      </c>
      <c r="L57" s="10" t="s">
        <v>2599</v>
      </c>
    </row>
    <row r="58" spans="1:12" s="10" customFormat="1" ht="12" hidden="1" x14ac:dyDescent="0.3">
      <c r="A58" s="75">
        <v>7469</v>
      </c>
      <c r="B58" s="75" t="s">
        <v>175</v>
      </c>
      <c r="C58" s="75">
        <v>7162</v>
      </c>
      <c r="D58" s="75" t="s">
        <v>400</v>
      </c>
      <c r="E58" s="75" t="s">
        <v>973</v>
      </c>
      <c r="F58" s="75" t="s">
        <v>1510</v>
      </c>
      <c r="G58" s="76">
        <v>45586</v>
      </c>
      <c r="H58" s="75" t="s">
        <v>35</v>
      </c>
      <c r="I58" s="75" t="s">
        <v>32</v>
      </c>
      <c r="J58" s="75" t="s">
        <v>1512</v>
      </c>
      <c r="K58" s="75" t="str">
        <f t="shared" si="0"/>
        <v>10-2024</v>
      </c>
      <c r="L58" s="10" t="s">
        <v>2599</v>
      </c>
    </row>
    <row r="59" spans="1:12" s="10" customFormat="1" ht="12" hidden="1" x14ac:dyDescent="0.3">
      <c r="A59" s="75">
        <v>887</v>
      </c>
      <c r="B59" s="75" t="s">
        <v>766</v>
      </c>
      <c r="C59" s="75">
        <v>4222</v>
      </c>
      <c r="D59" s="75" t="s">
        <v>481</v>
      </c>
      <c r="E59" s="75" t="s">
        <v>974</v>
      </c>
      <c r="F59" s="75" t="s">
        <v>1510</v>
      </c>
      <c r="G59" s="76">
        <v>45584</v>
      </c>
      <c r="H59" s="75" t="s">
        <v>53</v>
      </c>
      <c r="I59" s="75" t="s">
        <v>54</v>
      </c>
      <c r="J59" s="75" t="s">
        <v>1512</v>
      </c>
      <c r="K59" s="75" t="str">
        <f t="shared" si="0"/>
        <v>10-2024</v>
      </c>
      <c r="L59" s="10" t="s">
        <v>2599</v>
      </c>
    </row>
    <row r="60" spans="1:12" s="10" customFormat="1" ht="12" hidden="1" x14ac:dyDescent="0.3">
      <c r="A60" s="75">
        <v>2733</v>
      </c>
      <c r="B60" s="75" t="s">
        <v>767</v>
      </c>
      <c r="C60" s="75">
        <v>4416</v>
      </c>
      <c r="D60" s="75" t="s">
        <v>269</v>
      </c>
      <c r="E60" s="75" t="s">
        <v>975</v>
      </c>
      <c r="F60" s="75" t="s">
        <v>1510</v>
      </c>
      <c r="G60" s="76">
        <v>45581</v>
      </c>
      <c r="H60" s="75" t="s">
        <v>35</v>
      </c>
      <c r="I60" s="75" t="s">
        <v>32</v>
      </c>
      <c r="J60" s="75" t="s">
        <v>1512</v>
      </c>
      <c r="K60" s="75" t="str">
        <f t="shared" si="0"/>
        <v>10-2024</v>
      </c>
      <c r="L60" s="10" t="s">
        <v>2599</v>
      </c>
    </row>
    <row r="61" spans="1:12" s="10" customFormat="1" ht="12" hidden="1" x14ac:dyDescent="0.3">
      <c r="A61" s="75">
        <v>3902</v>
      </c>
      <c r="B61" s="75" t="s">
        <v>768</v>
      </c>
      <c r="C61" s="75">
        <v>5744</v>
      </c>
      <c r="D61" s="75" t="s">
        <v>457</v>
      </c>
      <c r="E61" s="75" t="s">
        <v>976</v>
      </c>
      <c r="F61" s="75" t="s">
        <v>1509</v>
      </c>
      <c r="G61" s="76">
        <v>45580</v>
      </c>
      <c r="H61" s="75" t="s">
        <v>40</v>
      </c>
      <c r="I61" s="75" t="s">
        <v>32</v>
      </c>
      <c r="J61" s="75" t="s">
        <v>1511</v>
      </c>
      <c r="K61" s="75" t="str">
        <f t="shared" si="0"/>
        <v>10-2024</v>
      </c>
      <c r="L61" s="10" t="s">
        <v>2599</v>
      </c>
    </row>
    <row r="62" spans="1:12" s="10" customFormat="1" ht="12" hidden="1" x14ac:dyDescent="0.3">
      <c r="A62" s="75">
        <v>7543</v>
      </c>
      <c r="B62" s="75" t="s">
        <v>769</v>
      </c>
      <c r="C62" s="75">
        <v>4927</v>
      </c>
      <c r="D62" s="75" t="s">
        <v>653</v>
      </c>
      <c r="E62" s="75" t="s">
        <v>977</v>
      </c>
      <c r="F62" s="75" t="s">
        <v>1510</v>
      </c>
      <c r="G62" s="76">
        <v>45580</v>
      </c>
      <c r="H62" s="75" t="s">
        <v>24</v>
      </c>
      <c r="I62" s="75" t="s">
        <v>54</v>
      </c>
      <c r="J62" s="75" t="s">
        <v>1512</v>
      </c>
      <c r="K62" s="75" t="str">
        <f t="shared" si="0"/>
        <v>10-2024</v>
      </c>
      <c r="L62" s="10" t="s">
        <v>2599</v>
      </c>
    </row>
    <row r="63" spans="1:12" s="10" customFormat="1" ht="12" hidden="1" x14ac:dyDescent="0.3">
      <c r="A63" s="75">
        <v>2980</v>
      </c>
      <c r="B63" s="75" t="s">
        <v>770</v>
      </c>
      <c r="C63" s="75">
        <v>1624</v>
      </c>
      <c r="D63" s="75" t="s">
        <v>831</v>
      </c>
      <c r="E63" s="75" t="s">
        <v>978</v>
      </c>
      <c r="F63" s="75" t="s">
        <v>1510</v>
      </c>
      <c r="G63" s="76">
        <v>45579</v>
      </c>
      <c r="H63" s="75" t="s">
        <v>35</v>
      </c>
      <c r="I63" s="75" t="s">
        <v>32</v>
      </c>
      <c r="J63" s="75" t="s">
        <v>1512</v>
      </c>
      <c r="K63" s="75" t="str">
        <f t="shared" si="0"/>
        <v>10-2024</v>
      </c>
      <c r="L63" s="10" t="s">
        <v>2599</v>
      </c>
    </row>
    <row r="64" spans="1:12" s="10" customFormat="1" ht="12" hidden="1" x14ac:dyDescent="0.3">
      <c r="A64" s="75">
        <v>7287</v>
      </c>
      <c r="B64" s="75" t="s">
        <v>744</v>
      </c>
      <c r="C64" s="75">
        <v>1624</v>
      </c>
      <c r="D64" s="75" t="s">
        <v>831</v>
      </c>
      <c r="E64" s="75" t="s">
        <v>979</v>
      </c>
      <c r="F64" s="75" t="s">
        <v>1510</v>
      </c>
      <c r="G64" s="76">
        <v>45579</v>
      </c>
      <c r="H64" s="75" t="s">
        <v>35</v>
      </c>
      <c r="I64" s="75" t="s">
        <v>32</v>
      </c>
      <c r="J64" s="75" t="s">
        <v>1512</v>
      </c>
      <c r="K64" s="75" t="str">
        <f t="shared" si="0"/>
        <v>10-2024</v>
      </c>
      <c r="L64" s="10" t="s">
        <v>2599</v>
      </c>
    </row>
    <row r="65" spans="1:12" s="10" customFormat="1" ht="12" hidden="1" x14ac:dyDescent="0.3">
      <c r="A65" s="75">
        <v>7287</v>
      </c>
      <c r="B65" s="75" t="s">
        <v>744</v>
      </c>
      <c r="C65" s="75">
        <v>2353</v>
      </c>
      <c r="D65" s="75" t="s">
        <v>872</v>
      </c>
      <c r="E65" s="75" t="s">
        <v>980</v>
      </c>
      <c r="F65" s="75" t="s">
        <v>1510</v>
      </c>
      <c r="G65" s="76">
        <v>45579</v>
      </c>
      <c r="H65" s="75" t="s">
        <v>35</v>
      </c>
      <c r="I65" s="75" t="s">
        <v>32</v>
      </c>
      <c r="J65" s="75" t="s">
        <v>1512</v>
      </c>
      <c r="K65" s="75" t="str">
        <f t="shared" si="0"/>
        <v>10-2024</v>
      </c>
      <c r="L65" s="10" t="s">
        <v>2599</v>
      </c>
    </row>
    <row r="66" spans="1:12" s="10" customFormat="1" ht="12" hidden="1" x14ac:dyDescent="0.3">
      <c r="A66" s="75">
        <v>7287</v>
      </c>
      <c r="B66" s="75" t="s">
        <v>744</v>
      </c>
      <c r="C66" s="75">
        <v>2220</v>
      </c>
      <c r="D66" s="75" t="s">
        <v>33</v>
      </c>
      <c r="E66" s="75" t="s">
        <v>981</v>
      </c>
      <c r="F66" s="75" t="s">
        <v>1510</v>
      </c>
      <c r="G66" s="76">
        <v>45579</v>
      </c>
      <c r="H66" s="75" t="s">
        <v>35</v>
      </c>
      <c r="I66" s="75" t="s">
        <v>32</v>
      </c>
      <c r="J66" s="75" t="s">
        <v>1512</v>
      </c>
      <c r="K66" s="75" t="str">
        <f t="shared" si="0"/>
        <v>10-2024</v>
      </c>
      <c r="L66" s="10" t="s">
        <v>2599</v>
      </c>
    </row>
    <row r="67" spans="1:12" s="10" customFormat="1" ht="12" hidden="1" x14ac:dyDescent="0.3">
      <c r="A67" s="75">
        <v>5771</v>
      </c>
      <c r="B67" s="75" t="s">
        <v>771</v>
      </c>
      <c r="C67" s="75">
        <v>296</v>
      </c>
      <c r="D67" s="75" t="s">
        <v>474</v>
      </c>
      <c r="E67" s="75" t="s">
        <v>982</v>
      </c>
      <c r="F67" s="75" t="s">
        <v>1510</v>
      </c>
      <c r="G67" s="76">
        <v>45577</v>
      </c>
      <c r="H67" s="75" t="s">
        <v>24</v>
      </c>
      <c r="I67" s="75" t="s">
        <v>10</v>
      </c>
      <c r="J67" s="75" t="s">
        <v>1512</v>
      </c>
      <c r="K67" s="75" t="str">
        <f t="shared" ref="K67:K130" si="1">TEXT(G67,"mm-yyyy")</f>
        <v>10-2024</v>
      </c>
      <c r="L67" s="10" t="s">
        <v>2599</v>
      </c>
    </row>
    <row r="68" spans="1:12" s="10" customFormat="1" ht="12" hidden="1" x14ac:dyDescent="0.3">
      <c r="A68" s="75">
        <v>2747</v>
      </c>
      <c r="B68" s="75" t="s">
        <v>772</v>
      </c>
      <c r="C68" s="75">
        <v>296</v>
      </c>
      <c r="D68" s="75" t="s">
        <v>474</v>
      </c>
      <c r="E68" s="75" t="s">
        <v>983</v>
      </c>
      <c r="F68" s="75" t="s">
        <v>1510</v>
      </c>
      <c r="G68" s="76">
        <v>45577</v>
      </c>
      <c r="H68" s="75" t="s">
        <v>24</v>
      </c>
      <c r="I68" s="75" t="s">
        <v>10</v>
      </c>
      <c r="J68" s="75" t="s">
        <v>1512</v>
      </c>
      <c r="K68" s="75" t="str">
        <f t="shared" si="1"/>
        <v>10-2024</v>
      </c>
      <c r="L68" s="10" t="s">
        <v>2599</v>
      </c>
    </row>
    <row r="69" spans="1:12" s="10" customFormat="1" ht="12" hidden="1" x14ac:dyDescent="0.3">
      <c r="A69" s="75">
        <v>2695</v>
      </c>
      <c r="B69" s="75" t="s">
        <v>773</v>
      </c>
      <c r="C69" s="75">
        <v>296</v>
      </c>
      <c r="D69" s="75" t="s">
        <v>474</v>
      </c>
      <c r="E69" s="75" t="s">
        <v>984</v>
      </c>
      <c r="F69" s="75" t="s">
        <v>1510</v>
      </c>
      <c r="G69" s="76">
        <v>45577</v>
      </c>
      <c r="H69" s="75" t="s">
        <v>24</v>
      </c>
      <c r="I69" s="75" t="s">
        <v>251</v>
      </c>
      <c r="J69" s="75" t="s">
        <v>1512</v>
      </c>
      <c r="K69" s="75" t="str">
        <f t="shared" si="1"/>
        <v>10-2024</v>
      </c>
      <c r="L69" s="10" t="s">
        <v>2599</v>
      </c>
    </row>
    <row r="70" spans="1:12" s="10" customFormat="1" ht="12" hidden="1" x14ac:dyDescent="0.3">
      <c r="A70" s="75">
        <v>4068</v>
      </c>
      <c r="B70" s="75" t="s">
        <v>178</v>
      </c>
      <c r="C70" s="75">
        <v>7915</v>
      </c>
      <c r="D70" s="75" t="s">
        <v>873</v>
      </c>
      <c r="E70" s="75" t="s">
        <v>985</v>
      </c>
      <c r="F70" s="75" t="s">
        <v>1510</v>
      </c>
      <c r="G70" s="76">
        <v>45576</v>
      </c>
      <c r="H70" s="75" t="s">
        <v>9</v>
      </c>
      <c r="I70" s="75" t="s">
        <v>54</v>
      </c>
      <c r="J70" s="75" t="s">
        <v>1512</v>
      </c>
      <c r="K70" s="75" t="str">
        <f t="shared" si="1"/>
        <v>10-2024</v>
      </c>
      <c r="L70" s="10" t="s">
        <v>2599</v>
      </c>
    </row>
    <row r="71" spans="1:12" s="10" customFormat="1" ht="12" hidden="1" x14ac:dyDescent="0.3">
      <c r="A71" s="75">
        <v>4009</v>
      </c>
      <c r="B71" s="75" t="s">
        <v>602</v>
      </c>
      <c r="C71" s="75">
        <v>6975</v>
      </c>
      <c r="D71" s="75" t="s">
        <v>596</v>
      </c>
      <c r="E71" s="75" t="s">
        <v>986</v>
      </c>
      <c r="F71" s="75" t="s">
        <v>1510</v>
      </c>
      <c r="G71" s="76">
        <v>45573</v>
      </c>
      <c r="H71" s="75" t="s">
        <v>9</v>
      </c>
      <c r="I71" s="75" t="s">
        <v>54</v>
      </c>
      <c r="J71" s="75" t="s">
        <v>1512</v>
      </c>
      <c r="K71" s="75" t="str">
        <f t="shared" si="1"/>
        <v>10-2024</v>
      </c>
      <c r="L71" s="10" t="s">
        <v>2599</v>
      </c>
    </row>
    <row r="72" spans="1:12" s="10" customFormat="1" ht="12" hidden="1" x14ac:dyDescent="0.3">
      <c r="A72" s="75">
        <v>4010</v>
      </c>
      <c r="B72" s="75" t="s">
        <v>437</v>
      </c>
      <c r="C72" s="75">
        <v>6975</v>
      </c>
      <c r="D72" s="75" t="s">
        <v>596</v>
      </c>
      <c r="E72" s="75" t="s">
        <v>987</v>
      </c>
      <c r="F72" s="75" t="s">
        <v>1510</v>
      </c>
      <c r="G72" s="76">
        <v>45573</v>
      </c>
      <c r="H72" s="75" t="s">
        <v>9</v>
      </c>
      <c r="I72" s="75" t="s">
        <v>54</v>
      </c>
      <c r="J72" s="75" t="s">
        <v>1512</v>
      </c>
      <c r="K72" s="75" t="str">
        <f t="shared" si="1"/>
        <v>10-2024</v>
      </c>
      <c r="L72" s="10" t="s">
        <v>2599</v>
      </c>
    </row>
    <row r="73" spans="1:12" s="10" customFormat="1" ht="12" hidden="1" x14ac:dyDescent="0.3">
      <c r="A73" s="75">
        <v>6586</v>
      </c>
      <c r="B73" s="75" t="s">
        <v>426</v>
      </c>
      <c r="C73" s="75">
        <v>7747</v>
      </c>
      <c r="D73" s="75" t="s">
        <v>346</v>
      </c>
      <c r="E73" s="75" t="s">
        <v>988</v>
      </c>
      <c r="F73" s="75" t="s">
        <v>1510</v>
      </c>
      <c r="G73" s="76">
        <v>45573</v>
      </c>
      <c r="H73" s="75" t="s">
        <v>9</v>
      </c>
      <c r="I73" s="75" t="s">
        <v>10</v>
      </c>
      <c r="J73" s="75" t="s">
        <v>1512</v>
      </c>
      <c r="K73" s="75" t="str">
        <f t="shared" si="1"/>
        <v>10-2024</v>
      </c>
      <c r="L73" s="10" t="s">
        <v>2599</v>
      </c>
    </row>
    <row r="74" spans="1:12" s="10" customFormat="1" ht="12" hidden="1" x14ac:dyDescent="0.3">
      <c r="A74" s="75">
        <v>7756</v>
      </c>
      <c r="B74" s="75" t="s">
        <v>65</v>
      </c>
      <c r="C74" s="75">
        <v>7747</v>
      </c>
      <c r="D74" s="75" t="s">
        <v>346</v>
      </c>
      <c r="E74" s="75" t="s">
        <v>989</v>
      </c>
      <c r="F74" s="75" t="s">
        <v>1510</v>
      </c>
      <c r="G74" s="76">
        <v>45573</v>
      </c>
      <c r="H74" s="75" t="s">
        <v>9</v>
      </c>
      <c r="I74" s="75" t="s">
        <v>54</v>
      </c>
      <c r="J74" s="75" t="s">
        <v>1512</v>
      </c>
      <c r="K74" s="75" t="str">
        <f t="shared" si="1"/>
        <v>10-2024</v>
      </c>
      <c r="L74" s="10" t="s">
        <v>2599</v>
      </c>
    </row>
    <row r="75" spans="1:12" s="10" customFormat="1" ht="12" hidden="1" x14ac:dyDescent="0.3">
      <c r="A75" s="75">
        <v>4013</v>
      </c>
      <c r="B75" s="75" t="s">
        <v>268</v>
      </c>
      <c r="C75" s="75">
        <v>7747</v>
      </c>
      <c r="D75" s="75" t="s">
        <v>346</v>
      </c>
      <c r="E75" s="75" t="s">
        <v>990</v>
      </c>
      <c r="F75" s="75" t="s">
        <v>1510</v>
      </c>
      <c r="G75" s="76">
        <v>45573</v>
      </c>
      <c r="H75" s="75" t="s">
        <v>9</v>
      </c>
      <c r="I75" s="75" t="s">
        <v>54</v>
      </c>
      <c r="J75" s="75" t="s">
        <v>1512</v>
      </c>
      <c r="K75" s="75" t="str">
        <f t="shared" si="1"/>
        <v>10-2024</v>
      </c>
      <c r="L75" s="10" t="s">
        <v>2599</v>
      </c>
    </row>
    <row r="76" spans="1:12" s="10" customFormat="1" ht="12" hidden="1" x14ac:dyDescent="0.3">
      <c r="A76" s="75">
        <v>5428</v>
      </c>
      <c r="B76" s="75" t="s">
        <v>647</v>
      </c>
      <c r="C76" s="75">
        <v>7868</v>
      </c>
      <c r="D76" s="75" t="s">
        <v>340</v>
      </c>
      <c r="E76" s="75" t="s">
        <v>991</v>
      </c>
      <c r="F76" s="75" t="s">
        <v>1510</v>
      </c>
      <c r="G76" s="76">
        <v>45573</v>
      </c>
      <c r="H76" s="75" t="s">
        <v>249</v>
      </c>
      <c r="I76" s="75" t="s">
        <v>10</v>
      </c>
      <c r="J76" s="75" t="s">
        <v>1512</v>
      </c>
      <c r="K76" s="75" t="str">
        <f t="shared" si="1"/>
        <v>10-2024</v>
      </c>
      <c r="L76" s="10" t="s">
        <v>2599</v>
      </c>
    </row>
    <row r="77" spans="1:12" s="10" customFormat="1" ht="12" hidden="1" x14ac:dyDescent="0.3">
      <c r="A77" s="75">
        <v>2761</v>
      </c>
      <c r="B77" s="75" t="s">
        <v>774</v>
      </c>
      <c r="C77" s="75">
        <v>7619</v>
      </c>
      <c r="D77" s="75" t="s">
        <v>462</v>
      </c>
      <c r="E77" s="75" t="s">
        <v>992</v>
      </c>
      <c r="F77" s="75" t="s">
        <v>1509</v>
      </c>
      <c r="G77" s="76">
        <v>45572</v>
      </c>
      <c r="H77" s="75" t="s">
        <v>73</v>
      </c>
      <c r="I77" s="75" t="s">
        <v>10</v>
      </c>
      <c r="J77" s="75" t="s">
        <v>1511</v>
      </c>
      <c r="K77" s="75" t="str">
        <f t="shared" si="1"/>
        <v>10-2024</v>
      </c>
      <c r="L77" s="10" t="s">
        <v>2599</v>
      </c>
    </row>
    <row r="78" spans="1:12" s="10" customFormat="1" ht="12" hidden="1" x14ac:dyDescent="0.3">
      <c r="A78" s="75">
        <v>3209</v>
      </c>
      <c r="B78" s="75" t="s">
        <v>775</v>
      </c>
      <c r="C78" s="75">
        <v>7619</v>
      </c>
      <c r="D78" s="75" t="s">
        <v>462</v>
      </c>
      <c r="E78" s="75" t="s">
        <v>993</v>
      </c>
      <c r="F78" s="75" t="s">
        <v>1510</v>
      </c>
      <c r="G78" s="76">
        <v>45572</v>
      </c>
      <c r="H78" s="75" t="s">
        <v>73</v>
      </c>
      <c r="I78" s="75" t="s">
        <v>32</v>
      </c>
      <c r="J78" s="75" t="s">
        <v>1512</v>
      </c>
      <c r="K78" s="75" t="str">
        <f t="shared" si="1"/>
        <v>10-2024</v>
      </c>
      <c r="L78" s="10" t="s">
        <v>2599</v>
      </c>
    </row>
    <row r="79" spans="1:12" s="10" customFormat="1" ht="12" hidden="1" x14ac:dyDescent="0.3">
      <c r="A79" s="75">
        <v>7868</v>
      </c>
      <c r="B79" s="75" t="s">
        <v>340</v>
      </c>
      <c r="C79" s="75">
        <v>7221</v>
      </c>
      <c r="D79" s="75" t="s">
        <v>600</v>
      </c>
      <c r="E79" s="75" t="s">
        <v>994</v>
      </c>
      <c r="F79" s="75" t="s">
        <v>1510</v>
      </c>
      <c r="G79" s="76">
        <v>45572</v>
      </c>
      <c r="H79" s="75" t="s">
        <v>21</v>
      </c>
      <c r="I79" s="75" t="s">
        <v>10</v>
      </c>
      <c r="J79" s="75" t="s">
        <v>1512</v>
      </c>
      <c r="K79" s="75" t="str">
        <f t="shared" si="1"/>
        <v>10-2024</v>
      </c>
      <c r="L79" s="10" t="s">
        <v>2599</v>
      </c>
    </row>
    <row r="80" spans="1:12" s="10" customFormat="1" ht="12" hidden="1" x14ac:dyDescent="0.3">
      <c r="A80" s="75">
        <v>2959</v>
      </c>
      <c r="B80" s="75" t="s">
        <v>776</v>
      </c>
      <c r="C80" s="75">
        <v>5918</v>
      </c>
      <c r="D80" s="75" t="s">
        <v>874</v>
      </c>
      <c r="E80" s="75" t="s">
        <v>995</v>
      </c>
      <c r="F80" s="75" t="s">
        <v>1510</v>
      </c>
      <c r="G80" s="76">
        <v>45572</v>
      </c>
      <c r="H80" s="75" t="s">
        <v>40</v>
      </c>
      <c r="I80" s="75" t="s">
        <v>251</v>
      </c>
      <c r="J80" s="75" t="s">
        <v>1512</v>
      </c>
      <c r="K80" s="75" t="str">
        <f t="shared" si="1"/>
        <v>10-2024</v>
      </c>
      <c r="L80" s="10" t="s">
        <v>2599</v>
      </c>
    </row>
    <row r="81" spans="1:12" s="10" customFormat="1" ht="12" hidden="1" x14ac:dyDescent="0.3">
      <c r="A81" s="75">
        <v>3964</v>
      </c>
      <c r="B81" s="75" t="s">
        <v>734</v>
      </c>
      <c r="C81" s="75">
        <v>6690</v>
      </c>
      <c r="D81" s="75" t="s">
        <v>280</v>
      </c>
      <c r="E81" s="75" t="s">
        <v>996</v>
      </c>
      <c r="F81" s="75" t="s">
        <v>1510</v>
      </c>
      <c r="G81" s="76">
        <v>45572</v>
      </c>
      <c r="H81" s="75" t="s">
        <v>53</v>
      </c>
      <c r="I81" s="75" t="s">
        <v>54</v>
      </c>
      <c r="J81" s="75" t="s">
        <v>1512</v>
      </c>
      <c r="K81" s="75" t="str">
        <f t="shared" si="1"/>
        <v>10-2024</v>
      </c>
      <c r="L81" s="10" t="s">
        <v>2599</v>
      </c>
    </row>
    <row r="82" spans="1:12" s="10" customFormat="1" ht="12" hidden="1" x14ac:dyDescent="0.3">
      <c r="A82" s="75">
        <v>6585</v>
      </c>
      <c r="B82" s="75" t="s">
        <v>777</v>
      </c>
      <c r="C82" s="75">
        <v>7408</v>
      </c>
      <c r="D82" s="75" t="s">
        <v>372</v>
      </c>
      <c r="E82" s="75" t="s">
        <v>997</v>
      </c>
      <c r="F82" s="75" t="s">
        <v>1509</v>
      </c>
      <c r="G82" s="76">
        <v>45569</v>
      </c>
      <c r="H82" s="75" t="s">
        <v>13</v>
      </c>
      <c r="I82" s="75" t="s">
        <v>10</v>
      </c>
      <c r="J82" s="75" t="s">
        <v>1511</v>
      </c>
      <c r="K82" s="75" t="str">
        <f t="shared" si="1"/>
        <v>10-2024</v>
      </c>
      <c r="L82" s="10" t="s">
        <v>2599</v>
      </c>
    </row>
    <row r="83" spans="1:12" s="10" customFormat="1" ht="12" hidden="1" x14ac:dyDescent="0.3">
      <c r="A83" s="75">
        <v>7808</v>
      </c>
      <c r="B83" s="75" t="s">
        <v>177</v>
      </c>
      <c r="C83" s="75">
        <v>7517</v>
      </c>
      <c r="D83" s="75" t="s">
        <v>108</v>
      </c>
      <c r="E83" s="75" t="s">
        <v>998</v>
      </c>
      <c r="F83" s="75" t="s">
        <v>1510</v>
      </c>
      <c r="G83" s="76">
        <v>45569</v>
      </c>
      <c r="H83" s="75" t="s">
        <v>21</v>
      </c>
      <c r="I83" s="75" t="s">
        <v>10</v>
      </c>
      <c r="J83" s="75" t="s">
        <v>1512</v>
      </c>
      <c r="K83" s="75" t="str">
        <f t="shared" si="1"/>
        <v>10-2024</v>
      </c>
      <c r="L83" s="10" t="s">
        <v>2599</v>
      </c>
    </row>
    <row r="84" spans="1:12" s="10" customFormat="1" ht="12" hidden="1" x14ac:dyDescent="0.3">
      <c r="A84" s="75">
        <v>7551</v>
      </c>
      <c r="B84" s="75" t="s">
        <v>404</v>
      </c>
      <c r="C84" s="75">
        <v>3634</v>
      </c>
      <c r="D84" s="75" t="s">
        <v>463</v>
      </c>
      <c r="E84" s="75" t="s">
        <v>999</v>
      </c>
      <c r="F84" s="75" t="s">
        <v>1510</v>
      </c>
      <c r="G84" s="76">
        <v>45567</v>
      </c>
      <c r="H84" s="75" t="s">
        <v>73</v>
      </c>
      <c r="I84" s="75" t="s">
        <v>32</v>
      </c>
      <c r="J84" s="75" t="s">
        <v>1512</v>
      </c>
      <c r="K84" s="75" t="str">
        <f t="shared" si="1"/>
        <v>10-2024</v>
      </c>
      <c r="L84" s="10" t="s">
        <v>2599</v>
      </c>
    </row>
    <row r="85" spans="1:12" s="10" customFormat="1" ht="12" hidden="1" x14ac:dyDescent="0.3">
      <c r="A85" s="75">
        <v>7551</v>
      </c>
      <c r="B85" s="75" t="s">
        <v>404</v>
      </c>
      <c r="C85" s="75">
        <v>3634</v>
      </c>
      <c r="D85" s="75" t="s">
        <v>463</v>
      </c>
      <c r="E85" s="75" t="s">
        <v>1000</v>
      </c>
      <c r="F85" s="75" t="s">
        <v>1509</v>
      </c>
      <c r="G85" s="76">
        <v>45567</v>
      </c>
      <c r="H85" s="75" t="s">
        <v>73</v>
      </c>
      <c r="I85" s="75" t="s">
        <v>32</v>
      </c>
      <c r="J85" s="75" t="s">
        <v>1511</v>
      </c>
      <c r="K85" s="75" t="str">
        <f t="shared" si="1"/>
        <v>10-2024</v>
      </c>
      <c r="L85" s="10" t="s">
        <v>2599</v>
      </c>
    </row>
    <row r="86" spans="1:12" s="10" customFormat="1" ht="12" hidden="1" x14ac:dyDescent="0.3">
      <c r="A86" s="75">
        <v>7799</v>
      </c>
      <c r="B86" s="75" t="s">
        <v>778</v>
      </c>
      <c r="C86" s="75">
        <v>3469</v>
      </c>
      <c r="D86" s="75" t="s">
        <v>459</v>
      </c>
      <c r="E86" s="75" t="s">
        <v>1001</v>
      </c>
      <c r="F86" s="75" t="s">
        <v>1509</v>
      </c>
      <c r="G86" s="76">
        <v>45566</v>
      </c>
      <c r="H86" s="75" t="s">
        <v>43</v>
      </c>
      <c r="I86" s="75" t="s">
        <v>10</v>
      </c>
      <c r="J86" s="75" t="s">
        <v>1511</v>
      </c>
      <c r="K86" s="75" t="str">
        <f t="shared" si="1"/>
        <v>10-2024</v>
      </c>
      <c r="L86" s="10" t="s">
        <v>2599</v>
      </c>
    </row>
    <row r="87" spans="1:12" s="10" customFormat="1" ht="12" hidden="1" x14ac:dyDescent="0.3">
      <c r="A87" s="75">
        <v>4010</v>
      </c>
      <c r="B87" s="75" t="s">
        <v>437</v>
      </c>
      <c r="C87" s="75">
        <v>2826</v>
      </c>
      <c r="D87" s="75" t="s">
        <v>169</v>
      </c>
      <c r="E87" s="75" t="s">
        <v>1002</v>
      </c>
      <c r="F87" s="75" t="s">
        <v>1510</v>
      </c>
      <c r="G87" s="76">
        <v>45566</v>
      </c>
      <c r="H87" s="75" t="s">
        <v>9</v>
      </c>
      <c r="I87" s="75" t="s">
        <v>54</v>
      </c>
      <c r="J87" s="75" t="s">
        <v>1512</v>
      </c>
      <c r="K87" s="75" t="str">
        <f t="shared" si="1"/>
        <v>10-2024</v>
      </c>
      <c r="L87" s="10" t="s">
        <v>2599</v>
      </c>
    </row>
    <row r="88" spans="1:12" s="10" customFormat="1" ht="12" hidden="1" x14ac:dyDescent="0.3">
      <c r="A88" s="75">
        <v>7068</v>
      </c>
      <c r="B88" s="75" t="s">
        <v>421</v>
      </c>
      <c r="C88" s="75">
        <v>7359</v>
      </c>
      <c r="D88" s="75" t="s">
        <v>875</v>
      </c>
      <c r="E88" s="75" t="s">
        <v>1003</v>
      </c>
      <c r="F88" s="75" t="s">
        <v>1510</v>
      </c>
      <c r="G88" s="76">
        <v>45566</v>
      </c>
      <c r="H88" s="75" t="s">
        <v>73</v>
      </c>
      <c r="I88" s="75" t="s">
        <v>32</v>
      </c>
      <c r="J88" s="75" t="s">
        <v>1512</v>
      </c>
      <c r="K88" s="75" t="str">
        <f t="shared" si="1"/>
        <v>10-2024</v>
      </c>
      <c r="L88" s="10" t="s">
        <v>2599</v>
      </c>
    </row>
    <row r="89" spans="1:12" s="10" customFormat="1" ht="12" hidden="1" x14ac:dyDescent="0.3">
      <c r="A89" s="75">
        <v>4982</v>
      </c>
      <c r="B89" s="75" t="s">
        <v>758</v>
      </c>
      <c r="C89" s="75">
        <v>7282</v>
      </c>
      <c r="D89" s="75" t="s">
        <v>460</v>
      </c>
      <c r="E89" s="75" t="s">
        <v>1004</v>
      </c>
      <c r="F89" s="75" t="s">
        <v>1510</v>
      </c>
      <c r="G89" s="76">
        <v>45565</v>
      </c>
      <c r="H89" s="75" t="s">
        <v>40</v>
      </c>
      <c r="I89" s="75" t="s">
        <v>32</v>
      </c>
      <c r="J89" s="75" t="s">
        <v>1512</v>
      </c>
      <c r="K89" s="75" t="str">
        <f t="shared" si="1"/>
        <v>09-2024</v>
      </c>
      <c r="L89" s="10" t="s">
        <v>2599</v>
      </c>
    </row>
    <row r="90" spans="1:12" s="10" customFormat="1" ht="12" hidden="1" x14ac:dyDescent="0.3">
      <c r="A90" s="75">
        <v>7447</v>
      </c>
      <c r="B90" s="75" t="s">
        <v>757</v>
      </c>
      <c r="C90" s="75">
        <v>7282</v>
      </c>
      <c r="D90" s="75" t="s">
        <v>460</v>
      </c>
      <c r="E90" s="75" t="s">
        <v>1005</v>
      </c>
      <c r="F90" s="75" t="s">
        <v>1510</v>
      </c>
      <c r="G90" s="76">
        <v>45565</v>
      </c>
      <c r="H90" s="75" t="s">
        <v>73</v>
      </c>
      <c r="I90" s="75" t="s">
        <v>32</v>
      </c>
      <c r="J90" s="75" t="s">
        <v>1512</v>
      </c>
      <c r="K90" s="75" t="str">
        <f t="shared" si="1"/>
        <v>09-2024</v>
      </c>
      <c r="L90" s="10" t="s">
        <v>2599</v>
      </c>
    </row>
    <row r="91" spans="1:12" s="10" customFormat="1" ht="12" hidden="1" x14ac:dyDescent="0.3">
      <c r="A91" s="75">
        <v>7404</v>
      </c>
      <c r="B91" s="75" t="s">
        <v>756</v>
      </c>
      <c r="C91" s="75">
        <v>7282</v>
      </c>
      <c r="D91" s="75" t="s">
        <v>460</v>
      </c>
      <c r="E91" s="75" t="s">
        <v>1006</v>
      </c>
      <c r="F91" s="75" t="s">
        <v>1510</v>
      </c>
      <c r="G91" s="76">
        <v>45565</v>
      </c>
      <c r="H91" s="75" t="s">
        <v>73</v>
      </c>
      <c r="I91" s="75" t="s">
        <v>32</v>
      </c>
      <c r="J91" s="75" t="s">
        <v>1512</v>
      </c>
      <c r="K91" s="75" t="str">
        <f t="shared" si="1"/>
        <v>09-2024</v>
      </c>
      <c r="L91" s="10" t="s">
        <v>2599</v>
      </c>
    </row>
    <row r="92" spans="1:12" s="10" customFormat="1" ht="12" hidden="1" x14ac:dyDescent="0.3">
      <c r="A92" s="75">
        <v>7156</v>
      </c>
      <c r="B92" s="75" t="s">
        <v>401</v>
      </c>
      <c r="C92" s="75">
        <v>7282</v>
      </c>
      <c r="D92" s="75" t="s">
        <v>460</v>
      </c>
      <c r="E92" s="75" t="s">
        <v>1007</v>
      </c>
      <c r="F92" s="75" t="s">
        <v>1510</v>
      </c>
      <c r="G92" s="76">
        <v>45565</v>
      </c>
      <c r="H92" s="75" t="s">
        <v>73</v>
      </c>
      <c r="I92" s="75" t="s">
        <v>32</v>
      </c>
      <c r="J92" s="75" t="s">
        <v>1512</v>
      </c>
      <c r="K92" s="75" t="str">
        <f t="shared" si="1"/>
        <v>09-2024</v>
      </c>
      <c r="L92" s="10" t="s">
        <v>2599</v>
      </c>
    </row>
    <row r="93" spans="1:12" s="10" customFormat="1" ht="12" hidden="1" x14ac:dyDescent="0.3">
      <c r="A93" s="75">
        <v>7055</v>
      </c>
      <c r="B93" s="75" t="s">
        <v>418</v>
      </c>
      <c r="C93" s="75">
        <v>7282</v>
      </c>
      <c r="D93" s="75" t="s">
        <v>460</v>
      </c>
      <c r="E93" s="75" t="s">
        <v>1008</v>
      </c>
      <c r="F93" s="75" t="s">
        <v>1510</v>
      </c>
      <c r="G93" s="76">
        <v>45565</v>
      </c>
      <c r="H93" s="75" t="s">
        <v>73</v>
      </c>
      <c r="I93" s="75" t="s">
        <v>32</v>
      </c>
      <c r="J93" s="75" t="s">
        <v>1512</v>
      </c>
      <c r="K93" s="75" t="str">
        <f t="shared" si="1"/>
        <v>09-2024</v>
      </c>
      <c r="L93" s="10" t="s">
        <v>2599</v>
      </c>
    </row>
    <row r="94" spans="1:12" s="10" customFormat="1" ht="12" hidden="1" x14ac:dyDescent="0.3">
      <c r="A94" s="75">
        <v>5472</v>
      </c>
      <c r="B94" s="75" t="s">
        <v>764</v>
      </c>
      <c r="C94" s="75">
        <v>7282</v>
      </c>
      <c r="D94" s="75" t="s">
        <v>460</v>
      </c>
      <c r="E94" s="75" t="s">
        <v>1009</v>
      </c>
      <c r="F94" s="75" t="s">
        <v>1510</v>
      </c>
      <c r="G94" s="76">
        <v>45565</v>
      </c>
      <c r="H94" s="75" t="s">
        <v>73</v>
      </c>
      <c r="I94" s="75" t="s">
        <v>32</v>
      </c>
      <c r="J94" s="75" t="s">
        <v>1512</v>
      </c>
      <c r="K94" s="75" t="str">
        <f t="shared" si="1"/>
        <v>09-2024</v>
      </c>
      <c r="L94" s="10" t="s">
        <v>2599</v>
      </c>
    </row>
    <row r="95" spans="1:12" s="10" customFormat="1" ht="12" hidden="1" x14ac:dyDescent="0.3">
      <c r="A95" s="75">
        <v>7050</v>
      </c>
      <c r="B95" s="75" t="s">
        <v>417</v>
      </c>
      <c r="C95" s="75">
        <v>7282</v>
      </c>
      <c r="D95" s="75" t="s">
        <v>460</v>
      </c>
      <c r="E95" s="75" t="s">
        <v>1010</v>
      </c>
      <c r="F95" s="75" t="s">
        <v>1510</v>
      </c>
      <c r="G95" s="76">
        <v>45565</v>
      </c>
      <c r="H95" s="75" t="s">
        <v>73</v>
      </c>
      <c r="I95" s="75" t="s">
        <v>32</v>
      </c>
      <c r="J95" s="75" t="s">
        <v>1512</v>
      </c>
      <c r="K95" s="75" t="str">
        <f t="shared" si="1"/>
        <v>09-2024</v>
      </c>
      <c r="L95" s="10" t="s">
        <v>2599</v>
      </c>
    </row>
    <row r="96" spans="1:12" s="10" customFormat="1" ht="12" hidden="1" x14ac:dyDescent="0.3">
      <c r="A96" s="75">
        <v>7648</v>
      </c>
      <c r="B96" s="75" t="s">
        <v>755</v>
      </c>
      <c r="C96" s="75">
        <v>7282</v>
      </c>
      <c r="D96" s="75" t="s">
        <v>460</v>
      </c>
      <c r="E96" s="75" t="s">
        <v>1011</v>
      </c>
      <c r="F96" s="75" t="s">
        <v>1510</v>
      </c>
      <c r="G96" s="76">
        <v>45565</v>
      </c>
      <c r="H96" s="75" t="s">
        <v>73</v>
      </c>
      <c r="I96" s="75" t="s">
        <v>32</v>
      </c>
      <c r="J96" s="75" t="s">
        <v>1512</v>
      </c>
      <c r="K96" s="75" t="str">
        <f t="shared" si="1"/>
        <v>09-2024</v>
      </c>
      <c r="L96" s="10" t="s">
        <v>2599</v>
      </c>
    </row>
    <row r="97" spans="1:12" s="10" customFormat="1" ht="12" hidden="1" x14ac:dyDescent="0.3">
      <c r="A97" s="75">
        <v>7130</v>
      </c>
      <c r="B97" s="75" t="s">
        <v>760</v>
      </c>
      <c r="C97" s="75">
        <v>3634</v>
      </c>
      <c r="D97" s="75" t="s">
        <v>463</v>
      </c>
      <c r="E97" s="75" t="s">
        <v>1012</v>
      </c>
      <c r="F97" s="75" t="s">
        <v>1510</v>
      </c>
      <c r="G97" s="76">
        <v>45565</v>
      </c>
      <c r="H97" s="75" t="s">
        <v>73</v>
      </c>
      <c r="I97" s="75" t="s">
        <v>32</v>
      </c>
      <c r="J97" s="75" t="s">
        <v>1512</v>
      </c>
      <c r="K97" s="75" t="str">
        <f t="shared" si="1"/>
        <v>09-2024</v>
      </c>
      <c r="L97" s="10" t="s">
        <v>2599</v>
      </c>
    </row>
    <row r="98" spans="1:12" s="10" customFormat="1" ht="12" hidden="1" x14ac:dyDescent="0.3">
      <c r="A98" s="75">
        <v>7521</v>
      </c>
      <c r="B98" s="75" t="s">
        <v>754</v>
      </c>
      <c r="C98" s="75">
        <v>3634</v>
      </c>
      <c r="D98" s="75" t="s">
        <v>463</v>
      </c>
      <c r="E98" s="75" t="s">
        <v>1013</v>
      </c>
      <c r="F98" s="75" t="s">
        <v>1510</v>
      </c>
      <c r="G98" s="76">
        <v>45565</v>
      </c>
      <c r="H98" s="75" t="s">
        <v>73</v>
      </c>
      <c r="I98" s="75" t="s">
        <v>32</v>
      </c>
      <c r="J98" s="75" t="s">
        <v>1512</v>
      </c>
      <c r="K98" s="75" t="str">
        <f t="shared" si="1"/>
        <v>09-2024</v>
      </c>
      <c r="L98" s="10" t="s">
        <v>2599</v>
      </c>
    </row>
    <row r="99" spans="1:12" s="10" customFormat="1" ht="12" hidden="1" x14ac:dyDescent="0.3">
      <c r="A99" s="75">
        <v>3148</v>
      </c>
      <c r="B99" s="75" t="s">
        <v>759</v>
      </c>
      <c r="C99" s="75">
        <v>3634</v>
      </c>
      <c r="D99" s="75" t="s">
        <v>463</v>
      </c>
      <c r="E99" s="75" t="s">
        <v>1014</v>
      </c>
      <c r="F99" s="75" t="s">
        <v>1510</v>
      </c>
      <c r="G99" s="76">
        <v>45564</v>
      </c>
      <c r="H99" s="75" t="s">
        <v>73</v>
      </c>
      <c r="I99" s="75" t="s">
        <v>32</v>
      </c>
      <c r="J99" s="75" t="s">
        <v>1512</v>
      </c>
      <c r="K99" s="75" t="str">
        <f t="shared" si="1"/>
        <v>09-2024</v>
      </c>
      <c r="L99" s="10" t="s">
        <v>2599</v>
      </c>
    </row>
    <row r="100" spans="1:12" s="10" customFormat="1" ht="12" hidden="1" x14ac:dyDescent="0.3">
      <c r="A100" s="75">
        <v>6461</v>
      </c>
      <c r="B100" s="75" t="s">
        <v>406</v>
      </c>
      <c r="C100" s="75">
        <v>3634</v>
      </c>
      <c r="D100" s="75" t="s">
        <v>463</v>
      </c>
      <c r="E100" s="75" t="s">
        <v>1015</v>
      </c>
      <c r="F100" s="75" t="s">
        <v>1510</v>
      </c>
      <c r="G100" s="76">
        <v>45564</v>
      </c>
      <c r="H100" s="75" t="s">
        <v>73</v>
      </c>
      <c r="I100" s="75" t="s">
        <v>32</v>
      </c>
      <c r="J100" s="75" t="s">
        <v>1512</v>
      </c>
      <c r="K100" s="75" t="str">
        <f t="shared" si="1"/>
        <v>09-2024</v>
      </c>
      <c r="L100" s="10" t="s">
        <v>2599</v>
      </c>
    </row>
    <row r="101" spans="1:12" s="10" customFormat="1" ht="12" hidden="1" x14ac:dyDescent="0.3">
      <c r="A101" s="75">
        <v>7576</v>
      </c>
      <c r="B101" s="75" t="s">
        <v>422</v>
      </c>
      <c r="C101" s="75">
        <v>6511</v>
      </c>
      <c r="D101" s="75" t="s">
        <v>876</v>
      </c>
      <c r="E101" s="75" t="s">
        <v>1016</v>
      </c>
      <c r="F101" s="75" t="s">
        <v>1510</v>
      </c>
      <c r="G101" s="76">
        <v>45562</v>
      </c>
      <c r="H101" s="75" t="s">
        <v>73</v>
      </c>
      <c r="I101" s="75" t="s">
        <v>32</v>
      </c>
      <c r="J101" s="75" t="s">
        <v>1512</v>
      </c>
      <c r="K101" s="75" t="str">
        <f t="shared" si="1"/>
        <v>09-2024</v>
      </c>
      <c r="L101" s="10" t="s">
        <v>2599</v>
      </c>
    </row>
    <row r="102" spans="1:12" s="10" customFormat="1" ht="12" hidden="1" x14ac:dyDescent="0.3">
      <c r="A102" s="75">
        <v>7576</v>
      </c>
      <c r="B102" s="75" t="s">
        <v>422</v>
      </c>
      <c r="C102" s="75">
        <v>3943</v>
      </c>
      <c r="D102" s="75" t="s">
        <v>877</v>
      </c>
      <c r="E102" s="75" t="s">
        <v>1017</v>
      </c>
      <c r="F102" s="75" t="s">
        <v>1510</v>
      </c>
      <c r="G102" s="76">
        <v>45561</v>
      </c>
      <c r="H102" s="75" t="s">
        <v>73</v>
      </c>
      <c r="I102" s="75" t="s">
        <v>32</v>
      </c>
      <c r="J102" s="75" t="s">
        <v>1512</v>
      </c>
      <c r="K102" s="75" t="str">
        <f t="shared" si="1"/>
        <v>09-2024</v>
      </c>
      <c r="L102" s="10" t="s">
        <v>2599</v>
      </c>
    </row>
    <row r="103" spans="1:12" s="10" customFormat="1" ht="12" hidden="1" x14ac:dyDescent="0.3">
      <c r="A103" s="75">
        <v>7123</v>
      </c>
      <c r="B103" s="75" t="s">
        <v>290</v>
      </c>
      <c r="C103" s="75">
        <v>3644</v>
      </c>
      <c r="D103" s="75" t="s">
        <v>878</v>
      </c>
      <c r="E103" s="75" t="s">
        <v>1018</v>
      </c>
      <c r="F103" s="75" t="s">
        <v>1510</v>
      </c>
      <c r="G103" s="76">
        <v>45561</v>
      </c>
      <c r="H103" s="75" t="s">
        <v>35</v>
      </c>
      <c r="I103" s="75" t="s">
        <v>32</v>
      </c>
      <c r="J103" s="75" t="s">
        <v>1512</v>
      </c>
      <c r="K103" s="75" t="str">
        <f t="shared" si="1"/>
        <v>09-2024</v>
      </c>
      <c r="L103" s="10" t="s">
        <v>2599</v>
      </c>
    </row>
    <row r="104" spans="1:12" s="10" customFormat="1" ht="12" hidden="1" x14ac:dyDescent="0.3">
      <c r="A104" s="75">
        <v>7576</v>
      </c>
      <c r="B104" s="75" t="s">
        <v>422</v>
      </c>
      <c r="C104" s="75">
        <v>7577</v>
      </c>
      <c r="D104" s="75" t="s">
        <v>879</v>
      </c>
      <c r="E104" s="75" t="s">
        <v>1019</v>
      </c>
      <c r="F104" s="75" t="s">
        <v>1510</v>
      </c>
      <c r="G104" s="76">
        <v>45561</v>
      </c>
      <c r="H104" s="75" t="s">
        <v>73</v>
      </c>
      <c r="I104" s="75" t="s">
        <v>32</v>
      </c>
      <c r="J104" s="75" t="s">
        <v>1512</v>
      </c>
      <c r="K104" s="75" t="str">
        <f t="shared" si="1"/>
        <v>09-2024</v>
      </c>
      <c r="L104" s="10" t="s">
        <v>2599</v>
      </c>
    </row>
    <row r="105" spans="1:12" s="10" customFormat="1" ht="12" hidden="1" x14ac:dyDescent="0.3">
      <c r="A105" s="75">
        <v>7886</v>
      </c>
      <c r="B105" s="75" t="s">
        <v>779</v>
      </c>
      <c r="C105" s="75" t="s">
        <v>1508</v>
      </c>
      <c r="D105" s="75" t="s">
        <v>866</v>
      </c>
      <c r="E105" s="75" t="s">
        <v>1020</v>
      </c>
      <c r="F105" s="75" t="s">
        <v>1509</v>
      </c>
      <c r="G105" s="76">
        <v>45560</v>
      </c>
      <c r="H105" s="75" t="s">
        <v>40</v>
      </c>
      <c r="I105" s="75" t="s">
        <v>74</v>
      </c>
      <c r="J105" s="75" t="s">
        <v>1511</v>
      </c>
      <c r="K105" s="75" t="str">
        <f t="shared" si="1"/>
        <v>09-2024</v>
      </c>
      <c r="L105" s="10" t="s">
        <v>2599</v>
      </c>
    </row>
    <row r="106" spans="1:12" s="10" customFormat="1" ht="12" hidden="1" x14ac:dyDescent="0.3">
      <c r="A106" s="75">
        <v>6551</v>
      </c>
      <c r="B106" s="75" t="s">
        <v>780</v>
      </c>
      <c r="C106" s="75" t="s">
        <v>1508</v>
      </c>
      <c r="D106" s="75" t="s">
        <v>866</v>
      </c>
      <c r="E106" s="75" t="s">
        <v>1021</v>
      </c>
      <c r="F106" s="75" t="s">
        <v>1509</v>
      </c>
      <c r="G106" s="76">
        <v>45560</v>
      </c>
      <c r="H106" s="75" t="s">
        <v>53</v>
      </c>
      <c r="I106" s="75" t="s">
        <v>54</v>
      </c>
      <c r="J106" s="75" t="s">
        <v>1511</v>
      </c>
      <c r="K106" s="75" t="str">
        <f t="shared" si="1"/>
        <v>09-2024</v>
      </c>
      <c r="L106" s="10" t="s">
        <v>2599</v>
      </c>
    </row>
    <row r="107" spans="1:12" s="10" customFormat="1" ht="12" hidden="1" x14ac:dyDescent="0.3">
      <c r="A107" s="75">
        <v>3964</v>
      </c>
      <c r="B107" s="75" t="s">
        <v>734</v>
      </c>
      <c r="C107" s="75" t="s">
        <v>1508</v>
      </c>
      <c r="D107" s="75" t="s">
        <v>866</v>
      </c>
      <c r="E107" s="75" t="s">
        <v>1022</v>
      </c>
      <c r="F107" s="75" t="s">
        <v>1509</v>
      </c>
      <c r="G107" s="76">
        <v>45560</v>
      </c>
      <c r="H107" s="75" t="s">
        <v>53</v>
      </c>
      <c r="I107" s="75" t="s">
        <v>54</v>
      </c>
      <c r="J107" s="75" t="s">
        <v>1511</v>
      </c>
      <c r="K107" s="75" t="str">
        <f t="shared" si="1"/>
        <v>09-2024</v>
      </c>
      <c r="L107" s="10" t="s">
        <v>2599</v>
      </c>
    </row>
    <row r="108" spans="1:12" s="10" customFormat="1" ht="12" hidden="1" x14ac:dyDescent="0.3">
      <c r="A108" s="75">
        <v>7413</v>
      </c>
      <c r="B108" s="75" t="s">
        <v>781</v>
      </c>
      <c r="C108" s="75" t="s">
        <v>1508</v>
      </c>
      <c r="D108" s="75" t="s">
        <v>866</v>
      </c>
      <c r="E108" s="75" t="s">
        <v>1023</v>
      </c>
      <c r="F108" s="75" t="s">
        <v>1509</v>
      </c>
      <c r="G108" s="76">
        <v>45560</v>
      </c>
      <c r="H108" s="75" t="s">
        <v>40</v>
      </c>
      <c r="I108" s="75" t="s">
        <v>251</v>
      </c>
      <c r="J108" s="75" t="s">
        <v>1511</v>
      </c>
      <c r="K108" s="75" t="str">
        <f t="shared" si="1"/>
        <v>09-2024</v>
      </c>
      <c r="L108" s="10" t="s">
        <v>2599</v>
      </c>
    </row>
    <row r="109" spans="1:12" s="10" customFormat="1" ht="12" hidden="1" x14ac:dyDescent="0.3">
      <c r="A109" s="75">
        <v>5805</v>
      </c>
      <c r="B109" s="75" t="s">
        <v>782</v>
      </c>
      <c r="C109" s="75" t="s">
        <v>1508</v>
      </c>
      <c r="D109" s="75" t="s">
        <v>866</v>
      </c>
      <c r="E109" s="75" t="s">
        <v>1024</v>
      </c>
      <c r="F109" s="75" t="s">
        <v>1509</v>
      </c>
      <c r="G109" s="76">
        <v>45560</v>
      </c>
      <c r="H109" s="75" t="s">
        <v>53</v>
      </c>
      <c r="I109" s="75" t="s">
        <v>54</v>
      </c>
      <c r="J109" s="75" t="s">
        <v>1511</v>
      </c>
      <c r="K109" s="75" t="str">
        <f t="shared" si="1"/>
        <v>09-2024</v>
      </c>
      <c r="L109" s="10" t="s">
        <v>2599</v>
      </c>
    </row>
    <row r="110" spans="1:12" s="10" customFormat="1" ht="12" hidden="1" x14ac:dyDescent="0.3">
      <c r="A110" s="75">
        <v>1585</v>
      </c>
      <c r="B110" s="75" t="s">
        <v>258</v>
      </c>
      <c r="C110" s="75" t="s">
        <v>1508</v>
      </c>
      <c r="D110" s="75" t="s">
        <v>866</v>
      </c>
      <c r="E110" s="75" t="s">
        <v>1025</v>
      </c>
      <c r="F110" s="75" t="s">
        <v>1509</v>
      </c>
      <c r="G110" s="76">
        <v>45560</v>
      </c>
      <c r="H110" s="75" t="s">
        <v>53</v>
      </c>
      <c r="I110" s="75" t="s">
        <v>54</v>
      </c>
      <c r="J110" s="75" t="s">
        <v>1511</v>
      </c>
      <c r="K110" s="75" t="str">
        <f t="shared" si="1"/>
        <v>09-2024</v>
      </c>
      <c r="L110" s="10" t="s">
        <v>2599</v>
      </c>
    </row>
    <row r="111" spans="1:12" s="10" customFormat="1" ht="12" hidden="1" x14ac:dyDescent="0.3">
      <c r="A111" s="75">
        <v>5714</v>
      </c>
      <c r="B111" s="75" t="s">
        <v>116</v>
      </c>
      <c r="C111" s="75" t="s">
        <v>1508</v>
      </c>
      <c r="D111" s="75" t="s">
        <v>866</v>
      </c>
      <c r="E111" s="75" t="s">
        <v>1026</v>
      </c>
      <c r="F111" s="79" t="s">
        <v>1509</v>
      </c>
      <c r="G111" s="76">
        <v>45560</v>
      </c>
      <c r="H111" s="75" t="s">
        <v>9</v>
      </c>
      <c r="I111" s="75" t="s">
        <v>54</v>
      </c>
      <c r="J111" s="75" t="s">
        <v>1511</v>
      </c>
      <c r="K111" s="75" t="str">
        <f t="shared" si="1"/>
        <v>09-2024</v>
      </c>
      <c r="L111" s="10" t="s">
        <v>2599</v>
      </c>
    </row>
    <row r="112" spans="1:12" s="10" customFormat="1" ht="12" hidden="1" x14ac:dyDescent="0.3">
      <c r="A112" s="75">
        <v>2315</v>
      </c>
      <c r="B112" s="75" t="s">
        <v>783</v>
      </c>
      <c r="C112" s="75" t="s">
        <v>1508</v>
      </c>
      <c r="D112" s="75" t="s">
        <v>866</v>
      </c>
      <c r="E112" s="75" t="s">
        <v>1027</v>
      </c>
      <c r="F112" s="75" t="s">
        <v>1509</v>
      </c>
      <c r="G112" s="76">
        <v>45560</v>
      </c>
      <c r="H112" s="75" t="s">
        <v>24</v>
      </c>
      <c r="I112" s="75" t="s">
        <v>54</v>
      </c>
      <c r="J112" s="75" t="s">
        <v>1511</v>
      </c>
      <c r="K112" s="75" t="str">
        <f t="shared" si="1"/>
        <v>09-2024</v>
      </c>
      <c r="L112" s="10" t="s">
        <v>2599</v>
      </c>
    </row>
    <row r="113" spans="1:12" s="10" customFormat="1" ht="12" hidden="1" x14ac:dyDescent="0.3">
      <c r="A113" s="75">
        <v>3955</v>
      </c>
      <c r="B113" s="75" t="s">
        <v>784</v>
      </c>
      <c r="C113" s="75" t="s">
        <v>1508</v>
      </c>
      <c r="D113" s="75" t="s">
        <v>866</v>
      </c>
      <c r="E113" s="75" t="s">
        <v>1028</v>
      </c>
      <c r="F113" s="75" t="s">
        <v>1509</v>
      </c>
      <c r="G113" s="76">
        <v>45560</v>
      </c>
      <c r="H113" s="75" t="s">
        <v>53</v>
      </c>
      <c r="I113" s="75" t="s">
        <v>54</v>
      </c>
      <c r="J113" s="75" t="s">
        <v>1511</v>
      </c>
      <c r="K113" s="75" t="str">
        <f t="shared" si="1"/>
        <v>09-2024</v>
      </c>
      <c r="L113" s="10" t="s">
        <v>2599</v>
      </c>
    </row>
    <row r="114" spans="1:12" s="10" customFormat="1" ht="12" hidden="1" x14ac:dyDescent="0.3">
      <c r="A114" s="75">
        <v>6434</v>
      </c>
      <c r="B114" s="75" t="s">
        <v>785</v>
      </c>
      <c r="C114" s="75" t="s">
        <v>1508</v>
      </c>
      <c r="D114" s="75" t="s">
        <v>866</v>
      </c>
      <c r="E114" s="75" t="s">
        <v>1029</v>
      </c>
      <c r="F114" s="75" t="s">
        <v>1509</v>
      </c>
      <c r="G114" s="76">
        <v>45560</v>
      </c>
      <c r="H114" s="75" t="s">
        <v>24</v>
      </c>
      <c r="I114" s="75" t="s">
        <v>10</v>
      </c>
      <c r="J114" s="75" t="s">
        <v>1511</v>
      </c>
      <c r="K114" s="75" t="str">
        <f t="shared" si="1"/>
        <v>09-2024</v>
      </c>
      <c r="L114" s="10" t="s">
        <v>2599</v>
      </c>
    </row>
    <row r="115" spans="1:12" s="10" customFormat="1" ht="12" hidden="1" x14ac:dyDescent="0.3">
      <c r="A115" s="75">
        <v>4009</v>
      </c>
      <c r="B115" s="75" t="s">
        <v>602</v>
      </c>
      <c r="C115" s="75" t="s">
        <v>1508</v>
      </c>
      <c r="D115" s="75" t="s">
        <v>866</v>
      </c>
      <c r="E115" s="75" t="s">
        <v>1030</v>
      </c>
      <c r="F115" s="79" t="s">
        <v>1509</v>
      </c>
      <c r="G115" s="76">
        <v>45560</v>
      </c>
      <c r="H115" s="75" t="s">
        <v>9</v>
      </c>
      <c r="I115" s="75" t="s">
        <v>54</v>
      </c>
      <c r="J115" s="75" t="s">
        <v>1511</v>
      </c>
      <c r="K115" s="75" t="str">
        <f t="shared" si="1"/>
        <v>09-2024</v>
      </c>
      <c r="L115" s="10" t="s">
        <v>2599</v>
      </c>
    </row>
    <row r="116" spans="1:12" s="10" customFormat="1" ht="12" hidden="1" x14ac:dyDescent="0.3">
      <c r="A116" s="75">
        <v>4935</v>
      </c>
      <c r="B116" s="75" t="s">
        <v>753</v>
      </c>
      <c r="C116" s="75" t="s">
        <v>1508</v>
      </c>
      <c r="D116" s="75" t="s">
        <v>866</v>
      </c>
      <c r="E116" s="75" t="s">
        <v>1031</v>
      </c>
      <c r="F116" s="75" t="s">
        <v>1509</v>
      </c>
      <c r="G116" s="76">
        <v>45560</v>
      </c>
      <c r="H116" s="75" t="s">
        <v>35</v>
      </c>
      <c r="I116" s="75" t="s">
        <v>54</v>
      </c>
      <c r="J116" s="75" t="s">
        <v>1511</v>
      </c>
      <c r="K116" s="75" t="str">
        <f t="shared" si="1"/>
        <v>09-2024</v>
      </c>
      <c r="L116" s="10" t="s">
        <v>2599</v>
      </c>
    </row>
    <row r="117" spans="1:12" s="10" customFormat="1" ht="12" hidden="1" x14ac:dyDescent="0.3">
      <c r="A117" s="75">
        <v>7483</v>
      </c>
      <c r="B117" s="75" t="s">
        <v>786</v>
      </c>
      <c r="C117" s="75" t="s">
        <v>1508</v>
      </c>
      <c r="D117" s="75" t="s">
        <v>866</v>
      </c>
      <c r="E117" s="75" t="s">
        <v>1032</v>
      </c>
      <c r="F117" s="75" t="s">
        <v>1509</v>
      </c>
      <c r="G117" s="76">
        <v>45560</v>
      </c>
      <c r="H117" s="75" t="s">
        <v>53</v>
      </c>
      <c r="I117" s="75" t="s">
        <v>54</v>
      </c>
      <c r="J117" s="75" t="s">
        <v>1511</v>
      </c>
      <c r="K117" s="75" t="str">
        <f t="shared" si="1"/>
        <v>09-2024</v>
      </c>
      <c r="L117" s="10" t="s">
        <v>2599</v>
      </c>
    </row>
    <row r="118" spans="1:12" s="10" customFormat="1" ht="12" hidden="1" x14ac:dyDescent="0.3">
      <c r="A118" s="75">
        <v>7798</v>
      </c>
      <c r="B118" s="75" t="s">
        <v>787</v>
      </c>
      <c r="C118" s="75" t="s">
        <v>1508</v>
      </c>
      <c r="D118" s="75" t="s">
        <v>866</v>
      </c>
      <c r="E118" s="75" t="s">
        <v>1033</v>
      </c>
      <c r="F118" s="75" t="s">
        <v>1509</v>
      </c>
      <c r="G118" s="76">
        <v>45560</v>
      </c>
      <c r="H118" s="75" t="s">
        <v>40</v>
      </c>
      <c r="I118" s="75" t="s">
        <v>74</v>
      </c>
      <c r="J118" s="75" t="s">
        <v>1511</v>
      </c>
      <c r="K118" s="75" t="str">
        <f t="shared" si="1"/>
        <v>09-2024</v>
      </c>
      <c r="L118" s="10" t="s">
        <v>2599</v>
      </c>
    </row>
    <row r="119" spans="1:12" s="10" customFormat="1" ht="12" hidden="1" x14ac:dyDescent="0.3">
      <c r="A119" s="75">
        <v>1583</v>
      </c>
      <c r="B119" s="75" t="s">
        <v>788</v>
      </c>
      <c r="C119" s="75" t="s">
        <v>1508</v>
      </c>
      <c r="D119" s="75" t="s">
        <v>866</v>
      </c>
      <c r="E119" s="75" t="s">
        <v>1034</v>
      </c>
      <c r="F119" s="75" t="s">
        <v>1509</v>
      </c>
      <c r="G119" s="76">
        <v>45560</v>
      </c>
      <c r="H119" s="75" t="s">
        <v>53</v>
      </c>
      <c r="I119" s="75" t="s">
        <v>54</v>
      </c>
      <c r="J119" s="75" t="s">
        <v>1511</v>
      </c>
      <c r="K119" s="75" t="str">
        <f t="shared" si="1"/>
        <v>09-2024</v>
      </c>
      <c r="L119" s="10" t="s">
        <v>2599</v>
      </c>
    </row>
    <row r="120" spans="1:12" s="10" customFormat="1" ht="12" hidden="1" x14ac:dyDescent="0.3">
      <c r="A120" s="75">
        <v>2734</v>
      </c>
      <c r="B120" s="75" t="s">
        <v>112</v>
      </c>
      <c r="C120" s="75" t="s">
        <v>1508</v>
      </c>
      <c r="D120" s="75" t="s">
        <v>866</v>
      </c>
      <c r="E120" s="75" t="s">
        <v>1035</v>
      </c>
      <c r="F120" s="75" t="s">
        <v>1509</v>
      </c>
      <c r="G120" s="76">
        <v>45560</v>
      </c>
      <c r="H120" s="75" t="s">
        <v>16</v>
      </c>
      <c r="I120" s="75" t="s">
        <v>54</v>
      </c>
      <c r="J120" s="75" t="s">
        <v>1511</v>
      </c>
      <c r="K120" s="75" t="str">
        <f t="shared" si="1"/>
        <v>09-2024</v>
      </c>
      <c r="L120" s="10" t="s">
        <v>2599</v>
      </c>
    </row>
    <row r="121" spans="1:12" s="10" customFormat="1" ht="12" hidden="1" x14ac:dyDescent="0.3">
      <c r="A121" s="75">
        <v>4937</v>
      </c>
      <c r="B121" s="75" t="s">
        <v>127</v>
      </c>
      <c r="C121" s="75" t="s">
        <v>1508</v>
      </c>
      <c r="D121" s="75" t="s">
        <v>866</v>
      </c>
      <c r="E121" s="75" t="s">
        <v>1036</v>
      </c>
      <c r="F121" s="75" t="s">
        <v>1509</v>
      </c>
      <c r="G121" s="76">
        <v>45560</v>
      </c>
      <c r="H121" s="75" t="s">
        <v>53</v>
      </c>
      <c r="I121" s="75" t="s">
        <v>54</v>
      </c>
      <c r="J121" s="75" t="s">
        <v>1511</v>
      </c>
      <c r="K121" s="75" t="str">
        <f t="shared" si="1"/>
        <v>09-2024</v>
      </c>
      <c r="L121" s="10" t="s">
        <v>2599</v>
      </c>
    </row>
    <row r="122" spans="1:12" s="10" customFormat="1" ht="12" hidden="1" x14ac:dyDescent="0.3">
      <c r="A122" s="75">
        <v>5415</v>
      </c>
      <c r="B122" s="75" t="s">
        <v>789</v>
      </c>
      <c r="C122" s="75" t="s">
        <v>1508</v>
      </c>
      <c r="D122" s="75" t="s">
        <v>866</v>
      </c>
      <c r="E122" s="75" t="s">
        <v>1037</v>
      </c>
      <c r="F122" s="75" t="s">
        <v>1509</v>
      </c>
      <c r="G122" s="76">
        <v>45560</v>
      </c>
      <c r="H122" s="75" t="s">
        <v>53</v>
      </c>
      <c r="I122" s="75" t="s">
        <v>54</v>
      </c>
      <c r="J122" s="75" t="s">
        <v>1511</v>
      </c>
      <c r="K122" s="75" t="str">
        <f t="shared" si="1"/>
        <v>09-2024</v>
      </c>
      <c r="L122" s="10" t="s">
        <v>2599</v>
      </c>
    </row>
    <row r="123" spans="1:12" s="10" customFormat="1" ht="12" hidden="1" x14ac:dyDescent="0.3">
      <c r="A123" s="75">
        <v>2387</v>
      </c>
      <c r="B123" s="75" t="s">
        <v>790</v>
      </c>
      <c r="C123" s="75" t="s">
        <v>1508</v>
      </c>
      <c r="D123" s="75" t="s">
        <v>866</v>
      </c>
      <c r="E123" s="75" t="s">
        <v>1038</v>
      </c>
      <c r="F123" s="79" t="s">
        <v>1509</v>
      </c>
      <c r="G123" s="76">
        <v>45560</v>
      </c>
      <c r="H123" s="75" t="s">
        <v>9</v>
      </c>
      <c r="I123" s="75" t="s">
        <v>54</v>
      </c>
      <c r="J123" s="75" t="s">
        <v>1511</v>
      </c>
      <c r="K123" s="75" t="str">
        <f t="shared" si="1"/>
        <v>09-2024</v>
      </c>
      <c r="L123" s="10" t="s">
        <v>2599</v>
      </c>
    </row>
    <row r="124" spans="1:12" s="10" customFormat="1" ht="12" hidden="1" x14ac:dyDescent="0.3">
      <c r="A124" s="75">
        <v>6572</v>
      </c>
      <c r="B124" s="75" t="s">
        <v>791</v>
      </c>
      <c r="C124" s="75" t="s">
        <v>1508</v>
      </c>
      <c r="D124" s="75" t="s">
        <v>866</v>
      </c>
      <c r="E124" s="75" t="s">
        <v>1039</v>
      </c>
      <c r="F124" s="75" t="s">
        <v>1509</v>
      </c>
      <c r="G124" s="76">
        <v>45560</v>
      </c>
      <c r="H124" s="75" t="s">
        <v>53</v>
      </c>
      <c r="I124" s="75" t="s">
        <v>54</v>
      </c>
      <c r="J124" s="75" t="s">
        <v>1511</v>
      </c>
      <c r="K124" s="75" t="str">
        <f t="shared" si="1"/>
        <v>09-2024</v>
      </c>
      <c r="L124" s="10" t="s">
        <v>2599</v>
      </c>
    </row>
    <row r="125" spans="1:12" s="10" customFormat="1" ht="12" hidden="1" x14ac:dyDescent="0.3">
      <c r="A125" s="75">
        <v>6983</v>
      </c>
      <c r="B125" s="75" t="s">
        <v>792</v>
      </c>
      <c r="C125" s="75" t="s">
        <v>1508</v>
      </c>
      <c r="D125" s="75" t="s">
        <v>866</v>
      </c>
      <c r="E125" s="75" t="s">
        <v>1040</v>
      </c>
      <c r="F125" s="75" t="s">
        <v>1509</v>
      </c>
      <c r="G125" s="76">
        <v>45560</v>
      </c>
      <c r="H125" s="75" t="s">
        <v>35</v>
      </c>
      <c r="I125" s="75" t="s">
        <v>32</v>
      </c>
      <c r="J125" s="75" t="s">
        <v>1511</v>
      </c>
      <c r="K125" s="75" t="str">
        <f t="shared" si="1"/>
        <v>09-2024</v>
      </c>
      <c r="L125" s="10" t="s">
        <v>2599</v>
      </c>
    </row>
    <row r="126" spans="1:12" s="10" customFormat="1" ht="12" hidden="1" x14ac:dyDescent="0.3">
      <c r="A126" s="75">
        <v>7046</v>
      </c>
      <c r="B126" s="75" t="s">
        <v>261</v>
      </c>
      <c r="C126" s="75" t="s">
        <v>1508</v>
      </c>
      <c r="D126" s="75" t="s">
        <v>866</v>
      </c>
      <c r="E126" s="75" t="s">
        <v>1041</v>
      </c>
      <c r="F126" s="79" t="s">
        <v>1509</v>
      </c>
      <c r="G126" s="76">
        <v>45560</v>
      </c>
      <c r="H126" s="75" t="s">
        <v>9</v>
      </c>
      <c r="I126" s="75" t="s">
        <v>10</v>
      </c>
      <c r="J126" s="75" t="s">
        <v>1511</v>
      </c>
      <c r="K126" s="75" t="str">
        <f t="shared" si="1"/>
        <v>09-2024</v>
      </c>
      <c r="L126" s="10" t="s">
        <v>2599</v>
      </c>
    </row>
    <row r="127" spans="1:12" s="10" customFormat="1" ht="12" hidden="1" x14ac:dyDescent="0.3">
      <c r="A127" s="75">
        <v>1458</v>
      </c>
      <c r="B127" s="75" t="s">
        <v>278</v>
      </c>
      <c r="C127" s="75" t="s">
        <v>1508</v>
      </c>
      <c r="D127" s="75" t="s">
        <v>866</v>
      </c>
      <c r="E127" s="75" t="s">
        <v>1042</v>
      </c>
      <c r="F127" s="75" t="s">
        <v>1509</v>
      </c>
      <c r="G127" s="76">
        <v>45560</v>
      </c>
      <c r="H127" s="75" t="s">
        <v>40</v>
      </c>
      <c r="I127" s="75" t="s">
        <v>251</v>
      </c>
      <c r="J127" s="75" t="s">
        <v>1511</v>
      </c>
      <c r="K127" s="75" t="str">
        <f t="shared" si="1"/>
        <v>09-2024</v>
      </c>
      <c r="L127" s="10" t="s">
        <v>2599</v>
      </c>
    </row>
    <row r="128" spans="1:12" s="10" customFormat="1" ht="12" hidden="1" x14ac:dyDescent="0.3">
      <c r="A128" s="75">
        <v>5488</v>
      </c>
      <c r="B128" s="75" t="s">
        <v>793</v>
      </c>
      <c r="C128" s="75" t="s">
        <v>1508</v>
      </c>
      <c r="D128" s="75" t="s">
        <v>866</v>
      </c>
      <c r="E128" s="75" t="s">
        <v>1043</v>
      </c>
      <c r="F128" s="75" t="s">
        <v>1509</v>
      </c>
      <c r="G128" s="76">
        <v>45560</v>
      </c>
      <c r="H128" s="75" t="s">
        <v>53</v>
      </c>
      <c r="I128" s="75" t="s">
        <v>54</v>
      </c>
      <c r="J128" s="75" t="s">
        <v>1511</v>
      </c>
      <c r="K128" s="75" t="str">
        <f t="shared" si="1"/>
        <v>09-2024</v>
      </c>
      <c r="L128" s="10" t="s">
        <v>2599</v>
      </c>
    </row>
    <row r="129" spans="1:12" s="10" customFormat="1" ht="12" hidden="1" x14ac:dyDescent="0.3">
      <c r="A129" s="75">
        <v>7569</v>
      </c>
      <c r="B129" s="75" t="s">
        <v>124</v>
      </c>
      <c r="C129" s="75" t="s">
        <v>1508</v>
      </c>
      <c r="D129" s="75" t="s">
        <v>866</v>
      </c>
      <c r="E129" s="75" t="s">
        <v>1044</v>
      </c>
      <c r="F129" s="75" t="s">
        <v>1509</v>
      </c>
      <c r="G129" s="76">
        <v>45560</v>
      </c>
      <c r="H129" s="75" t="s">
        <v>73</v>
      </c>
      <c r="I129" s="75" t="s">
        <v>74</v>
      </c>
      <c r="J129" s="75" t="s">
        <v>1511</v>
      </c>
      <c r="K129" s="75" t="str">
        <f t="shared" si="1"/>
        <v>09-2024</v>
      </c>
      <c r="L129" s="10" t="s">
        <v>2599</v>
      </c>
    </row>
    <row r="130" spans="1:12" s="10" customFormat="1" ht="12" hidden="1" x14ac:dyDescent="0.3">
      <c r="A130" s="75">
        <v>1518</v>
      </c>
      <c r="B130" s="75" t="s">
        <v>794</v>
      </c>
      <c r="C130" s="75" t="s">
        <v>1508</v>
      </c>
      <c r="D130" s="75" t="s">
        <v>866</v>
      </c>
      <c r="E130" s="75" t="s">
        <v>1045</v>
      </c>
      <c r="F130" s="75" t="s">
        <v>1509</v>
      </c>
      <c r="G130" s="76">
        <v>45560</v>
      </c>
      <c r="H130" s="75" t="s">
        <v>40</v>
      </c>
      <c r="I130" s="75" t="s">
        <v>54</v>
      </c>
      <c r="J130" s="75" t="s">
        <v>1511</v>
      </c>
      <c r="K130" s="75" t="str">
        <f t="shared" si="1"/>
        <v>09-2024</v>
      </c>
      <c r="L130" s="10" t="s">
        <v>2599</v>
      </c>
    </row>
    <row r="131" spans="1:12" s="10" customFormat="1" ht="12" hidden="1" x14ac:dyDescent="0.3">
      <c r="A131" s="75">
        <v>2321</v>
      </c>
      <c r="B131" s="75" t="s">
        <v>795</v>
      </c>
      <c r="C131" s="75" t="s">
        <v>1508</v>
      </c>
      <c r="D131" s="75" t="s">
        <v>866</v>
      </c>
      <c r="E131" s="75" t="s">
        <v>1046</v>
      </c>
      <c r="F131" s="75" t="s">
        <v>1509</v>
      </c>
      <c r="G131" s="76">
        <v>45560</v>
      </c>
      <c r="H131" s="75" t="s">
        <v>16</v>
      </c>
      <c r="I131" s="75" t="s">
        <v>54</v>
      </c>
      <c r="J131" s="75" t="s">
        <v>1511</v>
      </c>
      <c r="K131" s="75" t="str">
        <f t="shared" ref="K131:K194" si="2">TEXT(G131,"mm-yyyy")</f>
        <v>09-2024</v>
      </c>
      <c r="L131" s="10" t="s">
        <v>2599</v>
      </c>
    </row>
    <row r="132" spans="1:12" s="10" customFormat="1" ht="12" hidden="1" x14ac:dyDescent="0.3">
      <c r="A132" s="75">
        <v>6586</v>
      </c>
      <c r="B132" s="75" t="s">
        <v>426</v>
      </c>
      <c r="C132" s="75" t="s">
        <v>1508</v>
      </c>
      <c r="D132" s="75" t="s">
        <v>866</v>
      </c>
      <c r="E132" s="75" t="s">
        <v>1047</v>
      </c>
      <c r="F132" s="79" t="s">
        <v>1509</v>
      </c>
      <c r="G132" s="76">
        <v>45560</v>
      </c>
      <c r="H132" s="75" t="s">
        <v>9</v>
      </c>
      <c r="I132" s="75" t="s">
        <v>10</v>
      </c>
      <c r="J132" s="75" t="s">
        <v>1511</v>
      </c>
      <c r="K132" s="75" t="str">
        <f t="shared" si="2"/>
        <v>09-2024</v>
      </c>
      <c r="L132" s="10" t="s">
        <v>2599</v>
      </c>
    </row>
    <row r="133" spans="1:12" s="10" customFormat="1" ht="12" hidden="1" x14ac:dyDescent="0.3">
      <c r="A133" s="75">
        <v>2244</v>
      </c>
      <c r="B133" s="75" t="s">
        <v>416</v>
      </c>
      <c r="C133" s="75" t="s">
        <v>1508</v>
      </c>
      <c r="D133" s="75" t="s">
        <v>866</v>
      </c>
      <c r="E133" s="75" t="s">
        <v>1048</v>
      </c>
      <c r="F133" s="75" t="s">
        <v>1509</v>
      </c>
      <c r="G133" s="76">
        <v>45560</v>
      </c>
      <c r="H133" s="75" t="s">
        <v>53</v>
      </c>
      <c r="I133" s="75" t="s">
        <v>54</v>
      </c>
      <c r="J133" s="75" t="s">
        <v>1511</v>
      </c>
      <c r="K133" s="75" t="str">
        <f t="shared" si="2"/>
        <v>09-2024</v>
      </c>
      <c r="L133" s="10" t="s">
        <v>2599</v>
      </c>
    </row>
    <row r="134" spans="1:12" s="10" customFormat="1" ht="12" hidden="1" x14ac:dyDescent="0.3">
      <c r="A134" s="75">
        <v>1313</v>
      </c>
      <c r="B134" s="75" t="s">
        <v>61</v>
      </c>
      <c r="C134" s="75" t="s">
        <v>1508</v>
      </c>
      <c r="D134" s="75" t="s">
        <v>866</v>
      </c>
      <c r="E134" s="75" t="s">
        <v>220</v>
      </c>
      <c r="F134" s="75" t="s">
        <v>1509</v>
      </c>
      <c r="G134" s="76">
        <v>45560</v>
      </c>
      <c r="H134" s="75" t="s">
        <v>53</v>
      </c>
      <c r="I134" s="75" t="s">
        <v>54</v>
      </c>
      <c r="J134" s="75" t="s">
        <v>1511</v>
      </c>
      <c r="K134" s="75" t="str">
        <f t="shared" si="2"/>
        <v>09-2024</v>
      </c>
      <c r="L134" s="10" t="s">
        <v>2599</v>
      </c>
    </row>
    <row r="135" spans="1:12" s="10" customFormat="1" ht="12" hidden="1" x14ac:dyDescent="0.3">
      <c r="A135" s="75">
        <v>4791</v>
      </c>
      <c r="B135" s="75" t="s">
        <v>796</v>
      </c>
      <c r="C135" s="75" t="s">
        <v>1508</v>
      </c>
      <c r="D135" s="75" t="s">
        <v>866</v>
      </c>
      <c r="E135" s="75" t="s">
        <v>1049</v>
      </c>
      <c r="F135" s="75" t="s">
        <v>1509</v>
      </c>
      <c r="G135" s="76">
        <v>45560</v>
      </c>
      <c r="H135" s="75" t="s">
        <v>53</v>
      </c>
      <c r="I135" s="75" t="s">
        <v>54</v>
      </c>
      <c r="J135" s="75" t="s">
        <v>1511</v>
      </c>
      <c r="K135" s="75" t="str">
        <f t="shared" si="2"/>
        <v>09-2024</v>
      </c>
      <c r="L135" s="10" t="s">
        <v>2599</v>
      </c>
    </row>
    <row r="136" spans="1:12" s="10" customFormat="1" ht="12" hidden="1" x14ac:dyDescent="0.3">
      <c r="A136" s="75">
        <v>1308</v>
      </c>
      <c r="B136" s="75" t="s">
        <v>797</v>
      </c>
      <c r="C136" s="75" t="s">
        <v>1508</v>
      </c>
      <c r="D136" s="75" t="s">
        <v>866</v>
      </c>
      <c r="E136" s="75" t="s">
        <v>1050</v>
      </c>
      <c r="F136" s="75" t="s">
        <v>1509</v>
      </c>
      <c r="G136" s="76">
        <v>45560</v>
      </c>
      <c r="H136" s="75" t="s">
        <v>24</v>
      </c>
      <c r="I136" s="75" t="s">
        <v>54</v>
      </c>
      <c r="J136" s="75" t="s">
        <v>1511</v>
      </c>
      <c r="K136" s="75" t="str">
        <f t="shared" si="2"/>
        <v>09-2024</v>
      </c>
      <c r="L136" s="10" t="s">
        <v>2599</v>
      </c>
    </row>
    <row r="137" spans="1:12" s="10" customFormat="1" ht="12" hidden="1" x14ac:dyDescent="0.3">
      <c r="A137" s="75">
        <v>7667</v>
      </c>
      <c r="B137" s="75" t="s">
        <v>57</v>
      </c>
      <c r="C137" s="75" t="s">
        <v>1508</v>
      </c>
      <c r="D137" s="75" t="s">
        <v>866</v>
      </c>
      <c r="E137" s="75" t="s">
        <v>1051</v>
      </c>
      <c r="F137" s="75" t="s">
        <v>1509</v>
      </c>
      <c r="G137" s="76">
        <v>45560</v>
      </c>
      <c r="H137" s="75" t="s">
        <v>16</v>
      </c>
      <c r="I137" s="75" t="s">
        <v>54</v>
      </c>
      <c r="J137" s="75" t="s">
        <v>1511</v>
      </c>
      <c r="K137" s="75" t="str">
        <f t="shared" si="2"/>
        <v>09-2024</v>
      </c>
      <c r="L137" s="10" t="s">
        <v>2599</v>
      </c>
    </row>
    <row r="138" spans="1:12" s="10" customFormat="1" ht="12" hidden="1" x14ac:dyDescent="0.3">
      <c r="A138" s="75">
        <v>7238</v>
      </c>
      <c r="B138" s="75" t="s">
        <v>798</v>
      </c>
      <c r="C138" s="75" t="s">
        <v>1508</v>
      </c>
      <c r="D138" s="75" t="s">
        <v>866</v>
      </c>
      <c r="E138" s="75" t="s">
        <v>1052</v>
      </c>
      <c r="F138" s="75" t="s">
        <v>1509</v>
      </c>
      <c r="G138" s="76">
        <v>45560</v>
      </c>
      <c r="H138" s="75" t="s">
        <v>168</v>
      </c>
      <c r="I138" s="75" t="s">
        <v>10</v>
      </c>
      <c r="J138" s="75" t="s">
        <v>1511</v>
      </c>
      <c r="K138" s="75" t="str">
        <f t="shared" si="2"/>
        <v>09-2024</v>
      </c>
      <c r="L138" s="10" t="s">
        <v>2599</v>
      </c>
    </row>
    <row r="139" spans="1:12" s="10" customFormat="1" ht="12" hidden="1" x14ac:dyDescent="0.3">
      <c r="A139" s="75">
        <v>5958</v>
      </c>
      <c r="B139" s="75" t="s">
        <v>799</v>
      </c>
      <c r="C139" s="75" t="s">
        <v>1508</v>
      </c>
      <c r="D139" s="75" t="s">
        <v>866</v>
      </c>
      <c r="E139" s="75" t="s">
        <v>1053</v>
      </c>
      <c r="F139" s="75" t="s">
        <v>1509</v>
      </c>
      <c r="G139" s="76">
        <v>45560</v>
      </c>
      <c r="H139" s="75" t="s">
        <v>53</v>
      </c>
      <c r="I139" s="75" t="s">
        <v>54</v>
      </c>
      <c r="J139" s="75" t="s">
        <v>1511</v>
      </c>
      <c r="K139" s="75" t="str">
        <f t="shared" si="2"/>
        <v>09-2024</v>
      </c>
      <c r="L139" s="10" t="s">
        <v>2599</v>
      </c>
    </row>
    <row r="140" spans="1:12" s="10" customFormat="1" ht="12" hidden="1" x14ac:dyDescent="0.3">
      <c r="A140" s="75">
        <v>7567</v>
      </c>
      <c r="B140" s="75" t="s">
        <v>411</v>
      </c>
      <c r="C140" s="75" t="s">
        <v>1508</v>
      </c>
      <c r="D140" s="75" t="s">
        <v>866</v>
      </c>
      <c r="E140" s="75" t="s">
        <v>1054</v>
      </c>
      <c r="F140" s="79" t="s">
        <v>1509</v>
      </c>
      <c r="G140" s="76">
        <v>45560</v>
      </c>
      <c r="H140" s="75" t="s">
        <v>9</v>
      </c>
      <c r="I140" s="75" t="s">
        <v>10</v>
      </c>
      <c r="J140" s="75" t="s">
        <v>1511</v>
      </c>
      <c r="K140" s="75" t="str">
        <f t="shared" si="2"/>
        <v>09-2024</v>
      </c>
      <c r="L140" s="10" t="s">
        <v>2599</v>
      </c>
    </row>
    <row r="141" spans="1:12" s="10" customFormat="1" ht="12" hidden="1" x14ac:dyDescent="0.3">
      <c r="A141" s="75">
        <v>7197</v>
      </c>
      <c r="B141" s="75" t="s">
        <v>800</v>
      </c>
      <c r="C141" s="75" t="s">
        <v>1508</v>
      </c>
      <c r="D141" s="75" t="s">
        <v>866</v>
      </c>
      <c r="E141" s="75" t="s">
        <v>1055</v>
      </c>
      <c r="F141" s="75" t="s">
        <v>1509</v>
      </c>
      <c r="G141" s="76">
        <v>45560</v>
      </c>
      <c r="H141" s="75" t="s">
        <v>24</v>
      </c>
      <c r="I141" s="75" t="s">
        <v>10</v>
      </c>
      <c r="J141" s="75" t="s">
        <v>1511</v>
      </c>
      <c r="K141" s="75" t="str">
        <f t="shared" si="2"/>
        <v>09-2024</v>
      </c>
      <c r="L141" s="10" t="s">
        <v>2599</v>
      </c>
    </row>
    <row r="142" spans="1:12" s="10" customFormat="1" ht="12" hidden="1" x14ac:dyDescent="0.3">
      <c r="A142" s="75">
        <v>2397</v>
      </c>
      <c r="B142" s="75" t="s">
        <v>801</v>
      </c>
      <c r="C142" s="75" t="s">
        <v>1508</v>
      </c>
      <c r="D142" s="75" t="s">
        <v>866</v>
      </c>
      <c r="E142" s="75" t="s">
        <v>1056</v>
      </c>
      <c r="F142" s="75" t="s">
        <v>1509</v>
      </c>
      <c r="G142" s="76">
        <v>45560</v>
      </c>
      <c r="H142" s="75" t="s">
        <v>16</v>
      </c>
      <c r="I142" s="75" t="s">
        <v>54</v>
      </c>
      <c r="J142" s="75" t="s">
        <v>1511</v>
      </c>
      <c r="K142" s="75" t="str">
        <f t="shared" si="2"/>
        <v>09-2024</v>
      </c>
      <c r="L142" s="10" t="s">
        <v>2599</v>
      </c>
    </row>
    <row r="143" spans="1:12" s="10" customFormat="1" ht="12" hidden="1" x14ac:dyDescent="0.3">
      <c r="A143" s="75">
        <v>5444</v>
      </c>
      <c r="B143" s="75" t="s">
        <v>802</v>
      </c>
      <c r="C143" s="75" t="s">
        <v>1508</v>
      </c>
      <c r="D143" s="75" t="s">
        <v>866</v>
      </c>
      <c r="E143" s="75" t="s">
        <v>1033</v>
      </c>
      <c r="F143" s="75" t="s">
        <v>1509</v>
      </c>
      <c r="G143" s="76">
        <v>45560</v>
      </c>
      <c r="H143" s="75" t="s">
        <v>40</v>
      </c>
      <c r="I143" s="75" t="s">
        <v>74</v>
      </c>
      <c r="J143" s="75" t="s">
        <v>1511</v>
      </c>
      <c r="K143" s="75" t="str">
        <f t="shared" si="2"/>
        <v>09-2024</v>
      </c>
      <c r="L143" s="10" t="s">
        <v>2599</v>
      </c>
    </row>
    <row r="144" spans="1:12" s="10" customFormat="1" ht="12" hidden="1" x14ac:dyDescent="0.3">
      <c r="A144" s="75">
        <v>7721</v>
      </c>
      <c r="B144" s="75" t="s">
        <v>803</v>
      </c>
      <c r="C144" s="75" t="s">
        <v>1508</v>
      </c>
      <c r="D144" s="75" t="s">
        <v>866</v>
      </c>
      <c r="E144" s="75" t="s">
        <v>1033</v>
      </c>
      <c r="F144" s="75" t="s">
        <v>1509</v>
      </c>
      <c r="G144" s="76">
        <v>45560</v>
      </c>
      <c r="H144" s="75" t="s">
        <v>40</v>
      </c>
      <c r="I144" s="75" t="s">
        <v>74</v>
      </c>
      <c r="J144" s="75" t="s">
        <v>1511</v>
      </c>
      <c r="K144" s="75" t="str">
        <f t="shared" si="2"/>
        <v>09-2024</v>
      </c>
      <c r="L144" s="10" t="s">
        <v>2599</v>
      </c>
    </row>
    <row r="145" spans="1:12" s="10" customFormat="1" ht="12" hidden="1" x14ac:dyDescent="0.3">
      <c r="A145" s="75">
        <v>4539</v>
      </c>
      <c r="B145" s="75" t="s">
        <v>804</v>
      </c>
      <c r="C145" s="75" t="s">
        <v>1508</v>
      </c>
      <c r="D145" s="75" t="s">
        <v>866</v>
      </c>
      <c r="E145" s="75" t="s">
        <v>1057</v>
      </c>
      <c r="F145" s="75" t="s">
        <v>1509</v>
      </c>
      <c r="G145" s="76">
        <v>45560</v>
      </c>
      <c r="H145" s="75" t="s">
        <v>53</v>
      </c>
      <c r="I145" s="75" t="s">
        <v>54</v>
      </c>
      <c r="J145" s="75" t="s">
        <v>1511</v>
      </c>
      <c r="K145" s="75" t="str">
        <f t="shared" si="2"/>
        <v>09-2024</v>
      </c>
      <c r="L145" s="10" t="s">
        <v>2599</v>
      </c>
    </row>
    <row r="146" spans="1:12" s="10" customFormat="1" ht="12" hidden="1" x14ac:dyDescent="0.3">
      <c r="A146" s="75">
        <v>1907</v>
      </c>
      <c r="B146" s="75" t="s">
        <v>267</v>
      </c>
      <c r="C146" s="75" t="s">
        <v>1508</v>
      </c>
      <c r="D146" s="75" t="s">
        <v>866</v>
      </c>
      <c r="E146" s="75" t="s">
        <v>219</v>
      </c>
      <c r="F146" s="75" t="s">
        <v>1509</v>
      </c>
      <c r="G146" s="76">
        <v>45560</v>
      </c>
      <c r="H146" s="75" t="s">
        <v>24</v>
      </c>
      <c r="I146" s="75" t="s">
        <v>32</v>
      </c>
      <c r="J146" s="75" t="s">
        <v>1511</v>
      </c>
      <c r="K146" s="75" t="str">
        <f t="shared" si="2"/>
        <v>09-2024</v>
      </c>
      <c r="L146" s="10" t="s">
        <v>2599</v>
      </c>
    </row>
    <row r="147" spans="1:12" s="10" customFormat="1" ht="12" hidden="1" x14ac:dyDescent="0.3">
      <c r="A147" s="75">
        <v>7258</v>
      </c>
      <c r="B147" s="75" t="s">
        <v>805</v>
      </c>
      <c r="C147" s="75" t="s">
        <v>1508</v>
      </c>
      <c r="D147" s="75" t="s">
        <v>866</v>
      </c>
      <c r="E147" s="75" t="s">
        <v>1058</v>
      </c>
      <c r="F147" s="75" t="s">
        <v>1509</v>
      </c>
      <c r="G147" s="76">
        <v>45560</v>
      </c>
      <c r="H147" s="75" t="s">
        <v>16</v>
      </c>
      <c r="I147" s="75" t="s">
        <v>54</v>
      </c>
      <c r="J147" s="75" t="s">
        <v>1511</v>
      </c>
      <c r="K147" s="75" t="str">
        <f t="shared" si="2"/>
        <v>09-2024</v>
      </c>
      <c r="L147" s="10" t="s">
        <v>2599</v>
      </c>
    </row>
    <row r="148" spans="1:12" s="10" customFormat="1" ht="12" hidden="1" x14ac:dyDescent="0.3">
      <c r="A148" s="75">
        <v>4138</v>
      </c>
      <c r="B148" s="75" t="s">
        <v>806</v>
      </c>
      <c r="C148" s="75" t="s">
        <v>1508</v>
      </c>
      <c r="D148" s="75" t="s">
        <v>866</v>
      </c>
      <c r="E148" s="75" t="s">
        <v>1059</v>
      </c>
      <c r="F148" s="75" t="s">
        <v>1509</v>
      </c>
      <c r="G148" s="76">
        <v>45560</v>
      </c>
      <c r="H148" s="75" t="s">
        <v>53</v>
      </c>
      <c r="I148" s="75" t="s">
        <v>54</v>
      </c>
      <c r="J148" s="75" t="s">
        <v>1511</v>
      </c>
      <c r="K148" s="75" t="str">
        <f t="shared" si="2"/>
        <v>09-2024</v>
      </c>
      <c r="L148" s="10" t="s">
        <v>2599</v>
      </c>
    </row>
    <row r="149" spans="1:12" s="10" customFormat="1" ht="12" hidden="1" x14ac:dyDescent="0.3">
      <c r="A149" s="75">
        <v>5387</v>
      </c>
      <c r="B149" s="75" t="s">
        <v>807</v>
      </c>
      <c r="C149" s="75" t="s">
        <v>1508</v>
      </c>
      <c r="D149" s="75" t="s">
        <v>866</v>
      </c>
      <c r="E149" s="75" t="s">
        <v>1060</v>
      </c>
      <c r="F149" s="75" t="s">
        <v>1509</v>
      </c>
      <c r="G149" s="76">
        <v>45560</v>
      </c>
      <c r="H149" s="75" t="s">
        <v>73</v>
      </c>
      <c r="I149" s="75" t="s">
        <v>54</v>
      </c>
      <c r="J149" s="75" t="s">
        <v>1511</v>
      </c>
      <c r="K149" s="75" t="str">
        <f t="shared" si="2"/>
        <v>09-2024</v>
      </c>
      <c r="L149" s="10" t="s">
        <v>2599</v>
      </c>
    </row>
    <row r="150" spans="1:12" s="10" customFormat="1" ht="12" hidden="1" x14ac:dyDescent="0.3">
      <c r="A150" s="75">
        <v>1423</v>
      </c>
      <c r="B150" s="75" t="s">
        <v>808</v>
      </c>
      <c r="C150" s="75" t="s">
        <v>1508</v>
      </c>
      <c r="D150" s="75" t="s">
        <v>866</v>
      </c>
      <c r="E150" s="75" t="s">
        <v>1061</v>
      </c>
      <c r="F150" s="75" t="s">
        <v>1509</v>
      </c>
      <c r="G150" s="76">
        <v>45560</v>
      </c>
      <c r="H150" s="75" t="s">
        <v>24</v>
      </c>
      <c r="I150" s="75" t="s">
        <v>32</v>
      </c>
      <c r="J150" s="75" t="s">
        <v>1511</v>
      </c>
      <c r="K150" s="75" t="str">
        <f t="shared" si="2"/>
        <v>09-2024</v>
      </c>
      <c r="L150" s="10" t="s">
        <v>2599</v>
      </c>
    </row>
    <row r="151" spans="1:12" s="10" customFormat="1" ht="12" hidden="1" x14ac:dyDescent="0.3">
      <c r="A151" s="75">
        <v>6319</v>
      </c>
      <c r="B151" s="75" t="s">
        <v>809</v>
      </c>
      <c r="C151" s="75" t="s">
        <v>1508</v>
      </c>
      <c r="D151" s="75" t="s">
        <v>866</v>
      </c>
      <c r="E151" s="75" t="s">
        <v>1062</v>
      </c>
      <c r="F151" s="75" t="s">
        <v>1509</v>
      </c>
      <c r="G151" s="76">
        <v>45560</v>
      </c>
      <c r="H151" s="75" t="s">
        <v>40</v>
      </c>
      <c r="I151" s="75" t="s">
        <v>32</v>
      </c>
      <c r="J151" s="75" t="s">
        <v>1511</v>
      </c>
      <c r="K151" s="75" t="str">
        <f t="shared" si="2"/>
        <v>09-2024</v>
      </c>
      <c r="L151" s="10" t="s">
        <v>2599</v>
      </c>
    </row>
    <row r="152" spans="1:12" s="10" customFormat="1" ht="12" hidden="1" x14ac:dyDescent="0.3">
      <c r="A152" s="75">
        <v>7771</v>
      </c>
      <c r="B152" s="75" t="s">
        <v>810</v>
      </c>
      <c r="C152" s="75" t="s">
        <v>1508</v>
      </c>
      <c r="D152" s="75" t="s">
        <v>866</v>
      </c>
      <c r="E152" s="75" t="s">
        <v>1063</v>
      </c>
      <c r="F152" s="75" t="s">
        <v>1509</v>
      </c>
      <c r="G152" s="76">
        <v>45560</v>
      </c>
      <c r="H152" s="75" t="s">
        <v>16</v>
      </c>
      <c r="I152" s="75" t="s">
        <v>54</v>
      </c>
      <c r="J152" s="75" t="s">
        <v>1511</v>
      </c>
      <c r="K152" s="75" t="str">
        <f t="shared" si="2"/>
        <v>09-2024</v>
      </c>
      <c r="L152" s="10" t="s">
        <v>2599</v>
      </c>
    </row>
    <row r="153" spans="1:12" s="10" customFormat="1" ht="12" hidden="1" x14ac:dyDescent="0.3">
      <c r="A153" s="75">
        <v>7584</v>
      </c>
      <c r="B153" s="75" t="s">
        <v>266</v>
      </c>
      <c r="C153" s="75" t="s">
        <v>1508</v>
      </c>
      <c r="D153" s="75" t="s">
        <v>866</v>
      </c>
      <c r="E153" s="75" t="s">
        <v>218</v>
      </c>
      <c r="F153" s="79" t="s">
        <v>1509</v>
      </c>
      <c r="G153" s="76">
        <v>45560</v>
      </c>
      <c r="H153" s="75" t="s">
        <v>9</v>
      </c>
      <c r="I153" s="75" t="s">
        <v>10</v>
      </c>
      <c r="J153" s="75" t="s">
        <v>1511</v>
      </c>
      <c r="K153" s="75" t="str">
        <f t="shared" si="2"/>
        <v>09-2024</v>
      </c>
      <c r="L153" s="10" t="s">
        <v>2599</v>
      </c>
    </row>
    <row r="154" spans="1:12" s="10" customFormat="1" ht="12" hidden="1" x14ac:dyDescent="0.3">
      <c r="A154" s="75">
        <v>2214</v>
      </c>
      <c r="B154" s="75" t="s">
        <v>811</v>
      </c>
      <c r="C154" s="75" t="s">
        <v>1508</v>
      </c>
      <c r="D154" s="75" t="s">
        <v>866</v>
      </c>
      <c r="E154" s="75" t="s">
        <v>1064</v>
      </c>
      <c r="F154" s="75" t="s">
        <v>1509</v>
      </c>
      <c r="G154" s="76">
        <v>45560</v>
      </c>
      <c r="H154" s="75" t="s">
        <v>53</v>
      </c>
      <c r="I154" s="75" t="s">
        <v>54</v>
      </c>
      <c r="J154" s="75" t="s">
        <v>1511</v>
      </c>
      <c r="K154" s="75" t="str">
        <f t="shared" si="2"/>
        <v>09-2024</v>
      </c>
      <c r="L154" s="10" t="s">
        <v>2599</v>
      </c>
    </row>
    <row r="155" spans="1:12" s="10" customFormat="1" ht="12" hidden="1" x14ac:dyDescent="0.3">
      <c r="A155" s="75">
        <v>2056</v>
      </c>
      <c r="B155" s="75" t="s">
        <v>747</v>
      </c>
      <c r="C155" s="75">
        <v>1938</v>
      </c>
      <c r="D155" s="75" t="s">
        <v>880</v>
      </c>
      <c r="E155" s="75" t="s">
        <v>1065</v>
      </c>
      <c r="F155" s="75" t="s">
        <v>1510</v>
      </c>
      <c r="G155" s="76">
        <v>45559</v>
      </c>
      <c r="H155" s="75" t="s">
        <v>35</v>
      </c>
      <c r="I155" s="75" t="s">
        <v>32</v>
      </c>
      <c r="J155" s="75" t="s">
        <v>1512</v>
      </c>
      <c r="K155" s="75" t="str">
        <f t="shared" si="2"/>
        <v>09-2024</v>
      </c>
      <c r="L155" s="10" t="s">
        <v>2599</v>
      </c>
    </row>
    <row r="156" spans="1:12" s="10" customFormat="1" ht="12" hidden="1" x14ac:dyDescent="0.3">
      <c r="A156" s="75">
        <v>4935</v>
      </c>
      <c r="B156" s="75" t="s">
        <v>753</v>
      </c>
      <c r="C156" s="75">
        <v>1938</v>
      </c>
      <c r="D156" s="75" t="s">
        <v>880</v>
      </c>
      <c r="E156" s="75" t="s">
        <v>1066</v>
      </c>
      <c r="F156" s="75" t="s">
        <v>1510</v>
      </c>
      <c r="G156" s="76">
        <v>45559</v>
      </c>
      <c r="H156" s="75" t="s">
        <v>35</v>
      </c>
      <c r="I156" s="75" t="s">
        <v>54</v>
      </c>
      <c r="J156" s="75" t="s">
        <v>1512</v>
      </c>
      <c r="K156" s="75" t="str">
        <f t="shared" si="2"/>
        <v>09-2024</v>
      </c>
      <c r="L156" s="10" t="s">
        <v>2599</v>
      </c>
    </row>
    <row r="157" spans="1:12" s="10" customFormat="1" ht="12" hidden="1" x14ac:dyDescent="0.3">
      <c r="A157" s="75">
        <v>7247</v>
      </c>
      <c r="B157" s="75" t="s">
        <v>752</v>
      </c>
      <c r="C157" s="75">
        <v>7687</v>
      </c>
      <c r="D157" s="75" t="s">
        <v>881</v>
      </c>
      <c r="E157" s="75" t="s">
        <v>1067</v>
      </c>
      <c r="F157" s="75" t="s">
        <v>1510</v>
      </c>
      <c r="G157" s="76">
        <v>45557</v>
      </c>
      <c r="H157" s="75" t="s">
        <v>168</v>
      </c>
      <c r="I157" s="75" t="s">
        <v>10</v>
      </c>
      <c r="J157" s="75" t="s">
        <v>1512</v>
      </c>
      <c r="K157" s="75" t="str">
        <f t="shared" si="2"/>
        <v>09-2024</v>
      </c>
      <c r="L157" s="10" t="s">
        <v>2599</v>
      </c>
    </row>
    <row r="158" spans="1:12" s="10" customFormat="1" ht="12" hidden="1" x14ac:dyDescent="0.3">
      <c r="A158" s="75">
        <v>17</v>
      </c>
      <c r="B158" s="75" t="s">
        <v>751</v>
      </c>
      <c r="C158" s="75">
        <v>3883</v>
      </c>
      <c r="D158" s="75" t="s">
        <v>847</v>
      </c>
      <c r="E158" s="75" t="s">
        <v>1068</v>
      </c>
      <c r="F158" s="75" t="s">
        <v>1510</v>
      </c>
      <c r="G158" s="76">
        <v>45554</v>
      </c>
      <c r="H158" s="75" t="s">
        <v>73</v>
      </c>
      <c r="I158" s="75" t="s">
        <v>10</v>
      </c>
      <c r="J158" s="75" t="s">
        <v>1512</v>
      </c>
      <c r="K158" s="75" t="str">
        <f t="shared" si="2"/>
        <v>09-2024</v>
      </c>
      <c r="L158" s="10" t="s">
        <v>2599</v>
      </c>
    </row>
    <row r="159" spans="1:12" s="10" customFormat="1" ht="12" hidden="1" x14ac:dyDescent="0.3">
      <c r="A159" s="75">
        <v>6541</v>
      </c>
      <c r="B159" s="75" t="s">
        <v>439</v>
      </c>
      <c r="C159" s="75">
        <v>5271</v>
      </c>
      <c r="D159" s="75" t="s">
        <v>855</v>
      </c>
      <c r="E159" s="75" t="s">
        <v>1069</v>
      </c>
      <c r="F159" s="75" t="s">
        <v>1510</v>
      </c>
      <c r="G159" s="76">
        <v>45547</v>
      </c>
      <c r="H159" s="75" t="s">
        <v>53</v>
      </c>
      <c r="I159" s="75" t="s">
        <v>54</v>
      </c>
      <c r="J159" s="75" t="s">
        <v>1512</v>
      </c>
      <c r="K159" s="75" t="str">
        <f t="shared" si="2"/>
        <v>09-2024</v>
      </c>
      <c r="L159" s="10" t="s">
        <v>2599</v>
      </c>
    </row>
    <row r="160" spans="1:12" s="10" customFormat="1" ht="12" hidden="1" x14ac:dyDescent="0.3">
      <c r="A160" s="75">
        <v>7080</v>
      </c>
      <c r="B160" s="75" t="s">
        <v>763</v>
      </c>
      <c r="C160" s="75">
        <v>7460</v>
      </c>
      <c r="D160" s="75" t="s">
        <v>882</v>
      </c>
      <c r="E160" s="75" t="s">
        <v>1070</v>
      </c>
      <c r="F160" s="75" t="s">
        <v>1510</v>
      </c>
      <c r="G160" s="76">
        <v>45547</v>
      </c>
      <c r="H160" s="75" t="s">
        <v>16</v>
      </c>
      <c r="I160" s="75" t="s">
        <v>54</v>
      </c>
      <c r="J160" s="75" t="s">
        <v>1512</v>
      </c>
      <c r="K160" s="75" t="str">
        <f t="shared" si="2"/>
        <v>09-2024</v>
      </c>
      <c r="L160" s="10" t="s">
        <v>2599</v>
      </c>
    </row>
    <row r="161" spans="1:12" s="10" customFormat="1" ht="12" hidden="1" x14ac:dyDescent="0.3">
      <c r="A161" s="75">
        <v>5679</v>
      </c>
      <c r="B161" s="75" t="s">
        <v>812</v>
      </c>
      <c r="C161" s="75">
        <v>5378</v>
      </c>
      <c r="D161" s="75" t="s">
        <v>883</v>
      </c>
      <c r="E161" s="75" t="s">
        <v>1071</v>
      </c>
      <c r="F161" s="75" t="s">
        <v>1510</v>
      </c>
      <c r="G161" s="76">
        <v>45546</v>
      </c>
      <c r="H161" s="75" t="s">
        <v>53</v>
      </c>
      <c r="I161" s="75" t="s">
        <v>54</v>
      </c>
      <c r="J161" s="75" t="s">
        <v>1512</v>
      </c>
      <c r="K161" s="75" t="str">
        <f t="shared" si="2"/>
        <v>09-2024</v>
      </c>
      <c r="L161" s="10" t="s">
        <v>2599</v>
      </c>
    </row>
    <row r="162" spans="1:12" s="10" customFormat="1" ht="12" hidden="1" x14ac:dyDescent="0.3">
      <c r="A162" s="75">
        <v>7609</v>
      </c>
      <c r="B162" s="75" t="s">
        <v>761</v>
      </c>
      <c r="C162" s="75">
        <v>5378</v>
      </c>
      <c r="D162" s="75" t="s">
        <v>883</v>
      </c>
      <c r="E162" s="75" t="s">
        <v>1072</v>
      </c>
      <c r="F162" s="75" t="s">
        <v>1510</v>
      </c>
      <c r="G162" s="76">
        <v>45546</v>
      </c>
      <c r="H162" s="75" t="s">
        <v>40</v>
      </c>
      <c r="I162" s="75" t="s">
        <v>32</v>
      </c>
      <c r="J162" s="75" t="s">
        <v>1512</v>
      </c>
      <c r="K162" s="75" t="str">
        <f t="shared" si="2"/>
        <v>09-2024</v>
      </c>
      <c r="L162" s="10" t="s">
        <v>2599</v>
      </c>
    </row>
    <row r="163" spans="1:12" s="10" customFormat="1" ht="12" hidden="1" x14ac:dyDescent="0.3">
      <c r="A163" s="75">
        <v>5976</v>
      </c>
      <c r="B163" s="75" t="s">
        <v>750</v>
      </c>
      <c r="C163" s="75">
        <v>5378</v>
      </c>
      <c r="D163" s="75" t="s">
        <v>883</v>
      </c>
      <c r="E163" s="75" t="s">
        <v>1073</v>
      </c>
      <c r="F163" s="75" t="s">
        <v>1510</v>
      </c>
      <c r="G163" s="76">
        <v>45546</v>
      </c>
      <c r="H163" s="75" t="s">
        <v>40</v>
      </c>
      <c r="I163" s="75" t="s">
        <v>32</v>
      </c>
      <c r="J163" s="75" t="s">
        <v>1512</v>
      </c>
      <c r="K163" s="75" t="str">
        <f t="shared" si="2"/>
        <v>09-2024</v>
      </c>
      <c r="L163" s="10" t="s">
        <v>2599</v>
      </c>
    </row>
    <row r="164" spans="1:12" s="10" customFormat="1" ht="12" hidden="1" x14ac:dyDescent="0.3">
      <c r="A164" s="75">
        <v>6516</v>
      </c>
      <c r="B164" s="75" t="s">
        <v>762</v>
      </c>
      <c r="C164" s="75">
        <v>5378</v>
      </c>
      <c r="D164" s="75" t="s">
        <v>883</v>
      </c>
      <c r="E164" s="75" t="s">
        <v>1073</v>
      </c>
      <c r="F164" s="75" t="s">
        <v>1510</v>
      </c>
      <c r="G164" s="76">
        <v>45546</v>
      </c>
      <c r="H164" s="75" t="s">
        <v>40</v>
      </c>
      <c r="I164" s="75" t="s">
        <v>32</v>
      </c>
      <c r="J164" s="75" t="s">
        <v>1512</v>
      </c>
      <c r="K164" s="75" t="str">
        <f t="shared" si="2"/>
        <v>09-2024</v>
      </c>
      <c r="L164" s="10" t="s">
        <v>2599</v>
      </c>
    </row>
    <row r="165" spans="1:12" s="10" customFormat="1" ht="12" hidden="1" x14ac:dyDescent="0.3">
      <c r="A165" s="75">
        <v>5387</v>
      </c>
      <c r="B165" s="75" t="s">
        <v>807</v>
      </c>
      <c r="C165" s="75">
        <v>4004</v>
      </c>
      <c r="D165" s="75" t="s">
        <v>172</v>
      </c>
      <c r="E165" s="75" t="s">
        <v>1074</v>
      </c>
      <c r="F165" s="75" t="s">
        <v>1510</v>
      </c>
      <c r="G165" s="76">
        <v>45546</v>
      </c>
      <c r="H165" s="75" t="s">
        <v>73</v>
      </c>
      <c r="I165" s="75" t="s">
        <v>54</v>
      </c>
      <c r="J165" s="75" t="s">
        <v>1512</v>
      </c>
      <c r="K165" s="75" t="str">
        <f t="shared" si="2"/>
        <v>09-2024</v>
      </c>
      <c r="L165" s="10" t="s">
        <v>2599</v>
      </c>
    </row>
    <row r="166" spans="1:12" s="10" customFormat="1" ht="12" hidden="1" x14ac:dyDescent="0.3">
      <c r="A166" s="75">
        <v>7470</v>
      </c>
      <c r="B166" s="75" t="s">
        <v>276</v>
      </c>
      <c r="C166" s="75">
        <v>7254</v>
      </c>
      <c r="D166" s="75" t="s">
        <v>287</v>
      </c>
      <c r="E166" s="75" t="s">
        <v>1075</v>
      </c>
      <c r="F166" s="75" t="s">
        <v>1510</v>
      </c>
      <c r="G166" s="76">
        <v>45546</v>
      </c>
      <c r="H166" s="75" t="s">
        <v>35</v>
      </c>
      <c r="I166" s="75" t="s">
        <v>32</v>
      </c>
      <c r="J166" s="75" t="s">
        <v>1512</v>
      </c>
      <c r="K166" s="75" t="str">
        <f t="shared" si="2"/>
        <v>09-2024</v>
      </c>
      <c r="L166" s="10" t="s">
        <v>2599</v>
      </c>
    </row>
    <row r="167" spans="1:12" s="10" customFormat="1" ht="12" hidden="1" x14ac:dyDescent="0.3">
      <c r="A167" s="75">
        <v>1313</v>
      </c>
      <c r="B167" s="75" t="s">
        <v>61</v>
      </c>
      <c r="C167" s="75">
        <v>5323</v>
      </c>
      <c r="D167" s="75" t="s">
        <v>707</v>
      </c>
      <c r="E167" s="75" t="s">
        <v>1076</v>
      </c>
      <c r="F167" s="75" t="s">
        <v>1510</v>
      </c>
      <c r="G167" s="76">
        <v>45545</v>
      </c>
      <c r="H167" s="75" t="s">
        <v>53</v>
      </c>
      <c r="I167" s="75" t="s">
        <v>54</v>
      </c>
      <c r="J167" s="75" t="s">
        <v>1512</v>
      </c>
      <c r="K167" s="75" t="str">
        <f t="shared" si="2"/>
        <v>09-2024</v>
      </c>
      <c r="L167" s="10" t="s">
        <v>2599</v>
      </c>
    </row>
    <row r="168" spans="1:12" s="10" customFormat="1" ht="12" hidden="1" x14ac:dyDescent="0.3">
      <c r="A168" s="75">
        <v>7886</v>
      </c>
      <c r="B168" s="75" t="s">
        <v>779</v>
      </c>
      <c r="C168" s="75">
        <v>3009</v>
      </c>
      <c r="D168" s="75" t="s">
        <v>488</v>
      </c>
      <c r="E168" s="75" t="s">
        <v>1077</v>
      </c>
      <c r="F168" s="75" t="s">
        <v>1510</v>
      </c>
      <c r="G168" s="76">
        <v>45545</v>
      </c>
      <c r="H168" s="75" t="s">
        <v>40</v>
      </c>
      <c r="I168" s="75" t="s">
        <v>74</v>
      </c>
      <c r="J168" s="75" t="s">
        <v>1512</v>
      </c>
      <c r="K168" s="75" t="str">
        <f t="shared" si="2"/>
        <v>09-2024</v>
      </c>
      <c r="L168" s="10" t="s">
        <v>2599</v>
      </c>
    </row>
    <row r="169" spans="1:12" s="10" customFormat="1" ht="12" hidden="1" x14ac:dyDescent="0.3">
      <c r="A169" s="75">
        <v>2298</v>
      </c>
      <c r="B169" s="75" t="s">
        <v>749</v>
      </c>
      <c r="C169" s="75">
        <v>5267</v>
      </c>
      <c r="D169" s="75" t="s">
        <v>884</v>
      </c>
      <c r="E169" s="75" t="s">
        <v>1078</v>
      </c>
      <c r="F169" s="75" t="s">
        <v>1510</v>
      </c>
      <c r="G169" s="76">
        <v>45540</v>
      </c>
      <c r="H169" s="75" t="s">
        <v>53</v>
      </c>
      <c r="I169" s="75" t="s">
        <v>54</v>
      </c>
      <c r="J169" s="75" t="s">
        <v>1512</v>
      </c>
      <c r="K169" s="75" t="str">
        <f t="shared" si="2"/>
        <v>09-2024</v>
      </c>
      <c r="L169" s="10" t="s">
        <v>2599</v>
      </c>
    </row>
    <row r="170" spans="1:12" s="10" customFormat="1" ht="12" hidden="1" x14ac:dyDescent="0.3">
      <c r="A170" s="75">
        <v>7886</v>
      </c>
      <c r="B170" s="75" t="s">
        <v>779</v>
      </c>
      <c r="C170" s="75">
        <v>3009</v>
      </c>
      <c r="D170" s="75" t="s">
        <v>488</v>
      </c>
      <c r="E170" s="75" t="s">
        <v>1079</v>
      </c>
      <c r="F170" s="75" t="s">
        <v>1510</v>
      </c>
      <c r="G170" s="76">
        <v>45540</v>
      </c>
      <c r="H170" s="75" t="s">
        <v>40</v>
      </c>
      <c r="I170" s="75" t="s">
        <v>74</v>
      </c>
      <c r="J170" s="75" t="s">
        <v>1512</v>
      </c>
      <c r="K170" s="75" t="str">
        <f t="shared" si="2"/>
        <v>09-2024</v>
      </c>
      <c r="L170" s="10" t="s">
        <v>2599</v>
      </c>
    </row>
    <row r="171" spans="1:12" s="10" customFormat="1" ht="12" hidden="1" x14ac:dyDescent="0.3">
      <c r="A171" s="75">
        <v>7471</v>
      </c>
      <c r="B171" s="75" t="s">
        <v>813</v>
      </c>
      <c r="C171" s="75">
        <v>6690</v>
      </c>
      <c r="D171" s="75" t="s">
        <v>280</v>
      </c>
      <c r="E171" s="75" t="s">
        <v>1080</v>
      </c>
      <c r="F171" s="75" t="s">
        <v>1510</v>
      </c>
      <c r="G171" s="76">
        <v>45539</v>
      </c>
      <c r="H171" s="75" t="s">
        <v>16</v>
      </c>
      <c r="I171" s="75" t="s">
        <v>54</v>
      </c>
      <c r="J171" s="75" t="s">
        <v>1512</v>
      </c>
      <c r="K171" s="75" t="str">
        <f t="shared" si="2"/>
        <v>09-2024</v>
      </c>
      <c r="L171" s="10" t="s">
        <v>2599</v>
      </c>
    </row>
    <row r="172" spans="1:12" s="10" customFormat="1" ht="12" hidden="1" x14ac:dyDescent="0.3">
      <c r="A172" s="75">
        <v>2444</v>
      </c>
      <c r="B172" s="75" t="s">
        <v>737</v>
      </c>
      <c r="C172" s="75">
        <v>6822</v>
      </c>
      <c r="D172" s="75" t="s">
        <v>595</v>
      </c>
      <c r="E172" s="75" t="s">
        <v>1081</v>
      </c>
      <c r="F172" s="75" t="s">
        <v>1510</v>
      </c>
      <c r="G172" s="76">
        <v>45539</v>
      </c>
      <c r="H172" s="75" t="s">
        <v>35</v>
      </c>
      <c r="I172" s="75" t="s">
        <v>32</v>
      </c>
      <c r="J172" s="75" t="s">
        <v>1512</v>
      </c>
      <c r="K172" s="75" t="str">
        <f t="shared" si="2"/>
        <v>09-2024</v>
      </c>
      <c r="L172" s="10" t="s">
        <v>2599</v>
      </c>
    </row>
    <row r="173" spans="1:12" s="10" customFormat="1" ht="12" hidden="1" x14ac:dyDescent="0.3">
      <c r="A173" s="75">
        <v>7886</v>
      </c>
      <c r="B173" s="75" t="s">
        <v>779</v>
      </c>
      <c r="C173" s="75">
        <v>3009</v>
      </c>
      <c r="D173" s="75" t="s">
        <v>488</v>
      </c>
      <c r="E173" s="75" t="s">
        <v>1082</v>
      </c>
      <c r="F173" s="75" t="s">
        <v>1510</v>
      </c>
      <c r="G173" s="76">
        <v>45538</v>
      </c>
      <c r="H173" s="75" t="s">
        <v>40</v>
      </c>
      <c r="I173" s="75" t="s">
        <v>74</v>
      </c>
      <c r="J173" s="75" t="s">
        <v>1512</v>
      </c>
      <c r="K173" s="75" t="str">
        <f t="shared" si="2"/>
        <v>09-2024</v>
      </c>
      <c r="L173" s="10" t="s">
        <v>2599</v>
      </c>
    </row>
    <row r="174" spans="1:12" s="10" customFormat="1" ht="12" hidden="1" x14ac:dyDescent="0.3">
      <c r="A174" s="75">
        <v>4004</v>
      </c>
      <c r="B174" s="75" t="s">
        <v>172</v>
      </c>
      <c r="C174" s="75">
        <v>5252</v>
      </c>
      <c r="D174" s="75" t="s">
        <v>476</v>
      </c>
      <c r="E174" s="75" t="s">
        <v>1083</v>
      </c>
      <c r="F174" s="75" t="s">
        <v>1510</v>
      </c>
      <c r="G174" s="76">
        <v>45538</v>
      </c>
      <c r="H174" s="75" t="s">
        <v>9</v>
      </c>
      <c r="I174" s="75" t="s">
        <v>54</v>
      </c>
      <c r="J174" s="75" t="s">
        <v>1512</v>
      </c>
      <c r="K174" s="75" t="str">
        <f t="shared" si="2"/>
        <v>09-2024</v>
      </c>
      <c r="L174" s="10" t="s">
        <v>2599</v>
      </c>
    </row>
    <row r="175" spans="1:12" s="10" customFormat="1" ht="12" hidden="1" x14ac:dyDescent="0.3">
      <c r="A175" s="75">
        <v>7827</v>
      </c>
      <c r="B175" s="75" t="s">
        <v>349</v>
      </c>
      <c r="C175" s="75">
        <v>7237</v>
      </c>
      <c r="D175" s="75" t="s">
        <v>289</v>
      </c>
      <c r="E175" s="75" t="s">
        <v>1084</v>
      </c>
      <c r="F175" s="75" t="s">
        <v>1510</v>
      </c>
      <c r="G175" s="76">
        <v>45537</v>
      </c>
      <c r="H175" s="75" t="s">
        <v>395</v>
      </c>
      <c r="I175" s="75" t="s">
        <v>10</v>
      </c>
      <c r="J175" s="75" t="s">
        <v>1512</v>
      </c>
      <c r="K175" s="75" t="str">
        <f t="shared" si="2"/>
        <v>09-2024</v>
      </c>
      <c r="L175" s="10" t="s">
        <v>2599</v>
      </c>
    </row>
    <row r="176" spans="1:12" s="10" customFormat="1" ht="12" hidden="1" x14ac:dyDescent="0.3">
      <c r="A176" s="75">
        <v>6519</v>
      </c>
      <c r="B176" s="75" t="s">
        <v>748</v>
      </c>
      <c r="C176" s="75">
        <v>7237</v>
      </c>
      <c r="D176" s="75" t="s">
        <v>289</v>
      </c>
      <c r="E176" s="75" t="s">
        <v>1085</v>
      </c>
      <c r="F176" s="75" t="s">
        <v>1510</v>
      </c>
      <c r="G176" s="76">
        <v>45537</v>
      </c>
      <c r="H176" s="75" t="s">
        <v>395</v>
      </c>
      <c r="I176" s="75" t="s">
        <v>10</v>
      </c>
      <c r="J176" s="75" t="s">
        <v>1512</v>
      </c>
      <c r="K176" s="75" t="str">
        <f t="shared" si="2"/>
        <v>09-2024</v>
      </c>
      <c r="L176" s="10" t="s">
        <v>2599</v>
      </c>
    </row>
    <row r="177" spans="1:12" s="10" customFormat="1" ht="12" hidden="1" x14ac:dyDescent="0.3">
      <c r="A177" s="75">
        <v>7291</v>
      </c>
      <c r="B177" s="75" t="s">
        <v>256</v>
      </c>
      <c r="C177" s="75">
        <v>3978</v>
      </c>
      <c r="D177" s="75" t="s">
        <v>475</v>
      </c>
      <c r="E177" s="75" t="s">
        <v>1086</v>
      </c>
      <c r="F177" s="79" t="s">
        <v>1509</v>
      </c>
      <c r="G177" s="76">
        <v>45537</v>
      </c>
      <c r="H177" s="75" t="s">
        <v>9</v>
      </c>
      <c r="I177" s="75" t="s">
        <v>10</v>
      </c>
      <c r="J177" s="75" t="s">
        <v>1511</v>
      </c>
      <c r="K177" s="75" t="str">
        <f t="shared" si="2"/>
        <v>09-2024</v>
      </c>
      <c r="L177" s="10" t="s">
        <v>2599</v>
      </c>
    </row>
    <row r="178" spans="1:12" s="10" customFormat="1" ht="12" hidden="1" x14ac:dyDescent="0.3">
      <c r="A178" s="75">
        <v>7055</v>
      </c>
      <c r="B178" s="75" t="s">
        <v>418</v>
      </c>
      <c r="C178" s="75">
        <v>7282</v>
      </c>
      <c r="D178" s="75" t="s">
        <v>460</v>
      </c>
      <c r="E178" s="75" t="s">
        <v>1087</v>
      </c>
      <c r="F178" s="75" t="s">
        <v>1509</v>
      </c>
      <c r="G178" s="76">
        <v>45535</v>
      </c>
      <c r="H178" s="75" t="s">
        <v>73</v>
      </c>
      <c r="I178" s="75" t="s">
        <v>32</v>
      </c>
      <c r="J178" s="75" t="s">
        <v>1511</v>
      </c>
      <c r="K178" s="75" t="str">
        <f t="shared" si="2"/>
        <v>08-2024</v>
      </c>
      <c r="L178" s="10" t="s">
        <v>2599</v>
      </c>
    </row>
    <row r="179" spans="1:12" s="10" customFormat="1" ht="12" hidden="1" x14ac:dyDescent="0.3">
      <c r="A179" s="75">
        <v>7050</v>
      </c>
      <c r="B179" s="75" t="s">
        <v>417</v>
      </c>
      <c r="C179" s="75">
        <v>7282</v>
      </c>
      <c r="D179" s="75" t="s">
        <v>460</v>
      </c>
      <c r="E179" s="75" t="s">
        <v>1088</v>
      </c>
      <c r="F179" s="75" t="s">
        <v>1509</v>
      </c>
      <c r="G179" s="76">
        <v>45535</v>
      </c>
      <c r="H179" s="75" t="s">
        <v>73</v>
      </c>
      <c r="I179" s="75" t="s">
        <v>32</v>
      </c>
      <c r="J179" s="75" t="s">
        <v>1511</v>
      </c>
      <c r="K179" s="75" t="str">
        <f t="shared" si="2"/>
        <v>08-2024</v>
      </c>
      <c r="L179" s="10" t="s">
        <v>2599</v>
      </c>
    </row>
    <row r="180" spans="1:12" s="10" customFormat="1" ht="12" hidden="1" x14ac:dyDescent="0.3">
      <c r="A180" s="75">
        <v>7156</v>
      </c>
      <c r="B180" s="75" t="s">
        <v>401</v>
      </c>
      <c r="C180" s="75">
        <v>7282</v>
      </c>
      <c r="D180" s="75" t="s">
        <v>460</v>
      </c>
      <c r="E180" s="75" t="s">
        <v>1089</v>
      </c>
      <c r="F180" s="75" t="s">
        <v>1509</v>
      </c>
      <c r="G180" s="76">
        <v>45535</v>
      </c>
      <c r="H180" s="75" t="s">
        <v>73</v>
      </c>
      <c r="I180" s="75" t="s">
        <v>32</v>
      </c>
      <c r="J180" s="75" t="s">
        <v>1511</v>
      </c>
      <c r="K180" s="75" t="str">
        <f t="shared" si="2"/>
        <v>08-2024</v>
      </c>
      <c r="L180" s="10" t="s">
        <v>2599</v>
      </c>
    </row>
    <row r="181" spans="1:12" s="10" customFormat="1" ht="12" hidden="1" x14ac:dyDescent="0.3">
      <c r="A181" s="75">
        <v>7648</v>
      </c>
      <c r="B181" s="75" t="s">
        <v>755</v>
      </c>
      <c r="C181" s="75">
        <v>7282</v>
      </c>
      <c r="D181" s="75" t="s">
        <v>460</v>
      </c>
      <c r="E181" s="75" t="s">
        <v>1090</v>
      </c>
      <c r="F181" s="75" t="s">
        <v>1509</v>
      </c>
      <c r="G181" s="76">
        <v>45535</v>
      </c>
      <c r="H181" s="75" t="s">
        <v>73</v>
      </c>
      <c r="I181" s="75" t="s">
        <v>32</v>
      </c>
      <c r="J181" s="75" t="s">
        <v>1511</v>
      </c>
      <c r="K181" s="75" t="str">
        <f t="shared" si="2"/>
        <v>08-2024</v>
      </c>
      <c r="L181" s="10" t="s">
        <v>2599</v>
      </c>
    </row>
    <row r="182" spans="1:12" s="10" customFormat="1" ht="12" hidden="1" x14ac:dyDescent="0.3">
      <c r="A182" s="75">
        <v>7404</v>
      </c>
      <c r="B182" s="75" t="s">
        <v>756</v>
      </c>
      <c r="C182" s="75">
        <v>7282</v>
      </c>
      <c r="D182" s="75" t="s">
        <v>460</v>
      </c>
      <c r="E182" s="75" t="s">
        <v>1091</v>
      </c>
      <c r="F182" s="75" t="s">
        <v>1509</v>
      </c>
      <c r="G182" s="76">
        <v>45535</v>
      </c>
      <c r="H182" s="75" t="s">
        <v>73</v>
      </c>
      <c r="I182" s="75" t="s">
        <v>32</v>
      </c>
      <c r="J182" s="75" t="s">
        <v>1511</v>
      </c>
      <c r="K182" s="75" t="str">
        <f t="shared" si="2"/>
        <v>08-2024</v>
      </c>
      <c r="L182" s="10" t="s">
        <v>2599</v>
      </c>
    </row>
    <row r="183" spans="1:12" s="10" customFormat="1" ht="12" hidden="1" x14ac:dyDescent="0.3">
      <c r="A183" s="75">
        <v>5472</v>
      </c>
      <c r="B183" s="75" t="s">
        <v>764</v>
      </c>
      <c r="C183" s="75">
        <v>7282</v>
      </c>
      <c r="D183" s="75" t="s">
        <v>460</v>
      </c>
      <c r="E183" s="75" t="s">
        <v>1092</v>
      </c>
      <c r="F183" s="75" t="s">
        <v>1509</v>
      </c>
      <c r="G183" s="76">
        <v>45535</v>
      </c>
      <c r="H183" s="75" t="s">
        <v>73</v>
      </c>
      <c r="I183" s="75" t="s">
        <v>32</v>
      </c>
      <c r="J183" s="75" t="s">
        <v>1511</v>
      </c>
      <c r="K183" s="75" t="str">
        <f t="shared" si="2"/>
        <v>08-2024</v>
      </c>
      <c r="L183" s="10" t="s">
        <v>2599</v>
      </c>
    </row>
    <row r="184" spans="1:12" s="10" customFormat="1" ht="12" hidden="1" x14ac:dyDescent="0.3">
      <c r="A184" s="75">
        <v>7798</v>
      </c>
      <c r="B184" s="75" t="s">
        <v>787</v>
      </c>
      <c r="C184" s="75">
        <v>3009</v>
      </c>
      <c r="D184" s="75" t="s">
        <v>488</v>
      </c>
      <c r="E184" s="75" t="s">
        <v>1093</v>
      </c>
      <c r="F184" s="75" t="s">
        <v>1510</v>
      </c>
      <c r="G184" s="76">
        <v>45534</v>
      </c>
      <c r="H184" s="75" t="s">
        <v>40</v>
      </c>
      <c r="I184" s="75" t="s">
        <v>74</v>
      </c>
      <c r="J184" s="75" t="s">
        <v>1512</v>
      </c>
      <c r="K184" s="75" t="str">
        <f t="shared" si="2"/>
        <v>08-2024</v>
      </c>
      <c r="L184" s="10" t="s">
        <v>2599</v>
      </c>
    </row>
    <row r="185" spans="1:12" s="10" customFormat="1" ht="12" hidden="1" x14ac:dyDescent="0.3">
      <c r="A185" s="75">
        <v>5444</v>
      </c>
      <c r="B185" s="75" t="s">
        <v>802</v>
      </c>
      <c r="C185" s="75">
        <v>3009</v>
      </c>
      <c r="D185" s="75" t="s">
        <v>488</v>
      </c>
      <c r="E185" s="75" t="s">
        <v>1093</v>
      </c>
      <c r="F185" s="75" t="s">
        <v>1510</v>
      </c>
      <c r="G185" s="76">
        <v>45534</v>
      </c>
      <c r="H185" s="75" t="s">
        <v>40</v>
      </c>
      <c r="I185" s="75" t="s">
        <v>74</v>
      </c>
      <c r="J185" s="75" t="s">
        <v>1512</v>
      </c>
      <c r="K185" s="75" t="str">
        <f t="shared" si="2"/>
        <v>08-2024</v>
      </c>
      <c r="L185" s="10" t="s">
        <v>2599</v>
      </c>
    </row>
    <row r="186" spans="1:12" s="10" customFormat="1" ht="12" hidden="1" x14ac:dyDescent="0.3">
      <c r="A186" s="75">
        <v>7721</v>
      </c>
      <c r="B186" s="75" t="s">
        <v>803</v>
      </c>
      <c r="C186" s="75">
        <v>3009</v>
      </c>
      <c r="D186" s="75" t="s">
        <v>488</v>
      </c>
      <c r="E186" s="75" t="s">
        <v>1093</v>
      </c>
      <c r="F186" s="75" t="s">
        <v>1510</v>
      </c>
      <c r="G186" s="76">
        <v>45534</v>
      </c>
      <c r="H186" s="75" t="s">
        <v>40</v>
      </c>
      <c r="I186" s="75" t="s">
        <v>74</v>
      </c>
      <c r="J186" s="75" t="s">
        <v>1512</v>
      </c>
      <c r="K186" s="75" t="str">
        <f t="shared" si="2"/>
        <v>08-2024</v>
      </c>
      <c r="L186" s="10" t="s">
        <v>2599</v>
      </c>
    </row>
    <row r="187" spans="1:12" s="10" customFormat="1" ht="12" hidden="1" x14ac:dyDescent="0.3">
      <c r="A187" s="75">
        <v>7886</v>
      </c>
      <c r="B187" s="75" t="s">
        <v>779</v>
      </c>
      <c r="C187" s="75">
        <v>3009</v>
      </c>
      <c r="D187" s="75" t="s">
        <v>488</v>
      </c>
      <c r="E187" s="75" t="s">
        <v>1094</v>
      </c>
      <c r="F187" s="75" t="s">
        <v>1510</v>
      </c>
      <c r="G187" s="76">
        <v>45534</v>
      </c>
      <c r="H187" s="75" t="s">
        <v>40</v>
      </c>
      <c r="I187" s="75" t="s">
        <v>74</v>
      </c>
      <c r="J187" s="75" t="s">
        <v>1512</v>
      </c>
      <c r="K187" s="75" t="str">
        <f t="shared" si="2"/>
        <v>08-2024</v>
      </c>
      <c r="L187" s="10" t="s">
        <v>2599</v>
      </c>
    </row>
    <row r="188" spans="1:12" s="10" customFormat="1" ht="12" hidden="1" x14ac:dyDescent="0.3">
      <c r="A188" s="75">
        <v>7258</v>
      </c>
      <c r="B188" s="75" t="s">
        <v>805</v>
      </c>
      <c r="C188" s="75">
        <v>7654</v>
      </c>
      <c r="D188" s="75" t="s">
        <v>55</v>
      </c>
      <c r="E188" s="75" t="s">
        <v>1095</v>
      </c>
      <c r="F188" s="75" t="s">
        <v>1510</v>
      </c>
      <c r="G188" s="76">
        <v>45532</v>
      </c>
      <c r="H188" s="75" t="s">
        <v>16</v>
      </c>
      <c r="I188" s="75" t="s">
        <v>54</v>
      </c>
      <c r="J188" s="75" t="s">
        <v>1512</v>
      </c>
      <c r="K188" s="75" t="str">
        <f t="shared" si="2"/>
        <v>08-2024</v>
      </c>
      <c r="L188" s="10" t="s">
        <v>2599</v>
      </c>
    </row>
    <row r="189" spans="1:12" s="10" customFormat="1" ht="12" hidden="1" x14ac:dyDescent="0.3">
      <c r="A189" s="75">
        <v>4518</v>
      </c>
      <c r="B189" s="75" t="s">
        <v>257</v>
      </c>
      <c r="C189" s="75">
        <v>5310</v>
      </c>
      <c r="D189" s="75" t="s">
        <v>709</v>
      </c>
      <c r="E189" s="75" t="s">
        <v>208</v>
      </c>
      <c r="F189" s="75" t="s">
        <v>1509</v>
      </c>
      <c r="G189" s="76">
        <v>45532</v>
      </c>
      <c r="H189" s="75" t="s">
        <v>53</v>
      </c>
      <c r="I189" s="75" t="s">
        <v>54</v>
      </c>
      <c r="J189" s="75" t="s">
        <v>1511</v>
      </c>
      <c r="K189" s="75" t="str">
        <f t="shared" si="2"/>
        <v>08-2024</v>
      </c>
      <c r="L189" s="10" t="s">
        <v>2599</v>
      </c>
    </row>
    <row r="190" spans="1:12" s="10" customFormat="1" ht="12" hidden="1" x14ac:dyDescent="0.3">
      <c r="A190" s="75">
        <v>6586</v>
      </c>
      <c r="B190" s="75" t="s">
        <v>426</v>
      </c>
      <c r="C190" s="75">
        <v>4004</v>
      </c>
      <c r="D190" s="75" t="s">
        <v>172</v>
      </c>
      <c r="E190" s="75" t="s">
        <v>1096</v>
      </c>
      <c r="F190" s="75" t="s">
        <v>1510</v>
      </c>
      <c r="G190" s="76">
        <v>45532</v>
      </c>
      <c r="H190" s="75" t="s">
        <v>9</v>
      </c>
      <c r="I190" s="75" t="s">
        <v>10</v>
      </c>
      <c r="J190" s="75" t="s">
        <v>1512</v>
      </c>
      <c r="K190" s="75" t="str">
        <f t="shared" si="2"/>
        <v>08-2024</v>
      </c>
      <c r="L190" s="10" t="s">
        <v>2599</v>
      </c>
    </row>
    <row r="191" spans="1:12" s="10" customFormat="1" ht="12" hidden="1" x14ac:dyDescent="0.3">
      <c r="A191" s="75">
        <v>4539</v>
      </c>
      <c r="B191" s="75" t="s">
        <v>804</v>
      </c>
      <c r="C191" s="75">
        <v>4502</v>
      </c>
      <c r="D191" s="75" t="s">
        <v>621</v>
      </c>
      <c r="E191" s="75" t="s">
        <v>1097</v>
      </c>
      <c r="F191" s="75" t="s">
        <v>1510</v>
      </c>
      <c r="G191" s="76">
        <v>45530</v>
      </c>
      <c r="H191" s="75" t="s">
        <v>53</v>
      </c>
      <c r="I191" s="75" t="s">
        <v>54</v>
      </c>
      <c r="J191" s="75" t="s">
        <v>1512</v>
      </c>
      <c r="K191" s="75" t="str">
        <f t="shared" si="2"/>
        <v>08-2024</v>
      </c>
      <c r="L191" s="10" t="s">
        <v>2599</v>
      </c>
    </row>
    <row r="192" spans="1:12" s="10" customFormat="1" ht="12" hidden="1" x14ac:dyDescent="0.3">
      <c r="A192" s="75">
        <v>2315</v>
      </c>
      <c r="B192" s="75" t="s">
        <v>783</v>
      </c>
      <c r="C192" s="75">
        <v>4004</v>
      </c>
      <c r="D192" s="75" t="s">
        <v>172</v>
      </c>
      <c r="E192" s="75" t="s">
        <v>1098</v>
      </c>
      <c r="F192" s="75" t="s">
        <v>1510</v>
      </c>
      <c r="G192" s="76">
        <v>45530</v>
      </c>
      <c r="H192" s="75" t="s">
        <v>24</v>
      </c>
      <c r="I192" s="75" t="s">
        <v>54</v>
      </c>
      <c r="J192" s="75" t="s">
        <v>1512</v>
      </c>
      <c r="K192" s="75" t="str">
        <f t="shared" si="2"/>
        <v>08-2024</v>
      </c>
      <c r="L192" s="10" t="s">
        <v>2599</v>
      </c>
    </row>
    <row r="193" spans="1:12" s="10" customFormat="1" ht="12" hidden="1" x14ac:dyDescent="0.3">
      <c r="A193" s="75">
        <v>1308</v>
      </c>
      <c r="B193" s="75" t="s">
        <v>797</v>
      </c>
      <c r="C193" s="75">
        <v>4004</v>
      </c>
      <c r="D193" s="75" t="s">
        <v>172</v>
      </c>
      <c r="E193" s="75" t="s">
        <v>1099</v>
      </c>
      <c r="F193" s="75" t="s">
        <v>1510</v>
      </c>
      <c r="G193" s="76">
        <v>45530</v>
      </c>
      <c r="H193" s="75" t="s">
        <v>24</v>
      </c>
      <c r="I193" s="75" t="s">
        <v>54</v>
      </c>
      <c r="J193" s="75" t="s">
        <v>1512</v>
      </c>
      <c r="K193" s="75" t="str">
        <f t="shared" si="2"/>
        <v>08-2024</v>
      </c>
      <c r="L193" s="10" t="s">
        <v>2599</v>
      </c>
    </row>
    <row r="194" spans="1:12" s="10" customFormat="1" ht="12" hidden="1" x14ac:dyDescent="0.3">
      <c r="A194" s="75">
        <v>7197</v>
      </c>
      <c r="B194" s="75" t="s">
        <v>800</v>
      </c>
      <c r="C194" s="75">
        <v>4004</v>
      </c>
      <c r="D194" s="75" t="s">
        <v>172</v>
      </c>
      <c r="E194" s="75" t="s">
        <v>1100</v>
      </c>
      <c r="F194" s="75" t="s">
        <v>1510</v>
      </c>
      <c r="G194" s="76">
        <v>45530</v>
      </c>
      <c r="H194" s="75" t="s">
        <v>24</v>
      </c>
      <c r="I194" s="75" t="s">
        <v>10</v>
      </c>
      <c r="J194" s="75" t="s">
        <v>1512</v>
      </c>
      <c r="K194" s="75" t="str">
        <f t="shared" si="2"/>
        <v>08-2024</v>
      </c>
      <c r="L194" s="10" t="s">
        <v>2599</v>
      </c>
    </row>
    <row r="195" spans="1:12" s="10" customFormat="1" ht="12" hidden="1" x14ac:dyDescent="0.3">
      <c r="A195" s="75">
        <v>1585</v>
      </c>
      <c r="B195" s="75" t="s">
        <v>258</v>
      </c>
      <c r="C195" s="75">
        <v>4004</v>
      </c>
      <c r="D195" s="75" t="s">
        <v>172</v>
      </c>
      <c r="E195" s="75" t="s">
        <v>1101</v>
      </c>
      <c r="F195" s="75" t="s">
        <v>1510</v>
      </c>
      <c r="G195" s="76">
        <v>45528</v>
      </c>
      <c r="H195" s="75" t="s">
        <v>53</v>
      </c>
      <c r="I195" s="75" t="s">
        <v>54</v>
      </c>
      <c r="J195" s="75" t="s">
        <v>1512</v>
      </c>
      <c r="K195" s="75" t="str">
        <f t="shared" ref="K195:K258" si="3">TEXT(G195,"mm-yyyy")</f>
        <v>08-2024</v>
      </c>
      <c r="L195" s="10" t="s">
        <v>2599</v>
      </c>
    </row>
    <row r="196" spans="1:12" s="10" customFormat="1" ht="12" hidden="1" x14ac:dyDescent="0.3">
      <c r="A196" s="75">
        <v>2321</v>
      </c>
      <c r="B196" s="75" t="s">
        <v>795</v>
      </c>
      <c r="C196" s="75">
        <v>4004</v>
      </c>
      <c r="D196" s="75" t="s">
        <v>172</v>
      </c>
      <c r="E196" s="75" t="s">
        <v>1102</v>
      </c>
      <c r="F196" s="75" t="s">
        <v>1510</v>
      </c>
      <c r="G196" s="76">
        <v>45528</v>
      </c>
      <c r="H196" s="75" t="s">
        <v>53</v>
      </c>
      <c r="I196" s="75" t="s">
        <v>54</v>
      </c>
      <c r="J196" s="75" t="s">
        <v>1512</v>
      </c>
      <c r="K196" s="75" t="str">
        <f t="shared" si="3"/>
        <v>08-2024</v>
      </c>
      <c r="L196" s="10" t="s">
        <v>2599</v>
      </c>
    </row>
    <row r="197" spans="1:12" s="10" customFormat="1" ht="12" hidden="1" x14ac:dyDescent="0.3">
      <c r="A197" s="75">
        <v>2244</v>
      </c>
      <c r="B197" s="75" t="s">
        <v>416</v>
      </c>
      <c r="C197" s="75">
        <v>4004</v>
      </c>
      <c r="D197" s="75" t="s">
        <v>172</v>
      </c>
      <c r="E197" s="75" t="s">
        <v>1103</v>
      </c>
      <c r="F197" s="75" t="s">
        <v>1510</v>
      </c>
      <c r="G197" s="76">
        <v>45528</v>
      </c>
      <c r="H197" s="75" t="s">
        <v>53</v>
      </c>
      <c r="I197" s="75" t="s">
        <v>54</v>
      </c>
      <c r="J197" s="75" t="s">
        <v>1512</v>
      </c>
      <c r="K197" s="75" t="str">
        <f t="shared" si="3"/>
        <v>08-2024</v>
      </c>
      <c r="L197" s="10" t="s">
        <v>2599</v>
      </c>
    </row>
    <row r="198" spans="1:12" s="10" customFormat="1" ht="12" hidden="1" x14ac:dyDescent="0.3">
      <c r="A198" s="75">
        <v>4937</v>
      </c>
      <c r="B198" s="75" t="s">
        <v>127</v>
      </c>
      <c r="C198" s="75">
        <v>4004</v>
      </c>
      <c r="D198" s="75" t="s">
        <v>172</v>
      </c>
      <c r="E198" s="75" t="s">
        <v>1101</v>
      </c>
      <c r="F198" s="75" t="s">
        <v>1510</v>
      </c>
      <c r="G198" s="76">
        <v>45528</v>
      </c>
      <c r="H198" s="75" t="s">
        <v>53</v>
      </c>
      <c r="I198" s="75" t="s">
        <v>54</v>
      </c>
      <c r="J198" s="75" t="s">
        <v>1512</v>
      </c>
      <c r="K198" s="75" t="str">
        <f t="shared" si="3"/>
        <v>08-2024</v>
      </c>
      <c r="L198" s="10" t="s">
        <v>2599</v>
      </c>
    </row>
    <row r="199" spans="1:12" s="10" customFormat="1" ht="12" hidden="1" x14ac:dyDescent="0.3">
      <c r="A199" s="75">
        <v>7479</v>
      </c>
      <c r="B199" s="75" t="s">
        <v>814</v>
      </c>
      <c r="C199" s="75">
        <v>4004</v>
      </c>
      <c r="D199" s="75" t="s">
        <v>172</v>
      </c>
      <c r="E199" s="75" t="s">
        <v>1104</v>
      </c>
      <c r="F199" s="75" t="s">
        <v>1510</v>
      </c>
      <c r="G199" s="76">
        <v>45528</v>
      </c>
      <c r="H199" s="75" t="s">
        <v>16</v>
      </c>
      <c r="I199" s="75" t="s">
        <v>54</v>
      </c>
      <c r="J199" s="75" t="s">
        <v>1512</v>
      </c>
      <c r="K199" s="75" t="str">
        <f t="shared" si="3"/>
        <v>08-2024</v>
      </c>
      <c r="L199" s="10" t="s">
        <v>2599</v>
      </c>
    </row>
    <row r="200" spans="1:12" s="10" customFormat="1" ht="12" hidden="1" x14ac:dyDescent="0.3">
      <c r="A200" s="75">
        <v>7667</v>
      </c>
      <c r="B200" s="75" t="s">
        <v>57</v>
      </c>
      <c r="C200" s="75">
        <v>4004</v>
      </c>
      <c r="D200" s="75" t="s">
        <v>172</v>
      </c>
      <c r="E200" s="75" t="s">
        <v>1105</v>
      </c>
      <c r="F200" s="75" t="s">
        <v>1510</v>
      </c>
      <c r="G200" s="76">
        <v>45528</v>
      </c>
      <c r="H200" s="75" t="s">
        <v>16</v>
      </c>
      <c r="I200" s="75" t="s">
        <v>54</v>
      </c>
      <c r="J200" s="75" t="s">
        <v>1512</v>
      </c>
      <c r="K200" s="75" t="str">
        <f t="shared" si="3"/>
        <v>08-2024</v>
      </c>
      <c r="L200" s="10" t="s">
        <v>2599</v>
      </c>
    </row>
    <row r="201" spans="1:12" s="10" customFormat="1" ht="12" hidden="1" x14ac:dyDescent="0.3">
      <c r="A201" s="75">
        <v>2397</v>
      </c>
      <c r="B201" s="75" t="s">
        <v>801</v>
      </c>
      <c r="C201" s="75">
        <v>4004</v>
      </c>
      <c r="D201" s="75" t="s">
        <v>172</v>
      </c>
      <c r="E201" s="75" t="s">
        <v>1106</v>
      </c>
      <c r="F201" s="75" t="s">
        <v>1510</v>
      </c>
      <c r="G201" s="76">
        <v>45528</v>
      </c>
      <c r="H201" s="75" t="s">
        <v>16</v>
      </c>
      <c r="I201" s="75" t="s">
        <v>54</v>
      </c>
      <c r="J201" s="75" t="s">
        <v>1512</v>
      </c>
      <c r="K201" s="75" t="str">
        <f t="shared" si="3"/>
        <v>08-2024</v>
      </c>
      <c r="L201" s="10" t="s">
        <v>2599</v>
      </c>
    </row>
    <row r="202" spans="1:12" s="10" customFormat="1" ht="12" hidden="1" x14ac:dyDescent="0.3">
      <c r="A202" s="75">
        <v>2734</v>
      </c>
      <c r="B202" s="75" t="s">
        <v>112</v>
      </c>
      <c r="C202" s="75">
        <v>4004</v>
      </c>
      <c r="D202" s="75" t="s">
        <v>172</v>
      </c>
      <c r="E202" s="75" t="s">
        <v>1107</v>
      </c>
      <c r="F202" s="75" t="s">
        <v>1510</v>
      </c>
      <c r="G202" s="76">
        <v>45528</v>
      </c>
      <c r="H202" s="75" t="s">
        <v>16</v>
      </c>
      <c r="I202" s="75" t="s">
        <v>54</v>
      </c>
      <c r="J202" s="75" t="s">
        <v>1512</v>
      </c>
      <c r="K202" s="75" t="str">
        <f t="shared" si="3"/>
        <v>08-2024</v>
      </c>
      <c r="L202" s="10" t="s">
        <v>2599</v>
      </c>
    </row>
    <row r="203" spans="1:12" s="10" customFormat="1" ht="12" hidden="1" x14ac:dyDescent="0.3">
      <c r="A203" s="75">
        <v>7569</v>
      </c>
      <c r="B203" s="75" t="s">
        <v>124</v>
      </c>
      <c r="C203" s="75">
        <v>7369</v>
      </c>
      <c r="D203" s="75" t="s">
        <v>432</v>
      </c>
      <c r="E203" s="75" t="s">
        <v>1108</v>
      </c>
      <c r="F203" s="75" t="s">
        <v>1510</v>
      </c>
      <c r="G203" s="76">
        <v>45527</v>
      </c>
      <c r="H203" s="75" t="s">
        <v>73</v>
      </c>
      <c r="I203" s="75" t="s">
        <v>74</v>
      </c>
      <c r="J203" s="75" t="s">
        <v>1512</v>
      </c>
      <c r="K203" s="75" t="str">
        <f t="shared" si="3"/>
        <v>08-2024</v>
      </c>
      <c r="L203" s="10" t="s">
        <v>2599</v>
      </c>
    </row>
    <row r="204" spans="1:12" s="10" customFormat="1" ht="12" hidden="1" x14ac:dyDescent="0.3">
      <c r="A204" s="75">
        <v>1907</v>
      </c>
      <c r="B204" s="75" t="s">
        <v>267</v>
      </c>
      <c r="C204" s="75">
        <v>6434</v>
      </c>
      <c r="D204" s="75" t="s">
        <v>785</v>
      </c>
      <c r="E204" s="75" t="s">
        <v>1109</v>
      </c>
      <c r="F204" s="75" t="s">
        <v>1510</v>
      </c>
      <c r="G204" s="76">
        <v>45527</v>
      </c>
      <c r="H204" s="75" t="s">
        <v>24</v>
      </c>
      <c r="I204" s="75" t="s">
        <v>32</v>
      </c>
      <c r="J204" s="75" t="s">
        <v>1512</v>
      </c>
      <c r="K204" s="75" t="str">
        <f t="shared" si="3"/>
        <v>08-2024</v>
      </c>
      <c r="L204" s="10" t="s">
        <v>2599</v>
      </c>
    </row>
    <row r="205" spans="1:12" s="10" customFormat="1" ht="12" hidden="1" x14ac:dyDescent="0.3">
      <c r="A205" s="75">
        <v>1423</v>
      </c>
      <c r="B205" s="75" t="s">
        <v>808</v>
      </c>
      <c r="C205" s="75">
        <v>6434</v>
      </c>
      <c r="D205" s="75" t="s">
        <v>785</v>
      </c>
      <c r="E205" s="75" t="s">
        <v>1110</v>
      </c>
      <c r="F205" s="75" t="s">
        <v>1510</v>
      </c>
      <c r="G205" s="76">
        <v>45527</v>
      </c>
      <c r="H205" s="75" t="s">
        <v>24</v>
      </c>
      <c r="I205" s="75" t="s">
        <v>32</v>
      </c>
      <c r="J205" s="75" t="s">
        <v>1512</v>
      </c>
      <c r="K205" s="75" t="str">
        <f t="shared" si="3"/>
        <v>08-2024</v>
      </c>
      <c r="L205" s="10" t="s">
        <v>2599</v>
      </c>
    </row>
    <row r="206" spans="1:12" s="10" customFormat="1" ht="12" hidden="1" x14ac:dyDescent="0.3">
      <c r="A206" s="75">
        <v>7569</v>
      </c>
      <c r="B206" s="75" t="s">
        <v>124</v>
      </c>
      <c r="C206" s="75">
        <v>7394</v>
      </c>
      <c r="D206" s="75" t="s">
        <v>286</v>
      </c>
      <c r="E206" s="75" t="s">
        <v>1111</v>
      </c>
      <c r="F206" s="75" t="s">
        <v>1510</v>
      </c>
      <c r="G206" s="76">
        <v>45526</v>
      </c>
      <c r="H206" s="75" t="s">
        <v>73</v>
      </c>
      <c r="I206" s="75" t="s">
        <v>74</v>
      </c>
      <c r="J206" s="75" t="s">
        <v>1512</v>
      </c>
      <c r="K206" s="75" t="str">
        <f t="shared" si="3"/>
        <v>08-2024</v>
      </c>
      <c r="L206" s="10" t="s">
        <v>2599</v>
      </c>
    </row>
    <row r="207" spans="1:12" s="10" customFormat="1" ht="12" hidden="1" x14ac:dyDescent="0.3">
      <c r="A207" s="75">
        <v>4009</v>
      </c>
      <c r="B207" s="75" t="s">
        <v>602</v>
      </c>
      <c r="C207" s="75">
        <v>7225</v>
      </c>
      <c r="D207" s="75" t="s">
        <v>419</v>
      </c>
      <c r="E207" s="75" t="s">
        <v>1112</v>
      </c>
      <c r="F207" s="75" t="s">
        <v>1510</v>
      </c>
      <c r="G207" s="76">
        <v>45526</v>
      </c>
      <c r="H207" s="75" t="s">
        <v>9</v>
      </c>
      <c r="I207" s="75" t="s">
        <v>54</v>
      </c>
      <c r="J207" s="75" t="s">
        <v>1512</v>
      </c>
      <c r="K207" s="75" t="str">
        <f t="shared" si="3"/>
        <v>08-2024</v>
      </c>
      <c r="L207" s="10" t="s">
        <v>2599</v>
      </c>
    </row>
    <row r="208" spans="1:12" s="10" customFormat="1" ht="12" hidden="1" x14ac:dyDescent="0.3">
      <c r="A208" s="75">
        <v>5714</v>
      </c>
      <c r="B208" s="75" t="s">
        <v>116</v>
      </c>
      <c r="C208" s="75">
        <v>7225</v>
      </c>
      <c r="D208" s="75" t="s">
        <v>419</v>
      </c>
      <c r="E208" s="75" t="s">
        <v>1113</v>
      </c>
      <c r="F208" s="75" t="s">
        <v>1510</v>
      </c>
      <c r="G208" s="76">
        <v>45526</v>
      </c>
      <c r="H208" s="75" t="s">
        <v>9</v>
      </c>
      <c r="I208" s="75" t="s">
        <v>54</v>
      </c>
      <c r="J208" s="75" t="s">
        <v>1512</v>
      </c>
      <c r="K208" s="75" t="str">
        <f t="shared" si="3"/>
        <v>08-2024</v>
      </c>
      <c r="L208" s="10" t="s">
        <v>2599</v>
      </c>
    </row>
    <row r="209" spans="1:12" s="10" customFormat="1" ht="12" hidden="1" x14ac:dyDescent="0.3">
      <c r="A209" s="75">
        <v>6593</v>
      </c>
      <c r="B209" s="75" t="s">
        <v>128</v>
      </c>
      <c r="C209" s="75" t="s">
        <v>1508</v>
      </c>
      <c r="D209" s="75" t="s">
        <v>866</v>
      </c>
      <c r="E209" s="75" t="s">
        <v>1114</v>
      </c>
      <c r="F209" s="75" t="s">
        <v>1509</v>
      </c>
      <c r="G209" s="76">
        <v>45526</v>
      </c>
      <c r="H209" s="75" t="s">
        <v>24</v>
      </c>
      <c r="I209" s="75" t="s">
        <v>54</v>
      </c>
      <c r="J209" s="75" t="s">
        <v>1511</v>
      </c>
      <c r="K209" s="75" t="str">
        <f t="shared" si="3"/>
        <v>08-2024</v>
      </c>
      <c r="L209" s="10" t="s">
        <v>2599</v>
      </c>
    </row>
    <row r="210" spans="1:12" s="10" customFormat="1" ht="12" hidden="1" x14ac:dyDescent="0.3">
      <c r="A210" s="75">
        <v>7243</v>
      </c>
      <c r="B210" s="75" t="s">
        <v>815</v>
      </c>
      <c r="C210" s="75" t="s">
        <v>1508</v>
      </c>
      <c r="D210" s="75" t="s">
        <v>866</v>
      </c>
      <c r="E210" s="75" t="s">
        <v>1115</v>
      </c>
      <c r="F210" s="75" t="s">
        <v>1509</v>
      </c>
      <c r="G210" s="76">
        <v>45526</v>
      </c>
      <c r="H210" s="75" t="s">
        <v>24</v>
      </c>
      <c r="I210" s="75" t="s">
        <v>10</v>
      </c>
      <c r="J210" s="75" t="s">
        <v>1511</v>
      </c>
      <c r="K210" s="75" t="str">
        <f t="shared" si="3"/>
        <v>08-2024</v>
      </c>
      <c r="L210" s="10" t="s">
        <v>2599</v>
      </c>
    </row>
    <row r="211" spans="1:12" s="10" customFormat="1" ht="12" hidden="1" x14ac:dyDescent="0.3">
      <c r="A211" s="75">
        <v>7804</v>
      </c>
      <c r="B211" s="75" t="s">
        <v>270</v>
      </c>
      <c r="C211" s="75" t="s">
        <v>1508</v>
      </c>
      <c r="D211" s="75" t="s">
        <v>866</v>
      </c>
      <c r="E211" s="75" t="s">
        <v>223</v>
      </c>
      <c r="F211" s="75" t="s">
        <v>1509</v>
      </c>
      <c r="G211" s="76">
        <v>45526</v>
      </c>
      <c r="H211" s="75" t="s">
        <v>24</v>
      </c>
      <c r="I211" s="75" t="s">
        <v>10</v>
      </c>
      <c r="J211" s="75" t="s">
        <v>1511</v>
      </c>
      <c r="K211" s="75" t="str">
        <f t="shared" si="3"/>
        <v>08-2024</v>
      </c>
      <c r="L211" s="10" t="s">
        <v>2599</v>
      </c>
    </row>
    <row r="212" spans="1:12" s="10" customFormat="1" ht="12" hidden="1" x14ac:dyDescent="0.3">
      <c r="A212" s="75">
        <v>4068</v>
      </c>
      <c r="B212" s="75" t="s">
        <v>178</v>
      </c>
      <c r="C212" s="75" t="s">
        <v>1508</v>
      </c>
      <c r="D212" s="75" t="s">
        <v>866</v>
      </c>
      <c r="E212" s="75" t="s">
        <v>1116</v>
      </c>
      <c r="F212" s="75" t="s">
        <v>1509</v>
      </c>
      <c r="G212" s="76">
        <v>45526</v>
      </c>
      <c r="H212" s="75" t="s">
        <v>9</v>
      </c>
      <c r="I212" s="75" t="s">
        <v>54</v>
      </c>
      <c r="J212" s="75" t="s">
        <v>1511</v>
      </c>
      <c r="K212" s="75" t="str">
        <f t="shared" si="3"/>
        <v>08-2024</v>
      </c>
      <c r="L212" s="10" t="s">
        <v>2599</v>
      </c>
    </row>
    <row r="213" spans="1:12" s="10" customFormat="1" ht="12" hidden="1" x14ac:dyDescent="0.3">
      <c r="A213" s="75">
        <v>6388</v>
      </c>
      <c r="B213" s="75" t="s">
        <v>436</v>
      </c>
      <c r="C213" s="75" t="s">
        <v>1508</v>
      </c>
      <c r="D213" s="75" t="s">
        <v>866</v>
      </c>
      <c r="E213" s="75" t="s">
        <v>1117</v>
      </c>
      <c r="F213" s="75" t="s">
        <v>1509</v>
      </c>
      <c r="G213" s="76">
        <v>45526</v>
      </c>
      <c r="H213" s="75" t="s">
        <v>21</v>
      </c>
      <c r="I213" s="75" t="s">
        <v>10</v>
      </c>
      <c r="J213" s="75" t="s">
        <v>1511</v>
      </c>
      <c r="K213" s="75" t="str">
        <f t="shared" si="3"/>
        <v>08-2024</v>
      </c>
      <c r="L213" s="10" t="s">
        <v>2599</v>
      </c>
    </row>
    <row r="214" spans="1:12" s="10" customFormat="1" ht="12" hidden="1" x14ac:dyDescent="0.3">
      <c r="A214" s="75">
        <v>7495</v>
      </c>
      <c r="B214" s="75" t="s">
        <v>284</v>
      </c>
      <c r="C214" s="75" t="s">
        <v>1508</v>
      </c>
      <c r="D214" s="75" t="s">
        <v>866</v>
      </c>
      <c r="E214" s="75" t="s">
        <v>1118</v>
      </c>
      <c r="F214" s="75" t="s">
        <v>1509</v>
      </c>
      <c r="G214" s="76">
        <v>45526</v>
      </c>
      <c r="H214" s="75" t="s">
        <v>35</v>
      </c>
      <c r="I214" s="75" t="s">
        <v>32</v>
      </c>
      <c r="J214" s="75" t="s">
        <v>1511</v>
      </c>
      <c r="K214" s="75" t="str">
        <f t="shared" si="3"/>
        <v>08-2024</v>
      </c>
      <c r="L214" s="10" t="s">
        <v>2599</v>
      </c>
    </row>
    <row r="215" spans="1:12" s="10" customFormat="1" ht="12" hidden="1" x14ac:dyDescent="0.3">
      <c r="A215" s="75">
        <v>4416</v>
      </c>
      <c r="B215" s="75" t="s">
        <v>269</v>
      </c>
      <c r="C215" s="75" t="s">
        <v>1508</v>
      </c>
      <c r="D215" s="75" t="s">
        <v>866</v>
      </c>
      <c r="E215" s="75" t="s">
        <v>222</v>
      </c>
      <c r="F215" s="75" t="s">
        <v>1509</v>
      </c>
      <c r="G215" s="76">
        <v>45526</v>
      </c>
      <c r="H215" s="75" t="s">
        <v>35</v>
      </c>
      <c r="I215" s="75" t="s">
        <v>32</v>
      </c>
      <c r="J215" s="75" t="s">
        <v>1511</v>
      </c>
      <c r="K215" s="75" t="str">
        <f t="shared" si="3"/>
        <v>08-2024</v>
      </c>
      <c r="L215" s="10" t="s">
        <v>2599</v>
      </c>
    </row>
    <row r="216" spans="1:12" s="10" customFormat="1" ht="12" hidden="1" x14ac:dyDescent="0.3">
      <c r="A216" s="75">
        <v>7816</v>
      </c>
      <c r="B216" s="75" t="s">
        <v>423</v>
      </c>
      <c r="C216" s="75" t="s">
        <v>1508</v>
      </c>
      <c r="D216" s="75" t="s">
        <v>866</v>
      </c>
      <c r="E216" s="75" t="s">
        <v>1119</v>
      </c>
      <c r="F216" s="75" t="s">
        <v>1509</v>
      </c>
      <c r="G216" s="76">
        <v>45526</v>
      </c>
      <c r="H216" s="75" t="s">
        <v>21</v>
      </c>
      <c r="I216" s="75" t="s">
        <v>10</v>
      </c>
      <c r="J216" s="75" t="s">
        <v>1511</v>
      </c>
      <c r="K216" s="75" t="str">
        <f t="shared" si="3"/>
        <v>08-2024</v>
      </c>
      <c r="L216" s="10" t="s">
        <v>2599</v>
      </c>
    </row>
    <row r="217" spans="1:12" s="10" customFormat="1" ht="12" hidden="1" x14ac:dyDescent="0.3">
      <c r="A217" s="75">
        <v>7748</v>
      </c>
      <c r="B217" s="75" t="s">
        <v>342</v>
      </c>
      <c r="C217" s="75" t="s">
        <v>1508</v>
      </c>
      <c r="D217" s="75" t="s">
        <v>866</v>
      </c>
      <c r="E217" s="75" t="s">
        <v>1120</v>
      </c>
      <c r="F217" s="75" t="s">
        <v>1509</v>
      </c>
      <c r="G217" s="76">
        <v>45526</v>
      </c>
      <c r="H217" s="75" t="s">
        <v>9</v>
      </c>
      <c r="I217" s="75" t="s">
        <v>10</v>
      </c>
      <c r="J217" s="75" t="s">
        <v>1511</v>
      </c>
      <c r="K217" s="75" t="str">
        <f t="shared" si="3"/>
        <v>08-2024</v>
      </c>
      <c r="L217" s="10" t="s">
        <v>2599</v>
      </c>
    </row>
    <row r="218" spans="1:12" s="10" customFormat="1" ht="12" hidden="1" x14ac:dyDescent="0.3">
      <c r="A218" s="75">
        <v>4013</v>
      </c>
      <c r="B218" s="75" t="s">
        <v>268</v>
      </c>
      <c r="C218" s="75" t="s">
        <v>1508</v>
      </c>
      <c r="D218" s="75" t="s">
        <v>866</v>
      </c>
      <c r="E218" s="75" t="s">
        <v>221</v>
      </c>
      <c r="F218" s="75" t="s">
        <v>1509</v>
      </c>
      <c r="G218" s="76">
        <v>45526</v>
      </c>
      <c r="H218" s="75" t="s">
        <v>9</v>
      </c>
      <c r="I218" s="75" t="s">
        <v>54</v>
      </c>
      <c r="J218" s="75" t="s">
        <v>1511</v>
      </c>
      <c r="K218" s="75" t="str">
        <f t="shared" si="3"/>
        <v>08-2024</v>
      </c>
      <c r="L218" s="10" t="s">
        <v>2599</v>
      </c>
    </row>
    <row r="219" spans="1:12" s="10" customFormat="1" ht="12" hidden="1" x14ac:dyDescent="0.3">
      <c r="A219" s="75">
        <v>7742</v>
      </c>
      <c r="B219" s="75" t="s">
        <v>339</v>
      </c>
      <c r="C219" s="75" t="s">
        <v>1508</v>
      </c>
      <c r="D219" s="75" t="s">
        <v>866</v>
      </c>
      <c r="E219" s="75" t="s">
        <v>1121</v>
      </c>
      <c r="F219" s="75" t="s">
        <v>1509</v>
      </c>
      <c r="G219" s="76">
        <v>45526</v>
      </c>
      <c r="H219" s="75" t="s">
        <v>21</v>
      </c>
      <c r="I219" s="75" t="s">
        <v>10</v>
      </c>
      <c r="J219" s="75" t="s">
        <v>1511</v>
      </c>
      <c r="K219" s="75" t="str">
        <f t="shared" si="3"/>
        <v>08-2024</v>
      </c>
      <c r="L219" s="10" t="s">
        <v>2599</v>
      </c>
    </row>
    <row r="220" spans="1:12" s="10" customFormat="1" ht="12" hidden="1" x14ac:dyDescent="0.3">
      <c r="A220" s="75">
        <v>7394</v>
      </c>
      <c r="B220" s="75" t="s">
        <v>286</v>
      </c>
      <c r="C220" s="75" t="s">
        <v>1508</v>
      </c>
      <c r="D220" s="75" t="s">
        <v>866</v>
      </c>
      <c r="E220" s="75" t="s">
        <v>1122</v>
      </c>
      <c r="F220" s="75" t="s">
        <v>1509</v>
      </c>
      <c r="G220" s="76">
        <v>45526</v>
      </c>
      <c r="H220" s="75" t="s">
        <v>73</v>
      </c>
      <c r="I220" s="75" t="s">
        <v>74</v>
      </c>
      <c r="J220" s="75" t="s">
        <v>1511</v>
      </c>
      <c r="K220" s="75" t="str">
        <f t="shared" si="3"/>
        <v>08-2024</v>
      </c>
      <c r="L220" s="10" t="s">
        <v>2599</v>
      </c>
    </row>
    <row r="221" spans="1:12" s="10" customFormat="1" ht="12" hidden="1" x14ac:dyDescent="0.3">
      <c r="A221" s="75">
        <v>7005</v>
      </c>
      <c r="B221" s="75" t="s">
        <v>272</v>
      </c>
      <c r="C221" s="75" t="s">
        <v>1508</v>
      </c>
      <c r="D221" s="75" t="s">
        <v>866</v>
      </c>
      <c r="E221" s="75" t="s">
        <v>225</v>
      </c>
      <c r="F221" s="75" t="s">
        <v>1509</v>
      </c>
      <c r="G221" s="76">
        <v>45526</v>
      </c>
      <c r="H221" s="75" t="s">
        <v>73</v>
      </c>
      <c r="I221" s="75" t="s">
        <v>74</v>
      </c>
      <c r="J221" s="75" t="s">
        <v>1511</v>
      </c>
      <c r="K221" s="75" t="str">
        <f t="shared" si="3"/>
        <v>08-2024</v>
      </c>
      <c r="L221" s="10" t="s">
        <v>2599</v>
      </c>
    </row>
    <row r="222" spans="1:12" s="10" customFormat="1" ht="12" hidden="1" x14ac:dyDescent="0.3">
      <c r="A222" s="75">
        <v>6837</v>
      </c>
      <c r="B222" s="75" t="s">
        <v>260</v>
      </c>
      <c r="C222" s="75" t="s">
        <v>1508</v>
      </c>
      <c r="D222" s="75" t="s">
        <v>866</v>
      </c>
      <c r="E222" s="75" t="s">
        <v>211</v>
      </c>
      <c r="F222" s="75" t="s">
        <v>1509</v>
      </c>
      <c r="G222" s="76">
        <v>45526</v>
      </c>
      <c r="H222" s="75" t="s">
        <v>73</v>
      </c>
      <c r="I222" s="75" t="s">
        <v>74</v>
      </c>
      <c r="J222" s="75" t="s">
        <v>1511</v>
      </c>
      <c r="K222" s="75" t="str">
        <f t="shared" si="3"/>
        <v>08-2024</v>
      </c>
      <c r="L222" s="10" t="s">
        <v>2599</v>
      </c>
    </row>
    <row r="223" spans="1:12" s="10" customFormat="1" ht="12" hidden="1" x14ac:dyDescent="0.3">
      <c r="A223" s="75">
        <v>7547</v>
      </c>
      <c r="B223" s="75" t="s">
        <v>816</v>
      </c>
      <c r="C223" s="75" t="s">
        <v>1508</v>
      </c>
      <c r="D223" s="75" t="s">
        <v>866</v>
      </c>
      <c r="E223" s="75" t="s">
        <v>1123</v>
      </c>
      <c r="F223" s="75" t="s">
        <v>1509</v>
      </c>
      <c r="G223" s="76">
        <v>45526</v>
      </c>
      <c r="H223" s="75" t="s">
        <v>73</v>
      </c>
      <c r="I223" s="75" t="s">
        <v>74</v>
      </c>
      <c r="J223" s="75" t="s">
        <v>1511</v>
      </c>
      <c r="K223" s="75" t="str">
        <f t="shared" si="3"/>
        <v>08-2024</v>
      </c>
      <c r="L223" s="10" t="s">
        <v>2599</v>
      </c>
    </row>
    <row r="224" spans="1:12" s="10" customFormat="1" ht="12" hidden="1" x14ac:dyDescent="0.3">
      <c r="A224" s="75">
        <v>6693</v>
      </c>
      <c r="B224" s="75" t="s">
        <v>817</v>
      </c>
      <c r="C224" s="75" t="s">
        <v>1508</v>
      </c>
      <c r="D224" s="75" t="s">
        <v>866</v>
      </c>
      <c r="E224" s="75" t="s">
        <v>1124</v>
      </c>
      <c r="F224" s="75" t="s">
        <v>1509</v>
      </c>
      <c r="G224" s="76">
        <v>45526</v>
      </c>
      <c r="H224" s="75" t="s">
        <v>35</v>
      </c>
      <c r="I224" s="75" t="s">
        <v>32</v>
      </c>
      <c r="J224" s="75" t="s">
        <v>1511</v>
      </c>
      <c r="K224" s="75" t="str">
        <f t="shared" si="3"/>
        <v>08-2024</v>
      </c>
      <c r="L224" s="10" t="s">
        <v>2599</v>
      </c>
    </row>
    <row r="225" spans="1:12" s="10" customFormat="1" ht="12" hidden="1" x14ac:dyDescent="0.3">
      <c r="A225" s="75">
        <v>7654</v>
      </c>
      <c r="B225" s="75" t="s">
        <v>55</v>
      </c>
      <c r="C225" s="75" t="s">
        <v>1508</v>
      </c>
      <c r="D225" s="75" t="s">
        <v>866</v>
      </c>
      <c r="E225" s="75" t="s">
        <v>1125</v>
      </c>
      <c r="F225" s="75" t="s">
        <v>1509</v>
      </c>
      <c r="G225" s="76">
        <v>45526</v>
      </c>
      <c r="H225" s="75" t="s">
        <v>16</v>
      </c>
      <c r="I225" s="75" t="s">
        <v>54</v>
      </c>
      <c r="J225" s="75" t="s">
        <v>1511</v>
      </c>
      <c r="K225" s="75" t="str">
        <f t="shared" si="3"/>
        <v>08-2024</v>
      </c>
      <c r="L225" s="10" t="s">
        <v>2599</v>
      </c>
    </row>
    <row r="226" spans="1:12" s="10" customFormat="1" ht="12" hidden="1" x14ac:dyDescent="0.3">
      <c r="A226" s="75">
        <v>7440</v>
      </c>
      <c r="B226" s="75" t="s">
        <v>818</v>
      </c>
      <c r="C226" s="75" t="s">
        <v>1508</v>
      </c>
      <c r="D226" s="75" t="s">
        <v>866</v>
      </c>
      <c r="E226" s="75" t="s">
        <v>1126</v>
      </c>
      <c r="F226" s="75" t="s">
        <v>1509</v>
      </c>
      <c r="G226" s="76">
        <v>45526</v>
      </c>
      <c r="H226" s="75" t="s">
        <v>40</v>
      </c>
      <c r="I226" s="75" t="s">
        <v>74</v>
      </c>
      <c r="J226" s="75" t="s">
        <v>1511</v>
      </c>
      <c r="K226" s="75" t="str">
        <f t="shared" si="3"/>
        <v>08-2024</v>
      </c>
      <c r="L226" s="10" t="s">
        <v>2599</v>
      </c>
    </row>
    <row r="227" spans="1:12" s="10" customFormat="1" ht="12" hidden="1" x14ac:dyDescent="0.3">
      <c r="A227" s="75">
        <v>3963</v>
      </c>
      <c r="B227" s="75" t="s">
        <v>109</v>
      </c>
      <c r="C227" s="75" t="s">
        <v>1508</v>
      </c>
      <c r="D227" s="75" t="s">
        <v>866</v>
      </c>
      <c r="E227" s="75" t="s">
        <v>1127</v>
      </c>
      <c r="F227" s="75" t="s">
        <v>1509</v>
      </c>
      <c r="G227" s="76">
        <v>45526</v>
      </c>
      <c r="H227" s="75" t="s">
        <v>53</v>
      </c>
      <c r="I227" s="75" t="s">
        <v>54</v>
      </c>
      <c r="J227" s="75" t="s">
        <v>1511</v>
      </c>
      <c r="K227" s="75" t="str">
        <f t="shared" si="3"/>
        <v>08-2024</v>
      </c>
      <c r="L227" s="10" t="s">
        <v>2599</v>
      </c>
    </row>
    <row r="228" spans="1:12" s="10" customFormat="1" ht="12" hidden="1" x14ac:dyDescent="0.3">
      <c r="A228" s="75">
        <v>2321</v>
      </c>
      <c r="B228" s="75" t="s">
        <v>795</v>
      </c>
      <c r="C228" s="75" t="s">
        <v>1508</v>
      </c>
      <c r="D228" s="75" t="s">
        <v>866</v>
      </c>
      <c r="E228" s="75" t="s">
        <v>1128</v>
      </c>
      <c r="F228" s="75" t="s">
        <v>1509</v>
      </c>
      <c r="G228" s="76">
        <v>45526</v>
      </c>
      <c r="H228" s="75" t="s">
        <v>53</v>
      </c>
      <c r="I228" s="75" t="s">
        <v>54</v>
      </c>
      <c r="J228" s="75" t="s">
        <v>1511</v>
      </c>
      <c r="K228" s="75" t="str">
        <f t="shared" si="3"/>
        <v>08-2024</v>
      </c>
      <c r="L228" s="10" t="s">
        <v>2599</v>
      </c>
    </row>
    <row r="229" spans="1:12" s="10" customFormat="1" ht="12" hidden="1" x14ac:dyDescent="0.3">
      <c r="A229" s="75">
        <v>4937</v>
      </c>
      <c r="B229" s="75" t="s">
        <v>127</v>
      </c>
      <c r="C229" s="75" t="s">
        <v>1508</v>
      </c>
      <c r="D229" s="75" t="s">
        <v>866</v>
      </c>
      <c r="E229" s="75" t="s">
        <v>1129</v>
      </c>
      <c r="F229" s="75" t="s">
        <v>1509</v>
      </c>
      <c r="G229" s="76">
        <v>45526</v>
      </c>
      <c r="H229" s="75" t="s">
        <v>53</v>
      </c>
      <c r="I229" s="75" t="s">
        <v>54</v>
      </c>
      <c r="J229" s="75" t="s">
        <v>1511</v>
      </c>
      <c r="K229" s="75" t="str">
        <f t="shared" si="3"/>
        <v>08-2024</v>
      </c>
      <c r="L229" s="10" t="s">
        <v>2599</v>
      </c>
    </row>
    <row r="230" spans="1:12" s="10" customFormat="1" ht="12" hidden="1" x14ac:dyDescent="0.3">
      <c r="A230" s="75">
        <v>7292</v>
      </c>
      <c r="B230" s="75" t="s">
        <v>259</v>
      </c>
      <c r="C230" s="75" t="s">
        <v>1508</v>
      </c>
      <c r="D230" s="75" t="s">
        <v>866</v>
      </c>
      <c r="E230" s="75" t="s">
        <v>210</v>
      </c>
      <c r="F230" s="75" t="s">
        <v>1509</v>
      </c>
      <c r="G230" s="76">
        <v>45526</v>
      </c>
      <c r="H230" s="75" t="s">
        <v>35</v>
      </c>
      <c r="I230" s="75" t="s">
        <v>32</v>
      </c>
      <c r="J230" s="75" t="s">
        <v>1511</v>
      </c>
      <c r="K230" s="75" t="str">
        <f t="shared" si="3"/>
        <v>08-2024</v>
      </c>
      <c r="L230" s="10" t="s">
        <v>2599</v>
      </c>
    </row>
    <row r="231" spans="1:12" s="10" customFormat="1" ht="12" hidden="1" x14ac:dyDescent="0.3">
      <c r="A231" s="75">
        <v>7642</v>
      </c>
      <c r="B231" s="75" t="s">
        <v>130</v>
      </c>
      <c r="C231" s="75" t="s">
        <v>1508</v>
      </c>
      <c r="D231" s="75" t="s">
        <v>866</v>
      </c>
      <c r="E231" s="75" t="s">
        <v>1130</v>
      </c>
      <c r="F231" s="75" t="s">
        <v>1509</v>
      </c>
      <c r="G231" s="76">
        <v>45526</v>
      </c>
      <c r="H231" s="75" t="s">
        <v>35</v>
      </c>
      <c r="I231" s="75" t="s">
        <v>32</v>
      </c>
      <c r="J231" s="75" t="s">
        <v>1511</v>
      </c>
      <c r="K231" s="75" t="str">
        <f t="shared" si="3"/>
        <v>08-2024</v>
      </c>
      <c r="L231" s="10" t="s">
        <v>2599</v>
      </c>
    </row>
    <row r="232" spans="1:12" s="10" customFormat="1" ht="12" hidden="1" x14ac:dyDescent="0.3">
      <c r="A232" s="75">
        <v>7200</v>
      </c>
      <c r="B232" s="75" t="s">
        <v>271</v>
      </c>
      <c r="C232" s="75" t="s">
        <v>1508</v>
      </c>
      <c r="D232" s="75" t="s">
        <v>866</v>
      </c>
      <c r="E232" s="75" t="s">
        <v>224</v>
      </c>
      <c r="F232" s="75" t="s">
        <v>1509</v>
      </c>
      <c r="G232" s="76">
        <v>45526</v>
      </c>
      <c r="H232" s="75" t="s">
        <v>9</v>
      </c>
      <c r="I232" s="75" t="s">
        <v>10</v>
      </c>
      <c r="J232" s="75" t="s">
        <v>1511</v>
      </c>
      <c r="K232" s="75" t="str">
        <f t="shared" si="3"/>
        <v>08-2024</v>
      </c>
      <c r="L232" s="10" t="s">
        <v>2599</v>
      </c>
    </row>
    <row r="233" spans="1:12" s="10" customFormat="1" ht="12" hidden="1" x14ac:dyDescent="0.3">
      <c r="A233" s="75">
        <v>1585</v>
      </c>
      <c r="B233" s="75" t="s">
        <v>258</v>
      </c>
      <c r="C233" s="75" t="s">
        <v>1508</v>
      </c>
      <c r="D233" s="75" t="s">
        <v>866</v>
      </c>
      <c r="E233" s="75" t="s">
        <v>209</v>
      </c>
      <c r="F233" s="75" t="s">
        <v>1509</v>
      </c>
      <c r="G233" s="76">
        <v>45526</v>
      </c>
      <c r="H233" s="75" t="s">
        <v>53</v>
      </c>
      <c r="I233" s="75" t="s">
        <v>54</v>
      </c>
      <c r="J233" s="75" t="s">
        <v>1511</v>
      </c>
      <c r="K233" s="75" t="str">
        <f t="shared" si="3"/>
        <v>08-2024</v>
      </c>
      <c r="L233" s="10" t="s">
        <v>2599</v>
      </c>
    </row>
    <row r="234" spans="1:12" s="10" customFormat="1" ht="12" hidden="1" x14ac:dyDescent="0.3">
      <c r="A234" s="75">
        <v>7360</v>
      </c>
      <c r="B234" s="75" t="s">
        <v>699</v>
      </c>
      <c r="C234" s="75" t="s">
        <v>1508</v>
      </c>
      <c r="D234" s="75" t="s">
        <v>866</v>
      </c>
      <c r="E234" s="75" t="s">
        <v>1131</v>
      </c>
      <c r="F234" s="75" t="s">
        <v>1509</v>
      </c>
      <c r="G234" s="76">
        <v>45526</v>
      </c>
      <c r="H234" s="75" t="s">
        <v>395</v>
      </c>
      <c r="I234" s="75" t="s">
        <v>10</v>
      </c>
      <c r="J234" s="75" t="s">
        <v>1511</v>
      </c>
      <c r="K234" s="75" t="str">
        <f t="shared" si="3"/>
        <v>08-2024</v>
      </c>
      <c r="L234" s="10" t="s">
        <v>2599</v>
      </c>
    </row>
    <row r="235" spans="1:12" s="10" customFormat="1" ht="12" hidden="1" x14ac:dyDescent="0.3">
      <c r="A235" s="75">
        <v>5201</v>
      </c>
      <c r="B235" s="75" t="s">
        <v>588</v>
      </c>
      <c r="C235" s="75" t="s">
        <v>1508</v>
      </c>
      <c r="D235" s="75" t="s">
        <v>866</v>
      </c>
      <c r="E235" s="75" t="s">
        <v>1132</v>
      </c>
      <c r="F235" s="75" t="s">
        <v>1509</v>
      </c>
      <c r="G235" s="76">
        <v>45526</v>
      </c>
      <c r="H235" s="75" t="s">
        <v>9</v>
      </c>
      <c r="I235" s="75" t="s">
        <v>54</v>
      </c>
      <c r="J235" s="75" t="s">
        <v>1511</v>
      </c>
      <c r="K235" s="75" t="str">
        <f t="shared" si="3"/>
        <v>08-2024</v>
      </c>
      <c r="L235" s="10" t="s">
        <v>2599</v>
      </c>
    </row>
    <row r="236" spans="1:12" s="10" customFormat="1" ht="12" hidden="1" x14ac:dyDescent="0.3">
      <c r="A236" s="75">
        <v>7844</v>
      </c>
      <c r="B236" s="75" t="s">
        <v>111</v>
      </c>
      <c r="C236" s="75" t="s">
        <v>1508</v>
      </c>
      <c r="D236" s="75" t="s">
        <v>866</v>
      </c>
      <c r="E236" s="75" t="s">
        <v>1133</v>
      </c>
      <c r="F236" s="75" t="s">
        <v>1509</v>
      </c>
      <c r="G236" s="76">
        <v>45526</v>
      </c>
      <c r="H236" s="75" t="s">
        <v>16</v>
      </c>
      <c r="I236" s="75" t="s">
        <v>54</v>
      </c>
      <c r="J236" s="75" t="s">
        <v>1511</v>
      </c>
      <c r="K236" s="75" t="str">
        <f t="shared" si="3"/>
        <v>08-2024</v>
      </c>
      <c r="L236" s="10" t="s">
        <v>2599</v>
      </c>
    </row>
    <row r="237" spans="1:12" s="10" customFormat="1" ht="12" hidden="1" x14ac:dyDescent="0.3">
      <c r="A237" s="75">
        <v>7452</v>
      </c>
      <c r="B237" s="75" t="s">
        <v>263</v>
      </c>
      <c r="C237" s="75" t="s">
        <v>1508</v>
      </c>
      <c r="D237" s="75" t="s">
        <v>866</v>
      </c>
      <c r="E237" s="75" t="s">
        <v>214</v>
      </c>
      <c r="F237" s="75" t="s">
        <v>1509</v>
      </c>
      <c r="G237" s="76">
        <v>45526</v>
      </c>
      <c r="H237" s="75" t="s">
        <v>249</v>
      </c>
      <c r="I237" s="75" t="s">
        <v>10</v>
      </c>
      <c r="J237" s="75" t="s">
        <v>1511</v>
      </c>
      <c r="K237" s="75" t="str">
        <f t="shared" si="3"/>
        <v>08-2024</v>
      </c>
      <c r="L237" s="10" t="s">
        <v>2599</v>
      </c>
    </row>
    <row r="238" spans="1:12" s="10" customFormat="1" ht="12" hidden="1" x14ac:dyDescent="0.3">
      <c r="A238" s="75">
        <v>7268</v>
      </c>
      <c r="B238" s="75" t="s">
        <v>255</v>
      </c>
      <c r="C238" s="75" t="s">
        <v>1508</v>
      </c>
      <c r="D238" s="75" t="s">
        <v>866</v>
      </c>
      <c r="E238" s="75" t="s">
        <v>1134</v>
      </c>
      <c r="F238" s="75" t="s">
        <v>1509</v>
      </c>
      <c r="G238" s="76">
        <v>45526</v>
      </c>
      <c r="H238" s="75" t="s">
        <v>9</v>
      </c>
      <c r="I238" s="75" t="s">
        <v>54</v>
      </c>
      <c r="J238" s="75" t="s">
        <v>1511</v>
      </c>
      <c r="K238" s="75" t="str">
        <f t="shared" si="3"/>
        <v>08-2024</v>
      </c>
      <c r="L238" s="10" t="s">
        <v>2599</v>
      </c>
    </row>
    <row r="239" spans="1:12" s="10" customFormat="1" ht="12" hidden="1" x14ac:dyDescent="0.3">
      <c r="A239" s="75">
        <v>7208</v>
      </c>
      <c r="B239" s="75" t="s">
        <v>262</v>
      </c>
      <c r="C239" s="75" t="s">
        <v>1508</v>
      </c>
      <c r="D239" s="75" t="s">
        <v>866</v>
      </c>
      <c r="E239" s="75" t="s">
        <v>1135</v>
      </c>
      <c r="F239" s="75" t="s">
        <v>1509</v>
      </c>
      <c r="G239" s="76">
        <v>45526</v>
      </c>
      <c r="H239" s="75" t="s">
        <v>35</v>
      </c>
      <c r="I239" s="75" t="s">
        <v>32</v>
      </c>
      <c r="J239" s="75" t="s">
        <v>1511</v>
      </c>
      <c r="K239" s="75" t="str">
        <f t="shared" si="3"/>
        <v>08-2024</v>
      </c>
      <c r="L239" s="10" t="s">
        <v>2599</v>
      </c>
    </row>
    <row r="240" spans="1:12" s="10" customFormat="1" ht="12" hidden="1" x14ac:dyDescent="0.3">
      <c r="A240" s="75">
        <v>7046</v>
      </c>
      <c r="B240" s="75" t="s">
        <v>261</v>
      </c>
      <c r="C240" s="75" t="s">
        <v>1508</v>
      </c>
      <c r="D240" s="75" t="s">
        <v>866</v>
      </c>
      <c r="E240" s="75" t="s">
        <v>212</v>
      </c>
      <c r="F240" s="75" t="s">
        <v>1509</v>
      </c>
      <c r="G240" s="76">
        <v>45526</v>
      </c>
      <c r="H240" s="75" t="s">
        <v>9</v>
      </c>
      <c r="I240" s="75" t="s">
        <v>10</v>
      </c>
      <c r="J240" s="75" t="s">
        <v>1511</v>
      </c>
      <c r="K240" s="75" t="str">
        <f t="shared" si="3"/>
        <v>08-2024</v>
      </c>
      <c r="L240" s="10" t="s">
        <v>2599</v>
      </c>
    </row>
    <row r="241" spans="1:12" s="10" customFormat="1" ht="12" hidden="1" x14ac:dyDescent="0.3">
      <c r="A241" s="75">
        <v>7756</v>
      </c>
      <c r="B241" s="75" t="s">
        <v>65</v>
      </c>
      <c r="C241" s="75" t="s">
        <v>1508</v>
      </c>
      <c r="D241" s="75" t="s">
        <v>866</v>
      </c>
      <c r="E241" s="75" t="s">
        <v>203</v>
      </c>
      <c r="F241" s="75" t="s">
        <v>1509</v>
      </c>
      <c r="G241" s="76">
        <v>45526</v>
      </c>
      <c r="H241" s="75" t="s">
        <v>9</v>
      </c>
      <c r="I241" s="75" t="s">
        <v>54</v>
      </c>
      <c r="J241" s="75" t="s">
        <v>1511</v>
      </c>
      <c r="K241" s="75" t="str">
        <f t="shared" si="3"/>
        <v>08-2024</v>
      </c>
      <c r="L241" s="10" t="s">
        <v>2599</v>
      </c>
    </row>
    <row r="242" spans="1:12" s="10" customFormat="1" ht="12" hidden="1" x14ac:dyDescent="0.3">
      <c r="A242" s="75">
        <v>7197</v>
      </c>
      <c r="B242" s="75" t="s">
        <v>800</v>
      </c>
      <c r="C242" s="75" t="s">
        <v>1508</v>
      </c>
      <c r="D242" s="75" t="s">
        <v>866</v>
      </c>
      <c r="E242" s="75" t="s">
        <v>1136</v>
      </c>
      <c r="F242" s="75" t="s">
        <v>1509</v>
      </c>
      <c r="G242" s="76">
        <v>45526</v>
      </c>
      <c r="H242" s="75" t="s">
        <v>24</v>
      </c>
      <c r="I242" s="75" t="s">
        <v>10</v>
      </c>
      <c r="J242" s="75" t="s">
        <v>1511</v>
      </c>
      <c r="K242" s="75" t="str">
        <f t="shared" si="3"/>
        <v>08-2024</v>
      </c>
      <c r="L242" s="10" t="s">
        <v>2599</v>
      </c>
    </row>
    <row r="243" spans="1:12" s="10" customFormat="1" ht="12" hidden="1" x14ac:dyDescent="0.3">
      <c r="A243" s="75">
        <v>6434</v>
      </c>
      <c r="B243" s="75" t="s">
        <v>785</v>
      </c>
      <c r="C243" s="75">
        <v>1760</v>
      </c>
      <c r="D243" s="75" t="s">
        <v>885</v>
      </c>
      <c r="E243" s="75" t="s">
        <v>1137</v>
      </c>
      <c r="F243" s="75" t="s">
        <v>1509</v>
      </c>
      <c r="G243" s="76">
        <v>45526</v>
      </c>
      <c r="H243" s="75" t="s">
        <v>24</v>
      </c>
      <c r="I243" s="75" t="s">
        <v>10</v>
      </c>
      <c r="J243" s="75" t="s">
        <v>1511</v>
      </c>
      <c r="K243" s="75" t="str">
        <f t="shared" si="3"/>
        <v>08-2024</v>
      </c>
      <c r="L243" s="10" t="s">
        <v>2599</v>
      </c>
    </row>
    <row r="244" spans="1:12" s="10" customFormat="1" ht="12" hidden="1" x14ac:dyDescent="0.3">
      <c r="A244" s="75">
        <v>7656</v>
      </c>
      <c r="B244" s="75" t="s">
        <v>25</v>
      </c>
      <c r="C244" s="75" t="s">
        <v>1508</v>
      </c>
      <c r="D244" s="75" t="s">
        <v>866</v>
      </c>
      <c r="E244" s="75" t="s">
        <v>226</v>
      </c>
      <c r="F244" s="75" t="s">
        <v>1509</v>
      </c>
      <c r="G244" s="76">
        <v>45526</v>
      </c>
      <c r="H244" s="75" t="s">
        <v>21</v>
      </c>
      <c r="I244" s="75" t="s">
        <v>10</v>
      </c>
      <c r="J244" s="75" t="s">
        <v>1511</v>
      </c>
      <c r="K244" s="75" t="str">
        <f t="shared" si="3"/>
        <v>08-2024</v>
      </c>
      <c r="L244" s="10" t="s">
        <v>2599</v>
      </c>
    </row>
    <row r="245" spans="1:12" s="10" customFormat="1" ht="12" hidden="1" x14ac:dyDescent="0.3">
      <c r="A245" s="75">
        <v>2292</v>
      </c>
      <c r="B245" s="75" t="s">
        <v>819</v>
      </c>
      <c r="C245" s="75" t="s">
        <v>1508</v>
      </c>
      <c r="D245" s="75" t="s">
        <v>866</v>
      </c>
      <c r="E245" s="75" t="s">
        <v>1138</v>
      </c>
      <c r="F245" s="75" t="s">
        <v>1509</v>
      </c>
      <c r="G245" s="76">
        <v>45526</v>
      </c>
      <c r="H245" s="75" t="s">
        <v>53</v>
      </c>
      <c r="I245" s="75" t="s">
        <v>54</v>
      </c>
      <c r="J245" s="75" t="s">
        <v>1511</v>
      </c>
      <c r="K245" s="75" t="str">
        <f t="shared" si="3"/>
        <v>08-2024</v>
      </c>
      <c r="L245" s="10" t="s">
        <v>2599</v>
      </c>
    </row>
    <row r="246" spans="1:12" s="10" customFormat="1" ht="12" hidden="1" x14ac:dyDescent="0.3">
      <c r="A246" s="75">
        <v>1697</v>
      </c>
      <c r="B246" s="75" t="s">
        <v>820</v>
      </c>
      <c r="C246" s="75" t="s">
        <v>1508</v>
      </c>
      <c r="D246" s="75" t="s">
        <v>866</v>
      </c>
      <c r="E246" s="75" t="s">
        <v>1139</v>
      </c>
      <c r="F246" s="75" t="s">
        <v>1509</v>
      </c>
      <c r="G246" s="76">
        <v>45526</v>
      </c>
      <c r="H246" s="75" t="s">
        <v>53</v>
      </c>
      <c r="I246" s="75" t="s">
        <v>54</v>
      </c>
      <c r="J246" s="75" t="s">
        <v>1511</v>
      </c>
      <c r="K246" s="75" t="str">
        <f t="shared" si="3"/>
        <v>08-2024</v>
      </c>
      <c r="L246" s="10" t="s">
        <v>2599</v>
      </c>
    </row>
    <row r="247" spans="1:12" s="10" customFormat="1" ht="12" hidden="1" x14ac:dyDescent="0.3">
      <c r="A247" s="75">
        <v>4366</v>
      </c>
      <c r="B247" s="75" t="s">
        <v>264</v>
      </c>
      <c r="C247" s="75" t="s">
        <v>1508</v>
      </c>
      <c r="D247" s="75" t="s">
        <v>866</v>
      </c>
      <c r="E247" s="75" t="s">
        <v>215</v>
      </c>
      <c r="F247" s="75" t="s">
        <v>1509</v>
      </c>
      <c r="G247" s="76">
        <v>45526</v>
      </c>
      <c r="H247" s="75" t="s">
        <v>53</v>
      </c>
      <c r="I247" s="75" t="s">
        <v>54</v>
      </c>
      <c r="J247" s="75" t="s">
        <v>1511</v>
      </c>
      <c r="K247" s="75" t="str">
        <f t="shared" si="3"/>
        <v>08-2024</v>
      </c>
      <c r="L247" s="10" t="s">
        <v>2599</v>
      </c>
    </row>
    <row r="248" spans="1:12" s="10" customFormat="1" ht="12" hidden="1" x14ac:dyDescent="0.3">
      <c r="A248" s="75">
        <v>4935</v>
      </c>
      <c r="B248" s="75" t="s">
        <v>753</v>
      </c>
      <c r="C248" s="75" t="s">
        <v>1508</v>
      </c>
      <c r="D248" s="75" t="s">
        <v>866</v>
      </c>
      <c r="E248" s="75" t="s">
        <v>1140</v>
      </c>
      <c r="F248" s="75" t="s">
        <v>1509</v>
      </c>
      <c r="G248" s="76">
        <v>45526</v>
      </c>
      <c r="H248" s="75" t="s">
        <v>35</v>
      </c>
      <c r="I248" s="75" t="s">
        <v>54</v>
      </c>
      <c r="J248" s="75" t="s">
        <v>1511</v>
      </c>
      <c r="K248" s="75" t="str">
        <f t="shared" si="3"/>
        <v>08-2024</v>
      </c>
      <c r="L248" s="10" t="s">
        <v>2599</v>
      </c>
    </row>
    <row r="249" spans="1:12" s="10" customFormat="1" ht="12" hidden="1" x14ac:dyDescent="0.3">
      <c r="A249" s="75">
        <v>2826</v>
      </c>
      <c r="B249" s="75" t="s">
        <v>169</v>
      </c>
      <c r="C249" s="75" t="s">
        <v>1508</v>
      </c>
      <c r="D249" s="75" t="s">
        <v>866</v>
      </c>
      <c r="E249" s="75" t="s">
        <v>1141</v>
      </c>
      <c r="F249" s="75" t="s">
        <v>1509</v>
      </c>
      <c r="G249" s="76">
        <v>45526</v>
      </c>
      <c r="H249" s="75" t="s">
        <v>9</v>
      </c>
      <c r="I249" s="75" t="s">
        <v>54</v>
      </c>
      <c r="J249" s="75" t="s">
        <v>1511</v>
      </c>
      <c r="K249" s="75" t="str">
        <f t="shared" si="3"/>
        <v>08-2024</v>
      </c>
      <c r="L249" s="10" t="s">
        <v>2599</v>
      </c>
    </row>
    <row r="250" spans="1:12" s="10" customFormat="1" ht="12" hidden="1" x14ac:dyDescent="0.3">
      <c r="A250" s="75">
        <v>4517</v>
      </c>
      <c r="B250" s="75" t="s">
        <v>683</v>
      </c>
      <c r="C250" s="75" t="s">
        <v>1508</v>
      </c>
      <c r="D250" s="75" t="s">
        <v>866</v>
      </c>
      <c r="E250" s="75" t="s">
        <v>1142</v>
      </c>
      <c r="F250" s="75" t="s">
        <v>1509</v>
      </c>
      <c r="G250" s="76">
        <v>45526</v>
      </c>
      <c r="H250" s="75" t="s">
        <v>53</v>
      </c>
      <c r="I250" s="75" t="s">
        <v>54</v>
      </c>
      <c r="J250" s="75" t="s">
        <v>1511</v>
      </c>
      <c r="K250" s="75" t="str">
        <f t="shared" si="3"/>
        <v>08-2024</v>
      </c>
      <c r="L250" s="10" t="s">
        <v>2599</v>
      </c>
    </row>
    <row r="251" spans="1:12" s="10" customFormat="1" ht="12" hidden="1" x14ac:dyDescent="0.3">
      <c r="A251" s="75">
        <v>7569</v>
      </c>
      <c r="B251" s="75" t="s">
        <v>124</v>
      </c>
      <c r="C251" s="75" t="s">
        <v>1508</v>
      </c>
      <c r="D251" s="75" t="s">
        <v>866</v>
      </c>
      <c r="E251" s="75" t="s">
        <v>1143</v>
      </c>
      <c r="F251" s="75" t="s">
        <v>1509</v>
      </c>
      <c r="G251" s="76">
        <v>45526</v>
      </c>
      <c r="H251" s="75" t="s">
        <v>73</v>
      </c>
      <c r="I251" s="75" t="s">
        <v>74</v>
      </c>
      <c r="J251" s="75" t="s">
        <v>1511</v>
      </c>
      <c r="K251" s="75" t="str">
        <f t="shared" si="3"/>
        <v>08-2024</v>
      </c>
      <c r="L251" s="10" t="s">
        <v>2599</v>
      </c>
    </row>
    <row r="252" spans="1:12" s="10" customFormat="1" ht="12" hidden="1" x14ac:dyDescent="0.3">
      <c r="A252" s="75">
        <v>7576</v>
      </c>
      <c r="B252" s="75" t="s">
        <v>422</v>
      </c>
      <c r="C252" s="75" t="s">
        <v>1508</v>
      </c>
      <c r="D252" s="75" t="s">
        <v>866</v>
      </c>
      <c r="E252" s="75" t="s">
        <v>1144</v>
      </c>
      <c r="F252" s="75" t="s">
        <v>1509</v>
      </c>
      <c r="G252" s="76">
        <v>45526</v>
      </c>
      <c r="H252" s="75" t="s">
        <v>73</v>
      </c>
      <c r="I252" s="75" t="s">
        <v>32</v>
      </c>
      <c r="J252" s="75" t="s">
        <v>1511</v>
      </c>
      <c r="K252" s="75" t="str">
        <f t="shared" si="3"/>
        <v>08-2024</v>
      </c>
      <c r="L252" s="10" t="s">
        <v>2599</v>
      </c>
    </row>
    <row r="253" spans="1:12" s="10" customFormat="1" ht="12" hidden="1" x14ac:dyDescent="0.3">
      <c r="A253" s="75">
        <v>3902</v>
      </c>
      <c r="B253" s="75" t="s">
        <v>768</v>
      </c>
      <c r="C253" s="75" t="s">
        <v>1508</v>
      </c>
      <c r="D253" s="75" t="s">
        <v>866</v>
      </c>
      <c r="E253" s="75" t="s">
        <v>1145</v>
      </c>
      <c r="F253" s="75" t="s">
        <v>1509</v>
      </c>
      <c r="G253" s="76">
        <v>45526</v>
      </c>
      <c r="H253" s="75" t="s">
        <v>40</v>
      </c>
      <c r="I253" s="75" t="s">
        <v>32</v>
      </c>
      <c r="J253" s="75" t="s">
        <v>1511</v>
      </c>
      <c r="K253" s="75" t="str">
        <f t="shared" si="3"/>
        <v>08-2024</v>
      </c>
      <c r="L253" s="10" t="s">
        <v>2599</v>
      </c>
    </row>
    <row r="254" spans="1:12" s="10" customFormat="1" ht="12" hidden="1" x14ac:dyDescent="0.3">
      <c r="A254" s="75">
        <v>2243</v>
      </c>
      <c r="B254" s="75" t="s">
        <v>63</v>
      </c>
      <c r="C254" s="75" t="s">
        <v>1508</v>
      </c>
      <c r="D254" s="75" t="s">
        <v>866</v>
      </c>
      <c r="E254" s="75" t="s">
        <v>1146</v>
      </c>
      <c r="F254" s="75" t="s">
        <v>1509</v>
      </c>
      <c r="G254" s="76">
        <v>45526</v>
      </c>
      <c r="H254" s="75" t="s">
        <v>53</v>
      </c>
      <c r="I254" s="75" t="s">
        <v>54</v>
      </c>
      <c r="J254" s="75" t="s">
        <v>1511</v>
      </c>
      <c r="K254" s="75" t="str">
        <f t="shared" si="3"/>
        <v>08-2024</v>
      </c>
      <c r="L254" s="10" t="s">
        <v>2599</v>
      </c>
    </row>
    <row r="255" spans="1:12" s="10" customFormat="1" ht="12" hidden="1" x14ac:dyDescent="0.3">
      <c r="A255" s="75">
        <v>7808</v>
      </c>
      <c r="B255" s="75" t="s">
        <v>177</v>
      </c>
      <c r="C255" s="75" t="s">
        <v>1508</v>
      </c>
      <c r="D255" s="75" t="s">
        <v>866</v>
      </c>
      <c r="E255" s="75" t="s">
        <v>1147</v>
      </c>
      <c r="F255" s="75" t="s">
        <v>1509</v>
      </c>
      <c r="G255" s="76">
        <v>45526</v>
      </c>
      <c r="H255" s="75" t="s">
        <v>21</v>
      </c>
      <c r="I255" s="75" t="s">
        <v>10</v>
      </c>
      <c r="J255" s="75" t="s">
        <v>1511</v>
      </c>
      <c r="K255" s="75" t="str">
        <f t="shared" si="3"/>
        <v>08-2024</v>
      </c>
      <c r="L255" s="10" t="s">
        <v>2599</v>
      </c>
    </row>
    <row r="256" spans="1:12" s="10" customFormat="1" ht="12" hidden="1" x14ac:dyDescent="0.3">
      <c r="A256" s="75">
        <v>6434</v>
      </c>
      <c r="B256" s="75" t="s">
        <v>785</v>
      </c>
      <c r="C256" s="75">
        <v>1847</v>
      </c>
      <c r="D256" s="75" t="s">
        <v>44</v>
      </c>
      <c r="E256" s="75" t="s">
        <v>1148</v>
      </c>
      <c r="F256" s="75" t="s">
        <v>1510</v>
      </c>
      <c r="G256" s="76">
        <v>45526</v>
      </c>
      <c r="H256" s="75" t="s">
        <v>24</v>
      </c>
      <c r="I256" s="75" t="s">
        <v>10</v>
      </c>
      <c r="J256" s="75" t="s">
        <v>1512</v>
      </c>
      <c r="K256" s="75" t="str">
        <f t="shared" si="3"/>
        <v>08-2024</v>
      </c>
      <c r="L256" s="10" t="s">
        <v>2599</v>
      </c>
    </row>
    <row r="257" spans="1:12" s="10" customFormat="1" ht="12" hidden="1" x14ac:dyDescent="0.3">
      <c r="A257" s="75">
        <v>4935</v>
      </c>
      <c r="B257" s="75" t="s">
        <v>753</v>
      </c>
      <c r="C257" s="75">
        <v>1938</v>
      </c>
      <c r="D257" s="75" t="s">
        <v>880</v>
      </c>
      <c r="E257" s="75" t="s">
        <v>1149</v>
      </c>
      <c r="F257" s="75" t="s">
        <v>1510</v>
      </c>
      <c r="G257" s="76">
        <v>45524</v>
      </c>
      <c r="H257" s="75" t="s">
        <v>35</v>
      </c>
      <c r="I257" s="75" t="s">
        <v>54</v>
      </c>
      <c r="J257" s="75" t="s">
        <v>1512</v>
      </c>
      <c r="K257" s="75" t="str">
        <f t="shared" si="3"/>
        <v>08-2024</v>
      </c>
      <c r="L257" s="10" t="s">
        <v>2599</v>
      </c>
    </row>
    <row r="258" spans="1:12" s="10" customFormat="1" ht="12" hidden="1" x14ac:dyDescent="0.3">
      <c r="A258" s="75">
        <v>7238</v>
      </c>
      <c r="B258" s="75" t="s">
        <v>798</v>
      </c>
      <c r="C258" s="75">
        <v>7249</v>
      </c>
      <c r="D258" s="75" t="s">
        <v>604</v>
      </c>
      <c r="E258" s="75" t="s">
        <v>1150</v>
      </c>
      <c r="F258" s="75" t="s">
        <v>1510</v>
      </c>
      <c r="G258" s="76">
        <v>45520</v>
      </c>
      <c r="H258" s="75" t="s">
        <v>168</v>
      </c>
      <c r="I258" s="75" t="s">
        <v>10</v>
      </c>
      <c r="J258" s="75" t="s">
        <v>1512</v>
      </c>
      <c r="K258" s="75" t="str">
        <f t="shared" si="3"/>
        <v>08-2024</v>
      </c>
      <c r="L258" s="10" t="s">
        <v>2599</v>
      </c>
    </row>
    <row r="259" spans="1:12" s="10" customFormat="1" ht="12" hidden="1" x14ac:dyDescent="0.3">
      <c r="A259" s="75">
        <v>7584</v>
      </c>
      <c r="B259" s="75" t="s">
        <v>266</v>
      </c>
      <c r="C259" s="75">
        <v>6808</v>
      </c>
      <c r="D259" s="75" t="s">
        <v>640</v>
      </c>
      <c r="E259" s="75" t="s">
        <v>1151</v>
      </c>
      <c r="F259" s="75" t="s">
        <v>1510</v>
      </c>
      <c r="G259" s="76">
        <v>45520</v>
      </c>
      <c r="H259" s="75" t="s">
        <v>9</v>
      </c>
      <c r="I259" s="75" t="s">
        <v>10</v>
      </c>
      <c r="J259" s="75" t="s">
        <v>1512</v>
      </c>
      <c r="K259" s="75" t="str">
        <f t="shared" ref="K259:K322" si="4">TEXT(G259,"mm-yyyy")</f>
        <v>08-2024</v>
      </c>
      <c r="L259" s="10" t="s">
        <v>2599</v>
      </c>
    </row>
    <row r="260" spans="1:12" s="10" customFormat="1" ht="12" hidden="1" x14ac:dyDescent="0.3">
      <c r="A260" s="75">
        <v>7567</v>
      </c>
      <c r="B260" s="75" t="s">
        <v>411</v>
      </c>
      <c r="C260" s="75">
        <v>7398</v>
      </c>
      <c r="D260" s="75" t="s">
        <v>645</v>
      </c>
      <c r="E260" s="75" t="s">
        <v>1152</v>
      </c>
      <c r="F260" s="75" t="s">
        <v>1510</v>
      </c>
      <c r="G260" s="76">
        <v>45518</v>
      </c>
      <c r="H260" s="75" t="s">
        <v>9</v>
      </c>
      <c r="I260" s="75" t="s">
        <v>10</v>
      </c>
      <c r="J260" s="75" t="s">
        <v>1512</v>
      </c>
      <c r="K260" s="75" t="str">
        <f t="shared" si="4"/>
        <v>08-2024</v>
      </c>
      <c r="L260" s="10" t="s">
        <v>2599</v>
      </c>
    </row>
    <row r="261" spans="1:12" s="10" customFormat="1" ht="12" hidden="1" x14ac:dyDescent="0.3">
      <c r="A261" s="75">
        <v>6572</v>
      </c>
      <c r="B261" s="75" t="s">
        <v>791</v>
      </c>
      <c r="C261" s="75">
        <v>1754</v>
      </c>
      <c r="D261" s="75" t="s">
        <v>706</v>
      </c>
      <c r="E261" s="75" t="s">
        <v>1153</v>
      </c>
      <c r="F261" s="75" t="s">
        <v>1510</v>
      </c>
      <c r="G261" s="76">
        <v>45517</v>
      </c>
      <c r="H261" s="75" t="s">
        <v>53</v>
      </c>
      <c r="I261" s="75" t="s">
        <v>54</v>
      </c>
      <c r="J261" s="75" t="s">
        <v>1512</v>
      </c>
      <c r="K261" s="75" t="str">
        <f t="shared" si="4"/>
        <v>08-2024</v>
      </c>
      <c r="L261" s="10" t="s">
        <v>2599</v>
      </c>
    </row>
    <row r="262" spans="1:12" s="10" customFormat="1" ht="12" hidden="1" x14ac:dyDescent="0.3">
      <c r="A262" s="75">
        <v>1583</v>
      </c>
      <c r="B262" s="75" t="s">
        <v>788</v>
      </c>
      <c r="C262" s="75">
        <v>1754</v>
      </c>
      <c r="D262" s="75" t="s">
        <v>706</v>
      </c>
      <c r="E262" s="75" t="s">
        <v>1154</v>
      </c>
      <c r="F262" s="75" t="s">
        <v>1510</v>
      </c>
      <c r="G262" s="76">
        <v>45517</v>
      </c>
      <c r="H262" s="75" t="s">
        <v>53</v>
      </c>
      <c r="I262" s="75" t="s">
        <v>54</v>
      </c>
      <c r="J262" s="75" t="s">
        <v>1512</v>
      </c>
      <c r="K262" s="75" t="str">
        <f t="shared" si="4"/>
        <v>08-2024</v>
      </c>
      <c r="L262" s="10" t="s">
        <v>2599</v>
      </c>
    </row>
    <row r="263" spans="1:12" s="10" customFormat="1" ht="12" hidden="1" x14ac:dyDescent="0.3">
      <c r="A263" s="75">
        <v>1518</v>
      </c>
      <c r="B263" s="75" t="s">
        <v>794</v>
      </c>
      <c r="C263" s="75">
        <v>6319</v>
      </c>
      <c r="D263" s="75" t="s">
        <v>809</v>
      </c>
      <c r="E263" s="75" t="s">
        <v>1155</v>
      </c>
      <c r="F263" s="75" t="s">
        <v>1510</v>
      </c>
      <c r="G263" s="76">
        <v>45513</v>
      </c>
      <c r="H263" s="75" t="s">
        <v>40</v>
      </c>
      <c r="I263" s="75" t="s">
        <v>54</v>
      </c>
      <c r="J263" s="75" t="s">
        <v>1512</v>
      </c>
      <c r="K263" s="75" t="str">
        <f t="shared" si="4"/>
        <v>08-2024</v>
      </c>
      <c r="L263" s="10" t="s">
        <v>2599</v>
      </c>
    </row>
    <row r="264" spans="1:12" s="10" customFormat="1" ht="12" hidden="1" x14ac:dyDescent="0.3">
      <c r="A264" s="75">
        <v>7526</v>
      </c>
      <c r="B264" s="75" t="s">
        <v>821</v>
      </c>
      <c r="C264" s="75">
        <v>7190</v>
      </c>
      <c r="D264" s="75" t="s">
        <v>472</v>
      </c>
      <c r="E264" s="75" t="s">
        <v>1156</v>
      </c>
      <c r="F264" s="75" t="s">
        <v>1509</v>
      </c>
      <c r="G264" s="76">
        <v>45513</v>
      </c>
      <c r="H264" s="75" t="s">
        <v>250</v>
      </c>
      <c r="I264" s="75" t="s">
        <v>32</v>
      </c>
      <c r="J264" s="75" t="s">
        <v>1511</v>
      </c>
      <c r="K264" s="75" t="str">
        <f t="shared" si="4"/>
        <v>08-2024</v>
      </c>
      <c r="L264" s="10" t="s">
        <v>2599</v>
      </c>
    </row>
    <row r="265" spans="1:12" s="10" customFormat="1" ht="12" hidden="1" x14ac:dyDescent="0.3">
      <c r="A265" s="75">
        <v>6127</v>
      </c>
      <c r="B265" s="75" t="s">
        <v>277</v>
      </c>
      <c r="C265" s="75">
        <v>7190</v>
      </c>
      <c r="D265" s="75" t="s">
        <v>472</v>
      </c>
      <c r="E265" s="75" t="s">
        <v>232</v>
      </c>
      <c r="F265" s="75" t="s">
        <v>1509</v>
      </c>
      <c r="G265" s="76">
        <v>45513</v>
      </c>
      <c r="H265" s="75" t="s">
        <v>250</v>
      </c>
      <c r="I265" s="75" t="s">
        <v>10</v>
      </c>
      <c r="J265" s="75" t="s">
        <v>1511</v>
      </c>
      <c r="K265" s="75" t="str">
        <f t="shared" si="4"/>
        <v>08-2024</v>
      </c>
      <c r="L265" s="10" t="s">
        <v>2599</v>
      </c>
    </row>
    <row r="266" spans="1:12" s="10" customFormat="1" ht="12" hidden="1" x14ac:dyDescent="0.3">
      <c r="A266" s="75">
        <v>767</v>
      </c>
      <c r="B266" s="75" t="s">
        <v>265</v>
      </c>
      <c r="C266" s="75">
        <v>7190</v>
      </c>
      <c r="D266" s="75" t="s">
        <v>472</v>
      </c>
      <c r="E266" s="75" t="s">
        <v>217</v>
      </c>
      <c r="F266" s="75" t="s">
        <v>1509</v>
      </c>
      <c r="G266" s="76">
        <v>45513</v>
      </c>
      <c r="H266" s="75" t="s">
        <v>168</v>
      </c>
      <c r="I266" s="75" t="s">
        <v>10</v>
      </c>
      <c r="J266" s="75" t="s">
        <v>1511</v>
      </c>
      <c r="K266" s="75" t="str">
        <f t="shared" si="4"/>
        <v>08-2024</v>
      </c>
      <c r="L266" s="10" t="s">
        <v>2599</v>
      </c>
    </row>
    <row r="267" spans="1:12" s="10" customFormat="1" ht="12" hidden="1" x14ac:dyDescent="0.3">
      <c r="A267" s="75">
        <v>7046</v>
      </c>
      <c r="B267" s="75" t="s">
        <v>261</v>
      </c>
      <c r="C267" s="75">
        <v>7656</v>
      </c>
      <c r="D267" s="75" t="s">
        <v>25</v>
      </c>
      <c r="E267" s="75" t="s">
        <v>1157</v>
      </c>
      <c r="F267" s="75" t="s">
        <v>1510</v>
      </c>
      <c r="G267" s="76">
        <v>45513</v>
      </c>
      <c r="H267" s="75" t="s">
        <v>9</v>
      </c>
      <c r="I267" s="75" t="s">
        <v>10</v>
      </c>
      <c r="J267" s="75" t="s">
        <v>1512</v>
      </c>
      <c r="K267" s="75" t="str">
        <f t="shared" si="4"/>
        <v>08-2024</v>
      </c>
      <c r="L267" s="10" t="s">
        <v>2599</v>
      </c>
    </row>
    <row r="268" spans="1:12" s="10" customFormat="1" ht="12" hidden="1" x14ac:dyDescent="0.3">
      <c r="A268" s="75">
        <v>1458</v>
      </c>
      <c r="B268" s="75" t="s">
        <v>278</v>
      </c>
      <c r="C268" s="75">
        <v>6319</v>
      </c>
      <c r="D268" s="75" t="s">
        <v>809</v>
      </c>
      <c r="E268" s="75" t="s">
        <v>1158</v>
      </c>
      <c r="F268" s="75" t="s">
        <v>1510</v>
      </c>
      <c r="G268" s="76">
        <v>45513</v>
      </c>
      <c r="H268" s="75" t="s">
        <v>40</v>
      </c>
      <c r="I268" s="75" t="s">
        <v>251</v>
      </c>
      <c r="J268" s="75" t="s">
        <v>1512</v>
      </c>
      <c r="K268" s="75" t="str">
        <f t="shared" si="4"/>
        <v>08-2024</v>
      </c>
      <c r="L268" s="10" t="s">
        <v>2599</v>
      </c>
    </row>
    <row r="269" spans="1:12" s="10" customFormat="1" ht="12" hidden="1" x14ac:dyDescent="0.3">
      <c r="A269" s="75">
        <v>4138</v>
      </c>
      <c r="B269" s="75" t="s">
        <v>806</v>
      </c>
      <c r="C269" s="75">
        <v>4379</v>
      </c>
      <c r="D269" s="75" t="s">
        <v>468</v>
      </c>
      <c r="E269" s="75" t="s">
        <v>1159</v>
      </c>
      <c r="F269" s="75" t="s">
        <v>1510</v>
      </c>
      <c r="G269" s="76">
        <v>45513</v>
      </c>
      <c r="H269" s="75" t="s">
        <v>53</v>
      </c>
      <c r="I269" s="75" t="s">
        <v>54</v>
      </c>
      <c r="J269" s="75" t="s">
        <v>1512</v>
      </c>
      <c r="K269" s="75" t="str">
        <f t="shared" si="4"/>
        <v>08-2024</v>
      </c>
      <c r="L269" s="10" t="s">
        <v>2599</v>
      </c>
    </row>
    <row r="270" spans="1:12" s="10" customFormat="1" ht="12" hidden="1" x14ac:dyDescent="0.3">
      <c r="A270" s="75">
        <v>3964</v>
      </c>
      <c r="B270" s="75" t="s">
        <v>734</v>
      </c>
      <c r="C270" s="75">
        <v>7400</v>
      </c>
      <c r="D270" s="75" t="s">
        <v>487</v>
      </c>
      <c r="E270" s="75" t="s">
        <v>1160</v>
      </c>
      <c r="F270" s="75" t="s">
        <v>1510</v>
      </c>
      <c r="G270" s="76">
        <v>45512</v>
      </c>
      <c r="H270" s="75" t="s">
        <v>53</v>
      </c>
      <c r="I270" s="75" t="s">
        <v>54</v>
      </c>
      <c r="J270" s="75" t="s">
        <v>1512</v>
      </c>
      <c r="K270" s="75" t="str">
        <f t="shared" si="4"/>
        <v>08-2024</v>
      </c>
      <c r="L270" s="10" t="s">
        <v>2599</v>
      </c>
    </row>
    <row r="271" spans="1:12" s="10" customFormat="1" ht="12" hidden="1" x14ac:dyDescent="0.3">
      <c r="A271" s="75">
        <v>5070</v>
      </c>
      <c r="B271" s="75" t="s">
        <v>822</v>
      </c>
      <c r="C271" s="75">
        <v>7400</v>
      </c>
      <c r="D271" s="75" t="s">
        <v>487</v>
      </c>
      <c r="E271" s="75" t="s">
        <v>1161</v>
      </c>
      <c r="F271" s="75" t="s">
        <v>1509</v>
      </c>
      <c r="G271" s="76">
        <v>45512</v>
      </c>
      <c r="H271" s="75" t="s">
        <v>53</v>
      </c>
      <c r="I271" s="75" t="s">
        <v>54</v>
      </c>
      <c r="J271" s="75" t="s">
        <v>1511</v>
      </c>
      <c r="K271" s="75" t="str">
        <f t="shared" si="4"/>
        <v>08-2024</v>
      </c>
      <c r="L271" s="10" t="s">
        <v>2599</v>
      </c>
    </row>
    <row r="272" spans="1:12" s="10" customFormat="1" ht="12" hidden="1" x14ac:dyDescent="0.3">
      <c r="A272" s="75">
        <v>1313</v>
      </c>
      <c r="B272" s="75" t="s">
        <v>61</v>
      </c>
      <c r="C272" s="75">
        <v>7400</v>
      </c>
      <c r="D272" s="75" t="s">
        <v>487</v>
      </c>
      <c r="E272" s="75" t="s">
        <v>1162</v>
      </c>
      <c r="F272" s="75" t="s">
        <v>1510</v>
      </c>
      <c r="G272" s="76">
        <v>45512</v>
      </c>
      <c r="H272" s="75" t="s">
        <v>53</v>
      </c>
      <c r="I272" s="75" t="s">
        <v>54</v>
      </c>
      <c r="J272" s="75" t="s">
        <v>1512</v>
      </c>
      <c r="K272" s="75" t="str">
        <f t="shared" si="4"/>
        <v>08-2024</v>
      </c>
      <c r="L272" s="10" t="s">
        <v>2599</v>
      </c>
    </row>
    <row r="273" spans="1:12" s="10" customFormat="1" ht="12" hidden="1" x14ac:dyDescent="0.3">
      <c r="A273" s="75">
        <v>7216</v>
      </c>
      <c r="B273" s="75" t="s">
        <v>36</v>
      </c>
      <c r="C273" s="75">
        <v>7049</v>
      </c>
      <c r="D273" s="75" t="s">
        <v>477</v>
      </c>
      <c r="E273" s="75" t="s">
        <v>1163</v>
      </c>
      <c r="F273" s="75" t="s">
        <v>1509</v>
      </c>
      <c r="G273" s="76">
        <v>45512</v>
      </c>
      <c r="H273" s="75" t="s">
        <v>35</v>
      </c>
      <c r="I273" s="75" t="s">
        <v>32</v>
      </c>
      <c r="J273" s="75" t="s">
        <v>1511</v>
      </c>
      <c r="K273" s="75" t="str">
        <f t="shared" si="4"/>
        <v>08-2024</v>
      </c>
      <c r="L273" s="10" t="s">
        <v>2599</v>
      </c>
    </row>
    <row r="274" spans="1:12" s="10" customFormat="1" ht="12" hidden="1" x14ac:dyDescent="0.3">
      <c r="A274" s="75">
        <v>7528</v>
      </c>
      <c r="B274" s="75" t="s">
        <v>273</v>
      </c>
      <c r="C274" s="75">
        <v>7400</v>
      </c>
      <c r="D274" s="75" t="s">
        <v>487</v>
      </c>
      <c r="E274" s="75" t="s">
        <v>1164</v>
      </c>
      <c r="F274" s="75" t="s">
        <v>1509</v>
      </c>
      <c r="G274" s="76">
        <v>45512</v>
      </c>
      <c r="H274" s="75" t="s">
        <v>40</v>
      </c>
      <c r="I274" s="75" t="s">
        <v>32</v>
      </c>
      <c r="J274" s="75" t="s">
        <v>1511</v>
      </c>
      <c r="K274" s="75" t="str">
        <f t="shared" si="4"/>
        <v>08-2024</v>
      </c>
      <c r="L274" s="10" t="s">
        <v>2599</v>
      </c>
    </row>
    <row r="275" spans="1:12" s="10" customFormat="1" ht="12" hidden="1" x14ac:dyDescent="0.3">
      <c r="A275" s="75">
        <v>2387</v>
      </c>
      <c r="B275" s="75" t="s">
        <v>790</v>
      </c>
      <c r="C275" s="75">
        <v>4013</v>
      </c>
      <c r="D275" s="75" t="s">
        <v>268</v>
      </c>
      <c r="E275" s="75" t="s">
        <v>1165</v>
      </c>
      <c r="F275" s="75" t="s">
        <v>1510</v>
      </c>
      <c r="G275" s="76">
        <v>45510</v>
      </c>
      <c r="H275" s="75" t="s">
        <v>9</v>
      </c>
      <c r="I275" s="75" t="s">
        <v>54</v>
      </c>
      <c r="J275" s="75" t="s">
        <v>1512</v>
      </c>
      <c r="K275" s="75" t="str">
        <f t="shared" si="4"/>
        <v>08-2024</v>
      </c>
      <c r="L275" s="10" t="s">
        <v>2599</v>
      </c>
    </row>
    <row r="276" spans="1:12" s="10" customFormat="1" ht="12" hidden="1" x14ac:dyDescent="0.3">
      <c r="A276" s="75">
        <v>6551</v>
      </c>
      <c r="B276" s="75" t="s">
        <v>780</v>
      </c>
      <c r="C276" s="75">
        <v>6721</v>
      </c>
      <c r="D276" s="75" t="s">
        <v>170</v>
      </c>
      <c r="E276" s="75" t="s">
        <v>1166</v>
      </c>
      <c r="F276" s="75" t="s">
        <v>1510</v>
      </c>
      <c r="G276" s="76">
        <v>45509</v>
      </c>
      <c r="H276" s="75" t="s">
        <v>53</v>
      </c>
      <c r="I276" s="75" t="s">
        <v>54</v>
      </c>
      <c r="J276" s="75" t="s">
        <v>1512</v>
      </c>
      <c r="K276" s="75" t="str">
        <f t="shared" si="4"/>
        <v>08-2024</v>
      </c>
      <c r="L276" s="10" t="s">
        <v>2599</v>
      </c>
    </row>
    <row r="277" spans="1:12" s="10" customFormat="1" ht="12" hidden="1" x14ac:dyDescent="0.3">
      <c r="A277" s="75">
        <v>5415</v>
      </c>
      <c r="B277" s="75" t="s">
        <v>789</v>
      </c>
      <c r="C277" s="75">
        <v>6721</v>
      </c>
      <c r="D277" s="75" t="s">
        <v>170</v>
      </c>
      <c r="E277" s="75" t="s">
        <v>1167</v>
      </c>
      <c r="F277" s="75" t="s">
        <v>1510</v>
      </c>
      <c r="G277" s="76">
        <v>45509</v>
      </c>
      <c r="H277" s="75" t="s">
        <v>53</v>
      </c>
      <c r="I277" s="75" t="s">
        <v>54</v>
      </c>
      <c r="J277" s="75" t="s">
        <v>1512</v>
      </c>
      <c r="K277" s="75" t="str">
        <f t="shared" si="4"/>
        <v>08-2024</v>
      </c>
      <c r="L277" s="10" t="s">
        <v>2599</v>
      </c>
    </row>
    <row r="278" spans="1:12" s="10" customFormat="1" ht="12" hidden="1" x14ac:dyDescent="0.3">
      <c r="A278" s="75">
        <v>5958</v>
      </c>
      <c r="B278" s="75" t="s">
        <v>799</v>
      </c>
      <c r="C278" s="75">
        <v>6721</v>
      </c>
      <c r="D278" s="75" t="s">
        <v>170</v>
      </c>
      <c r="E278" s="75" t="s">
        <v>1168</v>
      </c>
      <c r="F278" s="75" t="s">
        <v>1510</v>
      </c>
      <c r="G278" s="76">
        <v>45509</v>
      </c>
      <c r="H278" s="75" t="s">
        <v>53</v>
      </c>
      <c r="I278" s="75" t="s">
        <v>54</v>
      </c>
      <c r="J278" s="75" t="s">
        <v>1512</v>
      </c>
      <c r="K278" s="75" t="str">
        <f t="shared" si="4"/>
        <v>08-2024</v>
      </c>
      <c r="L278" s="10" t="s">
        <v>2599</v>
      </c>
    </row>
    <row r="279" spans="1:12" s="10" customFormat="1" ht="12" hidden="1" x14ac:dyDescent="0.3">
      <c r="A279" s="75">
        <v>7483</v>
      </c>
      <c r="B279" s="75" t="s">
        <v>786</v>
      </c>
      <c r="C279" s="75">
        <v>6721</v>
      </c>
      <c r="D279" s="75" t="s">
        <v>170</v>
      </c>
      <c r="E279" s="75" t="s">
        <v>1169</v>
      </c>
      <c r="F279" s="75" t="s">
        <v>1510</v>
      </c>
      <c r="G279" s="76">
        <v>45509</v>
      </c>
      <c r="H279" s="75" t="s">
        <v>53</v>
      </c>
      <c r="I279" s="75" t="s">
        <v>54</v>
      </c>
      <c r="J279" s="75" t="s">
        <v>1512</v>
      </c>
      <c r="K279" s="75" t="str">
        <f t="shared" si="4"/>
        <v>08-2024</v>
      </c>
      <c r="L279" s="10" t="s">
        <v>2599</v>
      </c>
    </row>
    <row r="280" spans="1:12" s="10" customFormat="1" ht="12" hidden="1" x14ac:dyDescent="0.3">
      <c r="A280" s="75">
        <v>5805</v>
      </c>
      <c r="B280" s="75" t="s">
        <v>782</v>
      </c>
      <c r="C280" s="75">
        <v>6721</v>
      </c>
      <c r="D280" s="75" t="s">
        <v>170</v>
      </c>
      <c r="E280" s="75" t="s">
        <v>1170</v>
      </c>
      <c r="F280" s="75" t="s">
        <v>1510</v>
      </c>
      <c r="G280" s="76">
        <v>45509</v>
      </c>
      <c r="H280" s="75" t="s">
        <v>53</v>
      </c>
      <c r="I280" s="75" t="s">
        <v>54</v>
      </c>
      <c r="J280" s="75" t="s">
        <v>1512</v>
      </c>
      <c r="K280" s="75" t="str">
        <f t="shared" si="4"/>
        <v>08-2024</v>
      </c>
      <c r="L280" s="10" t="s">
        <v>2599</v>
      </c>
    </row>
    <row r="281" spans="1:12" s="10" customFormat="1" ht="12" hidden="1" x14ac:dyDescent="0.3">
      <c r="A281" s="75">
        <v>3955</v>
      </c>
      <c r="B281" s="75" t="s">
        <v>784</v>
      </c>
      <c r="C281" s="75">
        <v>6721</v>
      </c>
      <c r="D281" s="75" t="s">
        <v>170</v>
      </c>
      <c r="E281" s="75" t="s">
        <v>1171</v>
      </c>
      <c r="F281" s="75" t="s">
        <v>1510</v>
      </c>
      <c r="G281" s="76">
        <v>45509</v>
      </c>
      <c r="H281" s="75" t="s">
        <v>53</v>
      </c>
      <c r="I281" s="75" t="s">
        <v>54</v>
      </c>
      <c r="J281" s="75" t="s">
        <v>1512</v>
      </c>
      <c r="K281" s="75" t="str">
        <f t="shared" si="4"/>
        <v>08-2024</v>
      </c>
      <c r="L281" s="10" t="s">
        <v>2599</v>
      </c>
    </row>
    <row r="282" spans="1:12" s="10" customFormat="1" ht="12" hidden="1" x14ac:dyDescent="0.3">
      <c r="A282" s="75">
        <v>5488</v>
      </c>
      <c r="B282" s="75" t="s">
        <v>793</v>
      </c>
      <c r="C282" s="75">
        <v>6721</v>
      </c>
      <c r="D282" s="75" t="s">
        <v>170</v>
      </c>
      <c r="E282" s="75" t="s">
        <v>1172</v>
      </c>
      <c r="F282" s="75" t="s">
        <v>1510</v>
      </c>
      <c r="G282" s="76">
        <v>45509</v>
      </c>
      <c r="H282" s="75" t="s">
        <v>53</v>
      </c>
      <c r="I282" s="75" t="s">
        <v>54</v>
      </c>
      <c r="J282" s="75" t="s">
        <v>1512</v>
      </c>
      <c r="K282" s="75" t="str">
        <f t="shared" si="4"/>
        <v>08-2024</v>
      </c>
      <c r="L282" s="10" t="s">
        <v>2599</v>
      </c>
    </row>
    <row r="283" spans="1:12" s="10" customFormat="1" ht="12" hidden="1" x14ac:dyDescent="0.3">
      <c r="A283" s="75">
        <v>4791</v>
      </c>
      <c r="B283" s="75" t="s">
        <v>796</v>
      </c>
      <c r="C283" s="75">
        <v>6721</v>
      </c>
      <c r="D283" s="75" t="s">
        <v>170</v>
      </c>
      <c r="E283" s="75" t="s">
        <v>1173</v>
      </c>
      <c r="F283" s="75" t="s">
        <v>1510</v>
      </c>
      <c r="G283" s="76">
        <v>45509</v>
      </c>
      <c r="H283" s="75" t="s">
        <v>53</v>
      </c>
      <c r="I283" s="75" t="s">
        <v>54</v>
      </c>
      <c r="J283" s="75" t="s">
        <v>1512</v>
      </c>
      <c r="K283" s="75" t="str">
        <f t="shared" si="4"/>
        <v>08-2024</v>
      </c>
      <c r="L283" s="10" t="s">
        <v>2599</v>
      </c>
    </row>
    <row r="284" spans="1:12" s="10" customFormat="1" ht="12" hidden="1" x14ac:dyDescent="0.3">
      <c r="A284" s="75">
        <v>7771</v>
      </c>
      <c r="B284" s="75" t="s">
        <v>810</v>
      </c>
      <c r="C284" s="75">
        <v>6690</v>
      </c>
      <c r="D284" s="75" t="s">
        <v>280</v>
      </c>
      <c r="E284" s="75" t="s">
        <v>1174</v>
      </c>
      <c r="F284" s="75" t="s">
        <v>1510</v>
      </c>
      <c r="G284" s="76">
        <v>45506</v>
      </c>
      <c r="H284" s="75" t="s">
        <v>16</v>
      </c>
      <c r="I284" s="75" t="s">
        <v>54</v>
      </c>
      <c r="J284" s="75" t="s">
        <v>1512</v>
      </c>
      <c r="K284" s="75" t="str">
        <f t="shared" si="4"/>
        <v>08-2024</v>
      </c>
      <c r="L284" s="10" t="s">
        <v>2599</v>
      </c>
    </row>
    <row r="285" spans="1:12" s="10" customFormat="1" ht="12" hidden="1" x14ac:dyDescent="0.3">
      <c r="A285" s="75">
        <v>5387</v>
      </c>
      <c r="B285" s="75" t="s">
        <v>807</v>
      </c>
      <c r="C285" s="75">
        <v>7756</v>
      </c>
      <c r="D285" s="75" t="s">
        <v>65</v>
      </c>
      <c r="E285" s="75" t="s">
        <v>1175</v>
      </c>
      <c r="F285" s="75" t="s">
        <v>1510</v>
      </c>
      <c r="G285" s="76">
        <v>45506</v>
      </c>
      <c r="H285" s="75" t="s">
        <v>73</v>
      </c>
      <c r="I285" s="75" t="s">
        <v>54</v>
      </c>
      <c r="J285" s="75" t="s">
        <v>1512</v>
      </c>
      <c r="K285" s="75" t="str">
        <f t="shared" si="4"/>
        <v>08-2024</v>
      </c>
      <c r="L285" s="10" t="s">
        <v>2599</v>
      </c>
    </row>
    <row r="286" spans="1:12" s="10" customFormat="1" ht="12" hidden="1" x14ac:dyDescent="0.3">
      <c r="A286" s="75">
        <v>7413</v>
      </c>
      <c r="B286" s="75" t="s">
        <v>781</v>
      </c>
      <c r="C286" s="75">
        <v>5184</v>
      </c>
      <c r="D286" s="75" t="s">
        <v>613</v>
      </c>
      <c r="E286" s="75" t="s">
        <v>1176</v>
      </c>
      <c r="F286" s="75" t="s">
        <v>1510</v>
      </c>
      <c r="G286" s="76">
        <v>45506</v>
      </c>
      <c r="H286" s="75" t="s">
        <v>40</v>
      </c>
      <c r="I286" s="75" t="s">
        <v>251</v>
      </c>
      <c r="J286" s="75" t="s">
        <v>1512</v>
      </c>
      <c r="K286" s="75" t="str">
        <f t="shared" si="4"/>
        <v>08-2024</v>
      </c>
      <c r="L286" s="10" t="s">
        <v>2599</v>
      </c>
    </row>
    <row r="287" spans="1:12" s="10" customFormat="1" ht="12" hidden="1" x14ac:dyDescent="0.3">
      <c r="A287" s="75">
        <v>6983</v>
      </c>
      <c r="B287" s="75" t="s">
        <v>792</v>
      </c>
      <c r="C287" s="75">
        <v>2963</v>
      </c>
      <c r="D287" s="75" t="s">
        <v>886</v>
      </c>
      <c r="E287" s="75" t="s">
        <v>1177</v>
      </c>
      <c r="F287" s="75" t="s">
        <v>1510</v>
      </c>
      <c r="G287" s="76">
        <v>45506</v>
      </c>
      <c r="H287" s="75" t="s">
        <v>35</v>
      </c>
      <c r="I287" s="75" t="s">
        <v>32</v>
      </c>
      <c r="J287" s="75" t="s">
        <v>1512</v>
      </c>
      <c r="K287" s="75" t="str">
        <f t="shared" si="4"/>
        <v>08-2024</v>
      </c>
      <c r="L287" s="10" t="s">
        <v>2599</v>
      </c>
    </row>
    <row r="288" spans="1:12" s="10" customFormat="1" ht="12" hidden="1" x14ac:dyDescent="0.3">
      <c r="A288" s="75">
        <v>3902</v>
      </c>
      <c r="B288" s="75" t="s">
        <v>768</v>
      </c>
      <c r="C288" s="75">
        <v>4182</v>
      </c>
      <c r="D288" s="75" t="s">
        <v>887</v>
      </c>
      <c r="E288" s="75" t="s">
        <v>1178</v>
      </c>
      <c r="F288" s="75" t="s">
        <v>1510</v>
      </c>
      <c r="G288" s="76">
        <v>45506</v>
      </c>
      <c r="H288" s="75" t="s">
        <v>40</v>
      </c>
      <c r="I288" s="75" t="s">
        <v>32</v>
      </c>
      <c r="J288" s="75" t="s">
        <v>1512</v>
      </c>
      <c r="K288" s="75" t="str">
        <f t="shared" si="4"/>
        <v>08-2024</v>
      </c>
      <c r="L288" s="10" t="s">
        <v>2599</v>
      </c>
    </row>
    <row r="289" spans="1:12" s="10" customFormat="1" ht="12" hidden="1" x14ac:dyDescent="0.3">
      <c r="A289" s="75">
        <v>2214</v>
      </c>
      <c r="B289" s="75" t="s">
        <v>811</v>
      </c>
      <c r="C289" s="75">
        <v>7756</v>
      </c>
      <c r="D289" s="75" t="s">
        <v>65</v>
      </c>
      <c r="E289" s="75" t="s">
        <v>1179</v>
      </c>
      <c r="F289" s="75" t="s">
        <v>1510</v>
      </c>
      <c r="G289" s="76">
        <v>45505</v>
      </c>
      <c r="H289" s="75" t="s">
        <v>53</v>
      </c>
      <c r="I289" s="75" t="s">
        <v>54</v>
      </c>
      <c r="J289" s="75" t="s">
        <v>1512</v>
      </c>
      <c r="K289" s="75" t="str">
        <f t="shared" si="4"/>
        <v>08-2024</v>
      </c>
      <c r="L289" s="10" t="s">
        <v>2599</v>
      </c>
    </row>
    <row r="290" spans="1:12" s="10" customFormat="1" ht="12" hidden="1" x14ac:dyDescent="0.3">
      <c r="A290" s="75">
        <v>4937</v>
      </c>
      <c r="B290" s="75" t="s">
        <v>127</v>
      </c>
      <c r="C290" s="75">
        <v>7756</v>
      </c>
      <c r="D290" s="75" t="s">
        <v>65</v>
      </c>
      <c r="E290" s="75" t="s">
        <v>1180</v>
      </c>
      <c r="F290" s="75" t="s">
        <v>1510</v>
      </c>
      <c r="G290" s="76">
        <v>45505</v>
      </c>
      <c r="H290" s="75" t="s">
        <v>53</v>
      </c>
      <c r="I290" s="75" t="s">
        <v>54</v>
      </c>
      <c r="J290" s="75" t="s">
        <v>1512</v>
      </c>
      <c r="K290" s="75" t="str">
        <f t="shared" si="4"/>
        <v>08-2024</v>
      </c>
      <c r="L290" s="10" t="s">
        <v>2599</v>
      </c>
    </row>
    <row r="291" spans="1:12" s="10" customFormat="1" ht="12" hidden="1" x14ac:dyDescent="0.3">
      <c r="A291" s="75">
        <v>6319</v>
      </c>
      <c r="B291" s="75" t="s">
        <v>809</v>
      </c>
      <c r="C291" s="75">
        <v>1458</v>
      </c>
      <c r="D291" s="75" t="s">
        <v>278</v>
      </c>
      <c r="E291" s="75" t="s">
        <v>1181</v>
      </c>
      <c r="F291" s="75" t="s">
        <v>1510</v>
      </c>
      <c r="G291" s="76">
        <v>45505</v>
      </c>
      <c r="H291" s="75" t="s">
        <v>40</v>
      </c>
      <c r="I291" s="75" t="s">
        <v>32</v>
      </c>
      <c r="J291" s="75" t="s">
        <v>1512</v>
      </c>
      <c r="K291" s="75" t="str">
        <f t="shared" si="4"/>
        <v>08-2024</v>
      </c>
      <c r="L291" s="10" t="s">
        <v>2599</v>
      </c>
    </row>
    <row r="292" spans="1:12" s="10" customFormat="1" ht="12" hidden="1" x14ac:dyDescent="0.3">
      <c r="A292" s="75">
        <v>7844</v>
      </c>
      <c r="B292" s="75" t="s">
        <v>111</v>
      </c>
      <c r="C292" s="75">
        <v>7479</v>
      </c>
      <c r="D292" s="75" t="s">
        <v>814</v>
      </c>
      <c r="E292" s="75" t="s">
        <v>1182</v>
      </c>
      <c r="F292" s="75" t="s">
        <v>1509</v>
      </c>
      <c r="G292" s="76">
        <v>45505</v>
      </c>
      <c r="H292" s="75" t="s">
        <v>16</v>
      </c>
      <c r="I292" s="75" t="s">
        <v>54</v>
      </c>
      <c r="J292" s="75" t="s">
        <v>1511</v>
      </c>
      <c r="K292" s="75" t="str">
        <f t="shared" si="4"/>
        <v>08-2024</v>
      </c>
      <c r="L292" s="10" t="s">
        <v>2599</v>
      </c>
    </row>
    <row r="293" spans="1:12" s="10" customFormat="1" ht="12" hidden="1" x14ac:dyDescent="0.3">
      <c r="A293" s="75">
        <v>7667</v>
      </c>
      <c r="B293" s="75" t="s">
        <v>57</v>
      </c>
      <c r="C293" s="75">
        <v>7479</v>
      </c>
      <c r="D293" s="75" t="s">
        <v>814</v>
      </c>
      <c r="E293" s="75" t="s">
        <v>1183</v>
      </c>
      <c r="F293" s="75" t="s">
        <v>1510</v>
      </c>
      <c r="G293" s="76">
        <v>45505</v>
      </c>
      <c r="H293" s="75" t="s">
        <v>16</v>
      </c>
      <c r="I293" s="75" t="s">
        <v>54</v>
      </c>
      <c r="J293" s="75" t="s">
        <v>1512</v>
      </c>
      <c r="K293" s="75" t="str">
        <f t="shared" si="4"/>
        <v>08-2024</v>
      </c>
      <c r="L293" s="10" t="s">
        <v>2599</v>
      </c>
    </row>
    <row r="294" spans="1:12" s="10" customFormat="1" ht="12" hidden="1" x14ac:dyDescent="0.3">
      <c r="A294" s="75">
        <v>2799</v>
      </c>
      <c r="B294" s="75" t="s">
        <v>823</v>
      </c>
      <c r="C294" s="75">
        <v>3588</v>
      </c>
      <c r="D294" s="75" t="s">
        <v>844</v>
      </c>
      <c r="E294" s="75" t="s">
        <v>1184</v>
      </c>
      <c r="F294" s="75" t="s">
        <v>1509</v>
      </c>
      <c r="G294" s="76">
        <v>45504</v>
      </c>
      <c r="H294" s="75" t="s">
        <v>73</v>
      </c>
      <c r="I294" s="75" t="s">
        <v>32</v>
      </c>
      <c r="J294" s="75" t="s">
        <v>1511</v>
      </c>
      <c r="K294" s="75" t="str">
        <f t="shared" si="4"/>
        <v>07-2024</v>
      </c>
      <c r="L294" s="10" t="s">
        <v>2599</v>
      </c>
    </row>
    <row r="295" spans="1:12" s="10" customFormat="1" ht="12" hidden="1" x14ac:dyDescent="0.3">
      <c r="A295" s="75">
        <v>7420</v>
      </c>
      <c r="B295" s="75" t="s">
        <v>275</v>
      </c>
      <c r="C295" s="75">
        <v>3588</v>
      </c>
      <c r="D295" s="75" t="s">
        <v>844</v>
      </c>
      <c r="E295" s="75" t="s">
        <v>229</v>
      </c>
      <c r="F295" s="75" t="s">
        <v>1509</v>
      </c>
      <c r="G295" s="76">
        <v>45504</v>
      </c>
      <c r="H295" s="75" t="s">
        <v>73</v>
      </c>
      <c r="I295" s="75" t="s">
        <v>74</v>
      </c>
      <c r="J295" s="75" t="s">
        <v>1511</v>
      </c>
      <c r="K295" s="75" t="str">
        <f t="shared" si="4"/>
        <v>07-2024</v>
      </c>
      <c r="L295" s="10" t="s">
        <v>2599</v>
      </c>
    </row>
    <row r="296" spans="1:12" s="10" customFormat="1" ht="12" hidden="1" x14ac:dyDescent="0.3">
      <c r="A296" s="75">
        <v>7630</v>
      </c>
      <c r="B296" s="75" t="s">
        <v>274</v>
      </c>
      <c r="C296" s="75">
        <v>3588</v>
      </c>
      <c r="D296" s="75" t="s">
        <v>844</v>
      </c>
      <c r="E296" s="75" t="s">
        <v>1185</v>
      </c>
      <c r="F296" s="75" t="s">
        <v>1509</v>
      </c>
      <c r="G296" s="76">
        <v>45504</v>
      </c>
      <c r="H296" s="75" t="s">
        <v>40</v>
      </c>
      <c r="I296" s="75" t="s">
        <v>74</v>
      </c>
      <c r="J296" s="75" t="s">
        <v>1511</v>
      </c>
      <c r="K296" s="75" t="str">
        <f t="shared" si="4"/>
        <v>07-2024</v>
      </c>
      <c r="L296" s="10" t="s">
        <v>2599</v>
      </c>
    </row>
    <row r="297" spans="1:12" s="10" customFormat="1" ht="12" hidden="1" x14ac:dyDescent="0.3">
      <c r="A297" s="75">
        <v>7808</v>
      </c>
      <c r="B297" s="75" t="s">
        <v>177</v>
      </c>
      <c r="C297" s="75">
        <v>6890</v>
      </c>
      <c r="D297" s="75" t="s">
        <v>302</v>
      </c>
      <c r="E297" s="75" t="s">
        <v>1186</v>
      </c>
      <c r="F297" s="75" t="s">
        <v>1510</v>
      </c>
      <c r="G297" s="76">
        <v>45504</v>
      </c>
      <c r="H297" s="75" t="s">
        <v>21</v>
      </c>
      <c r="I297" s="75" t="s">
        <v>10</v>
      </c>
      <c r="J297" s="75" t="s">
        <v>1512</v>
      </c>
      <c r="K297" s="75" t="str">
        <f t="shared" si="4"/>
        <v>07-2024</v>
      </c>
      <c r="L297" s="10" t="s">
        <v>2599</v>
      </c>
    </row>
    <row r="298" spans="1:12" s="10" customFormat="1" ht="12" hidden="1" x14ac:dyDescent="0.3">
      <c r="A298" s="75">
        <v>7138</v>
      </c>
      <c r="B298" s="75" t="s">
        <v>824</v>
      </c>
      <c r="C298" s="75">
        <v>3812</v>
      </c>
      <c r="D298" s="75" t="s">
        <v>467</v>
      </c>
      <c r="E298" s="75" t="s">
        <v>1187</v>
      </c>
      <c r="F298" s="75" t="s">
        <v>1509</v>
      </c>
      <c r="G298" s="76">
        <v>45504</v>
      </c>
      <c r="H298" s="75" t="s">
        <v>73</v>
      </c>
      <c r="I298" s="75" t="s">
        <v>74</v>
      </c>
      <c r="J298" s="75" t="s">
        <v>1511</v>
      </c>
      <c r="K298" s="75" t="str">
        <f t="shared" si="4"/>
        <v>07-2024</v>
      </c>
      <c r="L298" s="10" t="s">
        <v>2599</v>
      </c>
    </row>
    <row r="299" spans="1:12" s="10" customFormat="1" ht="12" hidden="1" x14ac:dyDescent="0.3">
      <c r="A299" s="75">
        <v>5522</v>
      </c>
      <c r="B299" s="75" t="s">
        <v>253</v>
      </c>
      <c r="C299" s="75">
        <v>3812</v>
      </c>
      <c r="D299" s="75" t="s">
        <v>467</v>
      </c>
      <c r="E299" s="75" t="s">
        <v>204</v>
      </c>
      <c r="F299" s="75" t="s">
        <v>1509</v>
      </c>
      <c r="G299" s="76">
        <v>45504</v>
      </c>
      <c r="H299" s="75" t="s">
        <v>73</v>
      </c>
      <c r="I299" s="75" t="s">
        <v>74</v>
      </c>
      <c r="J299" s="75" t="s">
        <v>1511</v>
      </c>
      <c r="K299" s="75" t="str">
        <f t="shared" si="4"/>
        <v>07-2024</v>
      </c>
      <c r="L299" s="10" t="s">
        <v>2599</v>
      </c>
    </row>
    <row r="300" spans="1:12" s="10" customFormat="1" ht="12" hidden="1" x14ac:dyDescent="0.3">
      <c r="A300" s="75">
        <v>2243</v>
      </c>
      <c r="B300" s="75" t="s">
        <v>63</v>
      </c>
      <c r="C300" s="75">
        <v>6481</v>
      </c>
      <c r="D300" s="75" t="s">
        <v>126</v>
      </c>
      <c r="E300" s="75" t="s">
        <v>1188</v>
      </c>
      <c r="F300" s="75" t="s">
        <v>1510</v>
      </c>
      <c r="G300" s="76">
        <v>45504</v>
      </c>
      <c r="H300" s="75" t="s">
        <v>53</v>
      </c>
      <c r="I300" s="75" t="s">
        <v>54</v>
      </c>
      <c r="J300" s="75" t="s">
        <v>1512</v>
      </c>
      <c r="K300" s="75" t="str">
        <f t="shared" si="4"/>
        <v>07-2024</v>
      </c>
      <c r="L300" s="10" t="s">
        <v>2599</v>
      </c>
    </row>
    <row r="301" spans="1:12" s="10" customFormat="1" ht="12" hidden="1" x14ac:dyDescent="0.3">
      <c r="A301" s="75">
        <v>3902</v>
      </c>
      <c r="B301" s="75" t="s">
        <v>768</v>
      </c>
      <c r="C301" s="75">
        <v>4922</v>
      </c>
      <c r="D301" s="75" t="s">
        <v>849</v>
      </c>
      <c r="E301" s="75" t="s">
        <v>1189</v>
      </c>
      <c r="F301" s="75" t="s">
        <v>1510</v>
      </c>
      <c r="G301" s="76">
        <v>45504</v>
      </c>
      <c r="H301" s="75" t="s">
        <v>40</v>
      </c>
      <c r="I301" s="75" t="s">
        <v>32</v>
      </c>
      <c r="J301" s="75" t="s">
        <v>1512</v>
      </c>
      <c r="K301" s="75" t="str">
        <f t="shared" si="4"/>
        <v>07-2024</v>
      </c>
      <c r="L301" s="10" t="s">
        <v>2599</v>
      </c>
    </row>
    <row r="302" spans="1:12" s="10" customFormat="1" ht="12" hidden="1" x14ac:dyDescent="0.3">
      <c r="A302" s="75">
        <v>7576</v>
      </c>
      <c r="B302" s="75" t="s">
        <v>422</v>
      </c>
      <c r="C302" s="75">
        <v>7730</v>
      </c>
      <c r="D302" s="75" t="s">
        <v>888</v>
      </c>
      <c r="E302" s="75" t="s">
        <v>1190</v>
      </c>
      <c r="F302" s="75" t="s">
        <v>1510</v>
      </c>
      <c r="G302" s="76">
        <v>45504</v>
      </c>
      <c r="H302" s="75" t="s">
        <v>73</v>
      </c>
      <c r="I302" s="75" t="s">
        <v>32</v>
      </c>
      <c r="J302" s="75" t="s">
        <v>1512</v>
      </c>
      <c r="K302" s="75" t="str">
        <f t="shared" si="4"/>
        <v>07-2024</v>
      </c>
      <c r="L302" s="10" t="s">
        <v>2599</v>
      </c>
    </row>
    <row r="303" spans="1:12" s="10" customFormat="1" ht="12" hidden="1" x14ac:dyDescent="0.3">
      <c r="A303" s="75">
        <v>7569</v>
      </c>
      <c r="B303" s="75" t="s">
        <v>124</v>
      </c>
      <c r="C303" s="75">
        <v>5710</v>
      </c>
      <c r="D303" s="75" t="s">
        <v>889</v>
      </c>
      <c r="E303" s="75" t="s">
        <v>1191</v>
      </c>
      <c r="F303" s="75" t="s">
        <v>1510</v>
      </c>
      <c r="G303" s="76">
        <v>45504</v>
      </c>
      <c r="H303" s="75" t="s">
        <v>73</v>
      </c>
      <c r="I303" s="75" t="s">
        <v>74</v>
      </c>
      <c r="J303" s="75" t="s">
        <v>1512</v>
      </c>
      <c r="K303" s="75" t="str">
        <f t="shared" si="4"/>
        <v>07-2024</v>
      </c>
      <c r="L303" s="10" t="s">
        <v>2599</v>
      </c>
    </row>
    <row r="304" spans="1:12" s="10" customFormat="1" ht="12" hidden="1" x14ac:dyDescent="0.3">
      <c r="A304" s="75">
        <v>7656</v>
      </c>
      <c r="B304" s="75" t="s">
        <v>25</v>
      </c>
      <c r="C304" s="75">
        <v>7748</v>
      </c>
      <c r="D304" s="75" t="s">
        <v>342</v>
      </c>
      <c r="E304" s="75" t="s">
        <v>1192</v>
      </c>
      <c r="F304" s="75" t="s">
        <v>1510</v>
      </c>
      <c r="G304" s="76">
        <v>45503</v>
      </c>
      <c r="H304" s="75" t="s">
        <v>21</v>
      </c>
      <c r="I304" s="75" t="s">
        <v>10</v>
      </c>
      <c r="J304" s="75" t="s">
        <v>1512</v>
      </c>
      <c r="K304" s="75" t="str">
        <f t="shared" si="4"/>
        <v>07-2024</v>
      </c>
      <c r="L304" s="10" t="s">
        <v>2599</v>
      </c>
    </row>
    <row r="305" spans="1:12" s="10" customFormat="1" ht="12" hidden="1" x14ac:dyDescent="0.3">
      <c r="A305" s="75">
        <v>2292</v>
      </c>
      <c r="B305" s="75" t="s">
        <v>819</v>
      </c>
      <c r="C305" s="75">
        <v>7400</v>
      </c>
      <c r="D305" s="75" t="s">
        <v>487</v>
      </c>
      <c r="E305" s="75" t="s">
        <v>1193</v>
      </c>
      <c r="F305" s="75" t="s">
        <v>1510</v>
      </c>
      <c r="G305" s="76">
        <v>45503</v>
      </c>
      <c r="H305" s="75" t="s">
        <v>53</v>
      </c>
      <c r="I305" s="75" t="s">
        <v>54</v>
      </c>
      <c r="J305" s="75" t="s">
        <v>1512</v>
      </c>
      <c r="K305" s="75" t="str">
        <f t="shared" si="4"/>
        <v>07-2024</v>
      </c>
      <c r="L305" s="10" t="s">
        <v>2599</v>
      </c>
    </row>
    <row r="306" spans="1:12" s="10" customFormat="1" ht="12" hidden="1" x14ac:dyDescent="0.3">
      <c r="A306" s="75">
        <v>1697</v>
      </c>
      <c r="B306" s="75" t="s">
        <v>820</v>
      </c>
      <c r="C306" s="75">
        <v>7400</v>
      </c>
      <c r="D306" s="75" t="s">
        <v>487</v>
      </c>
      <c r="E306" s="75" t="s">
        <v>1194</v>
      </c>
      <c r="F306" s="75" t="s">
        <v>1510</v>
      </c>
      <c r="G306" s="76">
        <v>45503</v>
      </c>
      <c r="H306" s="75" t="s">
        <v>53</v>
      </c>
      <c r="I306" s="75" t="s">
        <v>54</v>
      </c>
      <c r="J306" s="75" t="s">
        <v>1512</v>
      </c>
      <c r="K306" s="75" t="str">
        <f t="shared" si="4"/>
        <v>07-2024</v>
      </c>
      <c r="L306" s="10" t="s">
        <v>2599</v>
      </c>
    </row>
    <row r="307" spans="1:12" s="10" customFormat="1" ht="12" hidden="1" x14ac:dyDescent="0.3">
      <c r="A307" s="75">
        <v>4517</v>
      </c>
      <c r="B307" s="75" t="s">
        <v>683</v>
      </c>
      <c r="C307" s="75">
        <v>7400</v>
      </c>
      <c r="D307" s="75" t="s">
        <v>487</v>
      </c>
      <c r="E307" s="75" t="s">
        <v>1195</v>
      </c>
      <c r="F307" s="75" t="s">
        <v>1510</v>
      </c>
      <c r="G307" s="76">
        <v>45503</v>
      </c>
      <c r="H307" s="75" t="s">
        <v>53</v>
      </c>
      <c r="I307" s="75" t="s">
        <v>54</v>
      </c>
      <c r="J307" s="75" t="s">
        <v>1512</v>
      </c>
      <c r="K307" s="75" t="str">
        <f t="shared" si="4"/>
        <v>07-2024</v>
      </c>
      <c r="L307" s="10" t="s">
        <v>2599</v>
      </c>
    </row>
    <row r="308" spans="1:12" s="10" customFormat="1" ht="12" hidden="1" x14ac:dyDescent="0.3">
      <c r="A308" s="75">
        <v>4366</v>
      </c>
      <c r="B308" s="75" t="s">
        <v>264</v>
      </c>
      <c r="C308" s="75">
        <v>7400</v>
      </c>
      <c r="D308" s="75" t="s">
        <v>487</v>
      </c>
      <c r="E308" s="75" t="s">
        <v>1196</v>
      </c>
      <c r="F308" s="75" t="s">
        <v>1510</v>
      </c>
      <c r="G308" s="76">
        <v>45503</v>
      </c>
      <c r="H308" s="75" t="s">
        <v>53</v>
      </c>
      <c r="I308" s="75" t="s">
        <v>54</v>
      </c>
      <c r="J308" s="75" t="s">
        <v>1512</v>
      </c>
      <c r="K308" s="75" t="str">
        <f t="shared" si="4"/>
        <v>07-2024</v>
      </c>
      <c r="L308" s="10" t="s">
        <v>2599</v>
      </c>
    </row>
    <row r="309" spans="1:12" s="10" customFormat="1" ht="12" hidden="1" x14ac:dyDescent="0.3">
      <c r="A309" s="75">
        <v>4935</v>
      </c>
      <c r="B309" s="75" t="s">
        <v>753</v>
      </c>
      <c r="C309" s="75">
        <v>4416</v>
      </c>
      <c r="D309" s="75" t="s">
        <v>269</v>
      </c>
      <c r="E309" s="75" t="s">
        <v>1197</v>
      </c>
      <c r="F309" s="75" t="s">
        <v>1510</v>
      </c>
      <c r="G309" s="76">
        <v>45503</v>
      </c>
      <c r="H309" s="75" t="s">
        <v>35</v>
      </c>
      <c r="I309" s="75" t="s">
        <v>54</v>
      </c>
      <c r="J309" s="75" t="s">
        <v>1512</v>
      </c>
      <c r="K309" s="75" t="str">
        <f t="shared" si="4"/>
        <v>07-2024</v>
      </c>
      <c r="L309" s="10" t="s">
        <v>2599</v>
      </c>
    </row>
    <row r="310" spans="1:12" s="10" customFormat="1" ht="12" hidden="1" x14ac:dyDescent="0.3">
      <c r="A310" s="75">
        <v>2826</v>
      </c>
      <c r="B310" s="75" t="s">
        <v>169</v>
      </c>
      <c r="C310" s="75">
        <v>7251</v>
      </c>
      <c r="D310" s="75" t="s">
        <v>644</v>
      </c>
      <c r="E310" s="75" t="s">
        <v>1198</v>
      </c>
      <c r="F310" s="75" t="s">
        <v>1510</v>
      </c>
      <c r="G310" s="76">
        <v>45503</v>
      </c>
      <c r="H310" s="75" t="s">
        <v>9</v>
      </c>
      <c r="I310" s="75" t="s">
        <v>54</v>
      </c>
      <c r="J310" s="75" t="s">
        <v>1512</v>
      </c>
      <c r="K310" s="75" t="str">
        <f t="shared" si="4"/>
        <v>07-2024</v>
      </c>
      <c r="L310" s="10" t="s">
        <v>2599</v>
      </c>
    </row>
    <row r="311" spans="1:12" s="10" customFormat="1" ht="12" hidden="1" x14ac:dyDescent="0.3">
      <c r="A311" s="75">
        <v>7197</v>
      </c>
      <c r="B311" s="75" t="s">
        <v>800</v>
      </c>
      <c r="C311" s="75">
        <v>5252</v>
      </c>
      <c r="D311" s="75" t="s">
        <v>476</v>
      </c>
      <c r="E311" s="75" t="s">
        <v>1199</v>
      </c>
      <c r="F311" s="75" t="s">
        <v>1510</v>
      </c>
      <c r="G311" s="76">
        <v>45502</v>
      </c>
      <c r="H311" s="75" t="s">
        <v>24</v>
      </c>
      <c r="I311" s="75" t="s">
        <v>10</v>
      </c>
      <c r="J311" s="75" t="s">
        <v>1512</v>
      </c>
      <c r="K311" s="75" t="str">
        <f t="shared" si="4"/>
        <v>07-2024</v>
      </c>
      <c r="L311" s="10" t="s">
        <v>2599</v>
      </c>
    </row>
    <row r="312" spans="1:12" s="10" customFormat="1" ht="12" hidden="1" x14ac:dyDescent="0.3">
      <c r="A312" s="75">
        <v>7756</v>
      </c>
      <c r="B312" s="75" t="s">
        <v>65</v>
      </c>
      <c r="C312" s="75">
        <v>5252</v>
      </c>
      <c r="D312" s="75" t="s">
        <v>476</v>
      </c>
      <c r="E312" s="75" t="s">
        <v>1200</v>
      </c>
      <c r="F312" s="75" t="s">
        <v>1510</v>
      </c>
      <c r="G312" s="76">
        <v>45502</v>
      </c>
      <c r="H312" s="75" t="s">
        <v>9</v>
      </c>
      <c r="I312" s="75" t="s">
        <v>54</v>
      </c>
      <c r="J312" s="75" t="s">
        <v>1512</v>
      </c>
      <c r="K312" s="75" t="str">
        <f t="shared" si="4"/>
        <v>07-2024</v>
      </c>
      <c r="L312" s="10" t="s">
        <v>2599</v>
      </c>
    </row>
    <row r="313" spans="1:12" s="10" customFormat="1" ht="12" hidden="1" x14ac:dyDescent="0.3">
      <c r="A313" s="75">
        <v>7046</v>
      </c>
      <c r="B313" s="75" t="s">
        <v>261</v>
      </c>
      <c r="C313" s="75">
        <v>7024</v>
      </c>
      <c r="D313" s="75" t="s">
        <v>362</v>
      </c>
      <c r="E313" s="75" t="s">
        <v>1201</v>
      </c>
      <c r="F313" s="75" t="s">
        <v>1510</v>
      </c>
      <c r="G313" s="76">
        <v>45502</v>
      </c>
      <c r="H313" s="75" t="s">
        <v>9</v>
      </c>
      <c r="I313" s="75" t="s">
        <v>10</v>
      </c>
      <c r="J313" s="75" t="s">
        <v>1512</v>
      </c>
      <c r="K313" s="75" t="str">
        <f t="shared" si="4"/>
        <v>07-2024</v>
      </c>
      <c r="L313" s="10" t="s">
        <v>2599</v>
      </c>
    </row>
    <row r="314" spans="1:12" s="10" customFormat="1" ht="12" hidden="1" x14ac:dyDescent="0.3">
      <c r="A314" s="75">
        <v>2243</v>
      </c>
      <c r="B314" s="75" t="s">
        <v>63</v>
      </c>
      <c r="C314" s="75">
        <v>296</v>
      </c>
      <c r="D314" s="75" t="s">
        <v>474</v>
      </c>
      <c r="E314" s="75" t="s">
        <v>216</v>
      </c>
      <c r="F314" s="75" t="s">
        <v>1509</v>
      </c>
      <c r="G314" s="76">
        <v>45499</v>
      </c>
      <c r="H314" s="75" t="s">
        <v>53</v>
      </c>
      <c r="I314" s="75" t="s">
        <v>54</v>
      </c>
      <c r="J314" s="75" t="s">
        <v>1511</v>
      </c>
      <c r="K314" s="75" t="str">
        <f t="shared" si="4"/>
        <v>07-2024</v>
      </c>
      <c r="L314" s="10" t="s">
        <v>2599</v>
      </c>
    </row>
    <row r="315" spans="1:12" s="10" customFormat="1" ht="12" hidden="1" x14ac:dyDescent="0.3">
      <c r="A315" s="75">
        <v>7268</v>
      </c>
      <c r="B315" s="75" t="s">
        <v>255</v>
      </c>
      <c r="C315" s="75">
        <v>7254</v>
      </c>
      <c r="D315" s="75" t="s">
        <v>287</v>
      </c>
      <c r="E315" s="75" t="s">
        <v>1202</v>
      </c>
      <c r="F315" s="75" t="s">
        <v>1510</v>
      </c>
      <c r="G315" s="76">
        <v>45495</v>
      </c>
      <c r="H315" s="75" t="s">
        <v>9</v>
      </c>
      <c r="I315" s="75" t="s">
        <v>54</v>
      </c>
      <c r="J315" s="75" t="s">
        <v>1512</v>
      </c>
      <c r="K315" s="75" t="str">
        <f t="shared" si="4"/>
        <v>07-2024</v>
      </c>
      <c r="L315" s="10" t="s">
        <v>2599</v>
      </c>
    </row>
    <row r="316" spans="1:12" s="10" customFormat="1" ht="12" hidden="1" x14ac:dyDescent="0.3">
      <c r="A316" s="75">
        <v>7208</v>
      </c>
      <c r="B316" s="75" t="s">
        <v>262</v>
      </c>
      <c r="C316" s="75">
        <v>7254</v>
      </c>
      <c r="D316" s="75" t="s">
        <v>287</v>
      </c>
      <c r="E316" s="75" t="s">
        <v>1203</v>
      </c>
      <c r="F316" s="75" t="s">
        <v>1510</v>
      </c>
      <c r="G316" s="76">
        <v>45495</v>
      </c>
      <c r="H316" s="75" t="s">
        <v>35</v>
      </c>
      <c r="I316" s="75" t="s">
        <v>32</v>
      </c>
      <c r="J316" s="75" t="s">
        <v>1512</v>
      </c>
      <c r="K316" s="75" t="str">
        <f t="shared" si="4"/>
        <v>07-2024</v>
      </c>
      <c r="L316" s="10" t="s">
        <v>2599</v>
      </c>
    </row>
    <row r="317" spans="1:12" s="10" customFormat="1" ht="12" hidden="1" x14ac:dyDescent="0.3">
      <c r="A317" s="75">
        <v>7452</v>
      </c>
      <c r="B317" s="75" t="s">
        <v>263</v>
      </c>
      <c r="C317" s="75">
        <v>5428</v>
      </c>
      <c r="D317" s="75" t="s">
        <v>647</v>
      </c>
      <c r="E317" s="75" t="s">
        <v>1204</v>
      </c>
      <c r="F317" s="75" t="s">
        <v>1510</v>
      </c>
      <c r="G317" s="76">
        <v>45492</v>
      </c>
      <c r="H317" s="75" t="s">
        <v>249</v>
      </c>
      <c r="I317" s="75" t="s">
        <v>10</v>
      </c>
      <c r="J317" s="75" t="s">
        <v>1512</v>
      </c>
      <c r="K317" s="75" t="str">
        <f t="shared" si="4"/>
        <v>07-2024</v>
      </c>
      <c r="L317" s="10" t="s">
        <v>2599</v>
      </c>
    </row>
    <row r="318" spans="1:12" s="10" customFormat="1" ht="12" hidden="1" x14ac:dyDescent="0.3">
      <c r="A318" s="75">
        <v>7844</v>
      </c>
      <c r="B318" s="75" t="s">
        <v>111</v>
      </c>
      <c r="C318" s="75">
        <v>7237</v>
      </c>
      <c r="D318" s="75" t="s">
        <v>289</v>
      </c>
      <c r="E318" s="75" t="s">
        <v>1205</v>
      </c>
      <c r="F318" s="75" t="s">
        <v>1510</v>
      </c>
      <c r="G318" s="76">
        <v>45492</v>
      </c>
      <c r="H318" s="75" t="s">
        <v>16</v>
      </c>
      <c r="I318" s="75" t="s">
        <v>54</v>
      </c>
      <c r="J318" s="75" t="s">
        <v>1512</v>
      </c>
      <c r="K318" s="75" t="str">
        <f t="shared" si="4"/>
        <v>07-2024</v>
      </c>
      <c r="L318" s="10" t="s">
        <v>2599</v>
      </c>
    </row>
    <row r="319" spans="1:12" s="10" customFormat="1" ht="12" hidden="1" x14ac:dyDescent="0.3">
      <c r="A319" s="75">
        <v>5201</v>
      </c>
      <c r="B319" s="75" t="s">
        <v>588</v>
      </c>
      <c r="C319" s="75">
        <v>7237</v>
      </c>
      <c r="D319" s="75" t="s">
        <v>289</v>
      </c>
      <c r="E319" s="75" t="s">
        <v>1206</v>
      </c>
      <c r="F319" s="75" t="s">
        <v>1510</v>
      </c>
      <c r="G319" s="76">
        <v>45492</v>
      </c>
      <c r="H319" s="75" t="s">
        <v>9</v>
      </c>
      <c r="I319" s="75" t="s">
        <v>54</v>
      </c>
      <c r="J319" s="75" t="s">
        <v>1512</v>
      </c>
      <c r="K319" s="75" t="str">
        <f t="shared" si="4"/>
        <v>07-2024</v>
      </c>
      <c r="L319" s="10" t="s">
        <v>2599</v>
      </c>
    </row>
    <row r="320" spans="1:12" s="10" customFormat="1" ht="12" hidden="1" x14ac:dyDescent="0.3">
      <c r="A320" s="75">
        <v>7360</v>
      </c>
      <c r="B320" s="75" t="s">
        <v>699</v>
      </c>
      <c r="C320" s="75">
        <v>5252</v>
      </c>
      <c r="D320" s="75" t="s">
        <v>476</v>
      </c>
      <c r="E320" s="75" t="s">
        <v>1207</v>
      </c>
      <c r="F320" s="75" t="s">
        <v>1510</v>
      </c>
      <c r="G320" s="76">
        <v>45492</v>
      </c>
      <c r="H320" s="75" t="s">
        <v>395</v>
      </c>
      <c r="I320" s="75" t="s">
        <v>10</v>
      </c>
      <c r="J320" s="75" t="s">
        <v>1512</v>
      </c>
      <c r="K320" s="75" t="str">
        <f t="shared" si="4"/>
        <v>07-2024</v>
      </c>
      <c r="L320" s="10" t="s">
        <v>2599</v>
      </c>
    </row>
    <row r="321" spans="1:12" s="10" customFormat="1" ht="12" hidden="1" x14ac:dyDescent="0.3">
      <c r="A321" s="75">
        <v>7200</v>
      </c>
      <c r="B321" s="75" t="s">
        <v>271</v>
      </c>
      <c r="C321" s="75">
        <v>6481</v>
      </c>
      <c r="D321" s="75" t="s">
        <v>126</v>
      </c>
      <c r="E321" s="75" t="s">
        <v>1208</v>
      </c>
      <c r="F321" s="75" t="s">
        <v>1510</v>
      </c>
      <c r="G321" s="76">
        <v>45491</v>
      </c>
      <c r="H321" s="75" t="s">
        <v>9</v>
      </c>
      <c r="I321" s="75" t="s">
        <v>10</v>
      </c>
      <c r="J321" s="75" t="s">
        <v>1512</v>
      </c>
      <c r="K321" s="75" t="str">
        <f t="shared" si="4"/>
        <v>07-2024</v>
      </c>
      <c r="L321" s="10" t="s">
        <v>2599</v>
      </c>
    </row>
    <row r="322" spans="1:12" s="10" customFormat="1" ht="12" hidden="1" x14ac:dyDescent="0.3">
      <c r="A322" s="75">
        <v>1585</v>
      </c>
      <c r="B322" s="75" t="s">
        <v>258</v>
      </c>
      <c r="C322" s="75">
        <v>648</v>
      </c>
      <c r="D322" s="75" t="s">
        <v>484</v>
      </c>
      <c r="E322" s="75" t="s">
        <v>1209</v>
      </c>
      <c r="F322" s="75" t="s">
        <v>1510</v>
      </c>
      <c r="G322" s="76">
        <v>45491</v>
      </c>
      <c r="H322" s="75" t="s">
        <v>53</v>
      </c>
      <c r="I322" s="75" t="s">
        <v>54</v>
      </c>
      <c r="J322" s="75" t="s">
        <v>1512</v>
      </c>
      <c r="K322" s="75" t="str">
        <f t="shared" si="4"/>
        <v>07-2024</v>
      </c>
      <c r="L322" s="10" t="s">
        <v>2599</v>
      </c>
    </row>
    <row r="323" spans="1:12" s="10" customFormat="1" ht="12" hidden="1" x14ac:dyDescent="0.3">
      <c r="A323" s="75">
        <v>7722</v>
      </c>
      <c r="B323" s="75" t="s">
        <v>292</v>
      </c>
      <c r="C323" s="75" t="s">
        <v>1508</v>
      </c>
      <c r="D323" s="75" t="s">
        <v>866</v>
      </c>
      <c r="E323" s="75" t="s">
        <v>1210</v>
      </c>
      <c r="F323" s="75" t="s">
        <v>1509</v>
      </c>
      <c r="G323" s="76">
        <v>45490</v>
      </c>
      <c r="H323" s="75" t="s">
        <v>73</v>
      </c>
      <c r="I323" s="75" t="s">
        <v>74</v>
      </c>
      <c r="J323" s="75" t="s">
        <v>1511</v>
      </c>
      <c r="K323" s="75" t="str">
        <f t="shared" ref="K323:K386" si="5">TEXT(G323,"mm-yyyy")</f>
        <v>07-2024</v>
      </c>
      <c r="L323" s="10" t="s">
        <v>2599</v>
      </c>
    </row>
    <row r="324" spans="1:12" s="10" customFormat="1" ht="12" hidden="1" x14ac:dyDescent="0.3">
      <c r="A324" s="75">
        <v>6127</v>
      </c>
      <c r="B324" s="75" t="s">
        <v>277</v>
      </c>
      <c r="C324" s="75" t="s">
        <v>1508</v>
      </c>
      <c r="D324" s="75" t="s">
        <v>866</v>
      </c>
      <c r="E324" s="75" t="s">
        <v>1211</v>
      </c>
      <c r="F324" s="75" t="s">
        <v>1509</v>
      </c>
      <c r="G324" s="76">
        <v>45490</v>
      </c>
      <c r="H324" s="75" t="s">
        <v>250</v>
      </c>
      <c r="I324" s="75" t="s">
        <v>10</v>
      </c>
      <c r="J324" s="75" t="s">
        <v>1511</v>
      </c>
      <c r="K324" s="75" t="str">
        <f t="shared" si="5"/>
        <v>07-2024</v>
      </c>
      <c r="L324" s="10" t="s">
        <v>2599</v>
      </c>
    </row>
    <row r="325" spans="1:12" s="10" customFormat="1" ht="12" hidden="1" x14ac:dyDescent="0.3">
      <c r="A325" s="75">
        <v>2065</v>
      </c>
      <c r="B325" s="75" t="s">
        <v>825</v>
      </c>
      <c r="C325" s="75" t="s">
        <v>1508</v>
      </c>
      <c r="D325" s="75" t="s">
        <v>866</v>
      </c>
      <c r="E325" s="75" t="s">
        <v>1212</v>
      </c>
      <c r="F325" s="75" t="s">
        <v>1509</v>
      </c>
      <c r="G325" s="76">
        <v>45490</v>
      </c>
      <c r="H325" s="75" t="s">
        <v>35</v>
      </c>
      <c r="I325" s="75" t="s">
        <v>32</v>
      </c>
      <c r="J325" s="75" t="s">
        <v>1511</v>
      </c>
      <c r="K325" s="75" t="str">
        <f t="shared" si="5"/>
        <v>07-2024</v>
      </c>
      <c r="L325" s="10" t="s">
        <v>2599</v>
      </c>
    </row>
    <row r="326" spans="1:12" s="10" customFormat="1" ht="12" hidden="1" x14ac:dyDescent="0.3">
      <c r="A326" s="75">
        <v>3063</v>
      </c>
      <c r="B326" s="75" t="s">
        <v>254</v>
      </c>
      <c r="C326" s="75" t="s">
        <v>1508</v>
      </c>
      <c r="D326" s="75" t="s">
        <v>866</v>
      </c>
      <c r="E326" s="75" t="s">
        <v>205</v>
      </c>
      <c r="F326" s="75" t="s">
        <v>1509</v>
      </c>
      <c r="G326" s="76">
        <v>45490</v>
      </c>
      <c r="H326" s="75" t="s">
        <v>40</v>
      </c>
      <c r="I326" s="75" t="s">
        <v>251</v>
      </c>
      <c r="J326" s="75" t="s">
        <v>1511</v>
      </c>
      <c r="K326" s="75" t="str">
        <f t="shared" si="5"/>
        <v>07-2024</v>
      </c>
      <c r="L326" s="10" t="s">
        <v>2599</v>
      </c>
    </row>
    <row r="327" spans="1:12" s="10" customFormat="1" ht="12" hidden="1" x14ac:dyDescent="0.3">
      <c r="A327" s="75">
        <v>3964</v>
      </c>
      <c r="B327" s="75" t="s">
        <v>734</v>
      </c>
      <c r="C327" s="75" t="s">
        <v>1508</v>
      </c>
      <c r="D327" s="75" t="s">
        <v>866</v>
      </c>
      <c r="E327" s="75" t="s">
        <v>1213</v>
      </c>
      <c r="F327" s="75" t="s">
        <v>1509</v>
      </c>
      <c r="G327" s="76">
        <v>45490</v>
      </c>
      <c r="H327" s="75" t="s">
        <v>53</v>
      </c>
      <c r="I327" s="75" t="s">
        <v>54</v>
      </c>
      <c r="J327" s="75" t="s">
        <v>1511</v>
      </c>
      <c r="K327" s="75" t="str">
        <f t="shared" si="5"/>
        <v>07-2024</v>
      </c>
      <c r="L327" s="10" t="s">
        <v>2599</v>
      </c>
    </row>
    <row r="328" spans="1:12" s="10" customFormat="1" ht="12" hidden="1" x14ac:dyDescent="0.3">
      <c r="A328" s="75">
        <v>767</v>
      </c>
      <c r="B328" s="75" t="s">
        <v>265</v>
      </c>
      <c r="C328" s="75" t="s">
        <v>1508</v>
      </c>
      <c r="D328" s="75" t="s">
        <v>866</v>
      </c>
      <c r="E328" s="75" t="s">
        <v>1214</v>
      </c>
      <c r="F328" s="75" t="s">
        <v>1509</v>
      </c>
      <c r="G328" s="76">
        <v>45490</v>
      </c>
      <c r="H328" s="75" t="s">
        <v>168</v>
      </c>
      <c r="I328" s="75" t="s">
        <v>10</v>
      </c>
      <c r="J328" s="75" t="s">
        <v>1511</v>
      </c>
      <c r="K328" s="75" t="str">
        <f t="shared" si="5"/>
        <v>07-2024</v>
      </c>
      <c r="L328" s="10" t="s">
        <v>2599</v>
      </c>
    </row>
    <row r="329" spans="1:12" s="10" customFormat="1" ht="12" hidden="1" x14ac:dyDescent="0.3">
      <c r="A329" s="75">
        <v>7642</v>
      </c>
      <c r="B329" s="75" t="s">
        <v>130</v>
      </c>
      <c r="C329" s="75" t="s">
        <v>1508</v>
      </c>
      <c r="D329" s="75" t="s">
        <v>866</v>
      </c>
      <c r="E329" s="75" t="s">
        <v>1215</v>
      </c>
      <c r="F329" s="75" t="s">
        <v>1509</v>
      </c>
      <c r="G329" s="76">
        <v>45490</v>
      </c>
      <c r="H329" s="75" t="s">
        <v>35</v>
      </c>
      <c r="I329" s="75" t="s">
        <v>32</v>
      </c>
      <c r="J329" s="75" t="s">
        <v>1511</v>
      </c>
      <c r="K329" s="75" t="str">
        <f t="shared" si="5"/>
        <v>07-2024</v>
      </c>
      <c r="L329" s="10" t="s">
        <v>2599</v>
      </c>
    </row>
    <row r="330" spans="1:12" s="10" customFormat="1" ht="12" hidden="1" x14ac:dyDescent="0.3">
      <c r="A330" s="75">
        <v>1458</v>
      </c>
      <c r="B330" s="75" t="s">
        <v>278</v>
      </c>
      <c r="C330" s="75" t="s">
        <v>1508</v>
      </c>
      <c r="D330" s="75" t="s">
        <v>866</v>
      </c>
      <c r="E330" s="75" t="s">
        <v>1216</v>
      </c>
      <c r="F330" s="75" t="s">
        <v>1509</v>
      </c>
      <c r="G330" s="76">
        <v>45490</v>
      </c>
      <c r="H330" s="75" t="s">
        <v>40</v>
      </c>
      <c r="I330" s="75" t="s">
        <v>251</v>
      </c>
      <c r="J330" s="75" t="s">
        <v>1511</v>
      </c>
      <c r="K330" s="75" t="str">
        <f t="shared" si="5"/>
        <v>07-2024</v>
      </c>
      <c r="L330" s="10" t="s">
        <v>2599</v>
      </c>
    </row>
    <row r="331" spans="1:12" s="10" customFormat="1" ht="12" hidden="1" x14ac:dyDescent="0.3">
      <c r="A331" s="75">
        <v>2220</v>
      </c>
      <c r="B331" s="75" t="s">
        <v>33</v>
      </c>
      <c r="C331" s="75" t="s">
        <v>1508</v>
      </c>
      <c r="D331" s="75" t="s">
        <v>866</v>
      </c>
      <c r="E331" s="75" t="s">
        <v>1217</v>
      </c>
      <c r="F331" s="75" t="s">
        <v>1509</v>
      </c>
      <c r="G331" s="76">
        <v>45490</v>
      </c>
      <c r="H331" s="75" t="s">
        <v>35</v>
      </c>
      <c r="I331" s="75" t="s">
        <v>32</v>
      </c>
      <c r="J331" s="75" t="s">
        <v>1511</v>
      </c>
      <c r="K331" s="75" t="str">
        <f t="shared" si="5"/>
        <v>07-2024</v>
      </c>
      <c r="L331" s="10" t="s">
        <v>2599</v>
      </c>
    </row>
    <row r="332" spans="1:12" s="10" customFormat="1" ht="12" hidden="1" x14ac:dyDescent="0.3">
      <c r="A332" s="75">
        <v>7642</v>
      </c>
      <c r="B332" s="75" t="s">
        <v>130</v>
      </c>
      <c r="C332" s="75">
        <v>2774</v>
      </c>
      <c r="D332" s="75" t="s">
        <v>890</v>
      </c>
      <c r="E332" s="75" t="s">
        <v>1218</v>
      </c>
      <c r="F332" s="75" t="s">
        <v>1510</v>
      </c>
      <c r="G332" s="76">
        <v>45490</v>
      </c>
      <c r="H332" s="75" t="s">
        <v>35</v>
      </c>
      <c r="I332" s="75" t="s">
        <v>32</v>
      </c>
      <c r="J332" s="75" t="s">
        <v>1512</v>
      </c>
      <c r="K332" s="75" t="str">
        <f t="shared" si="5"/>
        <v>07-2024</v>
      </c>
      <c r="L332" s="10" t="s">
        <v>2599</v>
      </c>
    </row>
    <row r="333" spans="1:12" s="10" customFormat="1" ht="12" hidden="1" x14ac:dyDescent="0.3">
      <c r="A333" s="75">
        <v>7292</v>
      </c>
      <c r="B333" s="75" t="s">
        <v>259</v>
      </c>
      <c r="C333" s="75">
        <v>5580</v>
      </c>
      <c r="D333" s="75" t="s">
        <v>693</v>
      </c>
      <c r="E333" s="75" t="s">
        <v>1219</v>
      </c>
      <c r="F333" s="75" t="s">
        <v>1510</v>
      </c>
      <c r="G333" s="76">
        <v>45485</v>
      </c>
      <c r="H333" s="75" t="s">
        <v>35</v>
      </c>
      <c r="I333" s="75" t="s">
        <v>32</v>
      </c>
      <c r="J333" s="75" t="s">
        <v>1512</v>
      </c>
      <c r="K333" s="75" t="str">
        <f t="shared" si="5"/>
        <v>07-2024</v>
      </c>
      <c r="L333" s="10" t="s">
        <v>2599</v>
      </c>
    </row>
    <row r="334" spans="1:12" s="10" customFormat="1" ht="12" hidden="1" x14ac:dyDescent="0.3">
      <c r="A334" s="75">
        <v>3941</v>
      </c>
      <c r="B334" s="75" t="s">
        <v>441</v>
      </c>
      <c r="C334" s="75">
        <v>4688</v>
      </c>
      <c r="D334" s="75" t="s">
        <v>861</v>
      </c>
      <c r="E334" s="75" t="s">
        <v>1220</v>
      </c>
      <c r="F334" s="75" t="s">
        <v>1510</v>
      </c>
      <c r="G334" s="76">
        <v>45485</v>
      </c>
      <c r="H334" s="75" t="s">
        <v>40</v>
      </c>
      <c r="I334" s="75" t="s">
        <v>32</v>
      </c>
      <c r="J334" s="75" t="s">
        <v>1512</v>
      </c>
      <c r="K334" s="75" t="str">
        <f t="shared" si="5"/>
        <v>07-2024</v>
      </c>
      <c r="L334" s="10" t="s">
        <v>2599</v>
      </c>
    </row>
    <row r="335" spans="1:12" s="10" customFormat="1" ht="12" hidden="1" x14ac:dyDescent="0.3">
      <c r="A335" s="75">
        <v>5782</v>
      </c>
      <c r="B335" s="75" t="s">
        <v>442</v>
      </c>
      <c r="C335" s="75">
        <v>245</v>
      </c>
      <c r="D335" s="75" t="s">
        <v>891</v>
      </c>
      <c r="E335" s="75" t="s">
        <v>1221</v>
      </c>
      <c r="F335" s="75" t="s">
        <v>1510</v>
      </c>
      <c r="G335" s="76">
        <v>45483</v>
      </c>
      <c r="H335" s="75" t="s">
        <v>40</v>
      </c>
      <c r="I335" s="75" t="s">
        <v>54</v>
      </c>
      <c r="J335" s="75" t="s">
        <v>1512</v>
      </c>
      <c r="K335" s="75" t="str">
        <f t="shared" si="5"/>
        <v>07-2024</v>
      </c>
      <c r="L335" s="10" t="s">
        <v>2599</v>
      </c>
    </row>
    <row r="336" spans="1:12" s="10" customFormat="1" ht="12" hidden="1" x14ac:dyDescent="0.3">
      <c r="A336" s="75">
        <v>7803</v>
      </c>
      <c r="B336" s="75" t="s">
        <v>353</v>
      </c>
      <c r="C336" s="75">
        <v>7445</v>
      </c>
      <c r="D336" s="75" t="s">
        <v>118</v>
      </c>
      <c r="E336" s="75" t="s">
        <v>1222</v>
      </c>
      <c r="F336" s="75" t="s">
        <v>1509</v>
      </c>
      <c r="G336" s="76">
        <v>45483</v>
      </c>
      <c r="H336" s="75" t="s">
        <v>73</v>
      </c>
      <c r="I336" s="75" t="s">
        <v>74</v>
      </c>
      <c r="J336" s="75" t="s">
        <v>1511</v>
      </c>
      <c r="K336" s="75" t="str">
        <f t="shared" si="5"/>
        <v>07-2024</v>
      </c>
      <c r="L336" s="10" t="s">
        <v>2599</v>
      </c>
    </row>
    <row r="337" spans="1:12" s="10" customFormat="1" ht="12" hidden="1" x14ac:dyDescent="0.3">
      <c r="A337" s="75">
        <v>7723</v>
      </c>
      <c r="B337" s="75" t="s">
        <v>623</v>
      </c>
      <c r="C337" s="75">
        <v>7445</v>
      </c>
      <c r="D337" s="75" t="s">
        <v>118</v>
      </c>
      <c r="E337" s="75" t="s">
        <v>1223</v>
      </c>
      <c r="F337" s="75" t="s">
        <v>1509</v>
      </c>
      <c r="G337" s="76">
        <v>45483</v>
      </c>
      <c r="H337" s="75" t="s">
        <v>73</v>
      </c>
      <c r="I337" s="75" t="s">
        <v>74</v>
      </c>
      <c r="J337" s="75" t="s">
        <v>1511</v>
      </c>
      <c r="K337" s="75" t="str">
        <f t="shared" si="5"/>
        <v>07-2024</v>
      </c>
      <c r="L337" s="10" t="s">
        <v>2599</v>
      </c>
    </row>
    <row r="338" spans="1:12" s="10" customFormat="1" ht="12" hidden="1" x14ac:dyDescent="0.3">
      <c r="A338" s="75">
        <v>7005</v>
      </c>
      <c r="B338" s="75" t="s">
        <v>272</v>
      </c>
      <c r="C338" s="75">
        <v>7445</v>
      </c>
      <c r="D338" s="75" t="s">
        <v>118</v>
      </c>
      <c r="E338" s="75" t="s">
        <v>1224</v>
      </c>
      <c r="F338" s="75" t="s">
        <v>1509</v>
      </c>
      <c r="G338" s="76">
        <v>45483</v>
      </c>
      <c r="H338" s="75" t="s">
        <v>73</v>
      </c>
      <c r="I338" s="75" t="s">
        <v>74</v>
      </c>
      <c r="J338" s="75" t="s">
        <v>1511</v>
      </c>
      <c r="K338" s="75" t="str">
        <f t="shared" si="5"/>
        <v>07-2024</v>
      </c>
      <c r="L338" s="10" t="s">
        <v>2599</v>
      </c>
    </row>
    <row r="339" spans="1:12" s="10" customFormat="1" ht="12" hidden="1" x14ac:dyDescent="0.3">
      <c r="A339" s="75">
        <v>6723</v>
      </c>
      <c r="B339" s="75" t="s">
        <v>624</v>
      </c>
      <c r="C339" s="75">
        <v>7445</v>
      </c>
      <c r="D339" s="75" t="s">
        <v>118</v>
      </c>
      <c r="E339" s="75" t="s">
        <v>1225</v>
      </c>
      <c r="F339" s="75" t="s">
        <v>1509</v>
      </c>
      <c r="G339" s="76">
        <v>45483</v>
      </c>
      <c r="H339" s="75" t="s">
        <v>73</v>
      </c>
      <c r="I339" s="75" t="s">
        <v>74</v>
      </c>
      <c r="J339" s="75" t="s">
        <v>1511</v>
      </c>
      <c r="K339" s="75" t="str">
        <f t="shared" si="5"/>
        <v>07-2024</v>
      </c>
      <c r="L339" s="10" t="s">
        <v>2599</v>
      </c>
    </row>
    <row r="340" spans="1:12" s="10" customFormat="1" ht="12" hidden="1" x14ac:dyDescent="0.3">
      <c r="A340" s="75">
        <v>7030</v>
      </c>
      <c r="B340" s="75" t="s">
        <v>174</v>
      </c>
      <c r="C340" s="75">
        <v>7445</v>
      </c>
      <c r="D340" s="75" t="s">
        <v>118</v>
      </c>
      <c r="E340" s="75" t="s">
        <v>1226</v>
      </c>
      <c r="F340" s="75" t="s">
        <v>1509</v>
      </c>
      <c r="G340" s="76">
        <v>45483</v>
      </c>
      <c r="H340" s="75" t="s">
        <v>73</v>
      </c>
      <c r="I340" s="75" t="s">
        <v>74</v>
      </c>
      <c r="J340" s="75" t="s">
        <v>1511</v>
      </c>
      <c r="K340" s="75" t="str">
        <f t="shared" si="5"/>
        <v>07-2024</v>
      </c>
      <c r="L340" s="10" t="s">
        <v>2599</v>
      </c>
    </row>
    <row r="341" spans="1:12" s="10" customFormat="1" ht="12" hidden="1" x14ac:dyDescent="0.3">
      <c r="A341" s="75">
        <v>7635</v>
      </c>
      <c r="B341" s="75" t="s">
        <v>76</v>
      </c>
      <c r="C341" s="75">
        <v>7445</v>
      </c>
      <c r="D341" s="75" t="s">
        <v>118</v>
      </c>
      <c r="E341" s="75" t="s">
        <v>1227</v>
      </c>
      <c r="F341" s="75" t="s">
        <v>1509</v>
      </c>
      <c r="G341" s="76">
        <v>45483</v>
      </c>
      <c r="H341" s="75" t="s">
        <v>73</v>
      </c>
      <c r="I341" s="75" t="s">
        <v>74</v>
      </c>
      <c r="J341" s="75" t="s">
        <v>1511</v>
      </c>
      <c r="K341" s="75" t="str">
        <f t="shared" si="5"/>
        <v>07-2024</v>
      </c>
      <c r="L341" s="10" t="s">
        <v>2599</v>
      </c>
    </row>
    <row r="342" spans="1:12" s="10" customFormat="1" ht="12" hidden="1" x14ac:dyDescent="0.3">
      <c r="A342" s="75">
        <v>6745</v>
      </c>
      <c r="B342" s="75" t="s">
        <v>75</v>
      </c>
      <c r="C342" s="75">
        <v>7445</v>
      </c>
      <c r="D342" s="75" t="s">
        <v>118</v>
      </c>
      <c r="E342" s="75" t="s">
        <v>1228</v>
      </c>
      <c r="F342" s="75" t="s">
        <v>1509</v>
      </c>
      <c r="G342" s="76">
        <v>45483</v>
      </c>
      <c r="H342" s="75" t="s">
        <v>73</v>
      </c>
      <c r="I342" s="75" t="s">
        <v>74</v>
      </c>
      <c r="J342" s="75" t="s">
        <v>1511</v>
      </c>
      <c r="K342" s="75" t="str">
        <f t="shared" si="5"/>
        <v>07-2024</v>
      </c>
      <c r="L342" s="10" t="s">
        <v>2599</v>
      </c>
    </row>
    <row r="343" spans="1:12" s="10" customFormat="1" ht="12" hidden="1" x14ac:dyDescent="0.3">
      <c r="A343" s="75">
        <v>7369</v>
      </c>
      <c r="B343" s="75" t="s">
        <v>432</v>
      </c>
      <c r="C343" s="75">
        <v>7445</v>
      </c>
      <c r="D343" s="75" t="s">
        <v>118</v>
      </c>
      <c r="E343" s="75" t="s">
        <v>1229</v>
      </c>
      <c r="F343" s="75" t="s">
        <v>1509</v>
      </c>
      <c r="G343" s="76">
        <v>45483</v>
      </c>
      <c r="H343" s="75" t="s">
        <v>73</v>
      </c>
      <c r="I343" s="75" t="s">
        <v>74</v>
      </c>
      <c r="J343" s="75" t="s">
        <v>1511</v>
      </c>
      <c r="K343" s="75" t="str">
        <f t="shared" si="5"/>
        <v>07-2024</v>
      </c>
      <c r="L343" s="10" t="s">
        <v>2599</v>
      </c>
    </row>
    <row r="344" spans="1:12" s="10" customFormat="1" ht="12" hidden="1" x14ac:dyDescent="0.3">
      <c r="A344" s="75">
        <v>6805</v>
      </c>
      <c r="B344" s="75" t="s">
        <v>11</v>
      </c>
      <c r="C344" s="75">
        <v>7513</v>
      </c>
      <c r="D344" s="75" t="s">
        <v>717</v>
      </c>
      <c r="E344" s="75" t="s">
        <v>1230</v>
      </c>
      <c r="F344" s="75" t="s">
        <v>1509</v>
      </c>
      <c r="G344" s="76">
        <v>45482</v>
      </c>
      <c r="H344" s="75" t="s">
        <v>13</v>
      </c>
      <c r="I344" s="75" t="s">
        <v>10</v>
      </c>
      <c r="J344" s="75" t="s">
        <v>1511</v>
      </c>
      <c r="K344" s="75" t="str">
        <f t="shared" si="5"/>
        <v>07-2024</v>
      </c>
      <c r="L344" s="10" t="s">
        <v>2599</v>
      </c>
    </row>
    <row r="345" spans="1:12" s="10" customFormat="1" ht="12" hidden="1" x14ac:dyDescent="0.3">
      <c r="A345" s="75">
        <v>6047</v>
      </c>
      <c r="B345" s="75" t="s">
        <v>826</v>
      </c>
      <c r="C345" s="75">
        <v>7513</v>
      </c>
      <c r="D345" s="75" t="s">
        <v>717</v>
      </c>
      <c r="E345" s="75" t="s">
        <v>1231</v>
      </c>
      <c r="F345" s="75" t="s">
        <v>1509</v>
      </c>
      <c r="G345" s="76">
        <v>45482</v>
      </c>
      <c r="H345" s="75" t="s">
        <v>13</v>
      </c>
      <c r="I345" s="75" t="s">
        <v>10</v>
      </c>
      <c r="J345" s="75" t="s">
        <v>1511</v>
      </c>
      <c r="K345" s="75" t="str">
        <f t="shared" si="5"/>
        <v>07-2024</v>
      </c>
      <c r="L345" s="10" t="s">
        <v>2599</v>
      </c>
    </row>
    <row r="346" spans="1:12" s="10" customFormat="1" ht="12" hidden="1" x14ac:dyDescent="0.3">
      <c r="A346" s="75">
        <v>4937</v>
      </c>
      <c r="B346" s="75" t="s">
        <v>127</v>
      </c>
      <c r="C346" s="75">
        <v>7756</v>
      </c>
      <c r="D346" s="75" t="s">
        <v>65</v>
      </c>
      <c r="E346" s="75" t="s">
        <v>1232</v>
      </c>
      <c r="F346" s="75" t="s">
        <v>1510</v>
      </c>
      <c r="G346" s="76">
        <v>45482</v>
      </c>
      <c r="H346" s="75" t="s">
        <v>53</v>
      </c>
      <c r="I346" s="75" t="s">
        <v>54</v>
      </c>
      <c r="J346" s="75" t="s">
        <v>1512</v>
      </c>
      <c r="K346" s="75" t="str">
        <f t="shared" si="5"/>
        <v>07-2024</v>
      </c>
      <c r="L346" s="10" t="s">
        <v>2599</v>
      </c>
    </row>
    <row r="347" spans="1:12" s="10" customFormat="1" ht="12" hidden="1" x14ac:dyDescent="0.3">
      <c r="A347" s="75">
        <v>2321</v>
      </c>
      <c r="B347" s="75" t="s">
        <v>795</v>
      </c>
      <c r="C347" s="75">
        <v>2214</v>
      </c>
      <c r="D347" s="75" t="s">
        <v>811</v>
      </c>
      <c r="E347" s="75" t="s">
        <v>1233</v>
      </c>
      <c r="F347" s="75" t="s">
        <v>1510</v>
      </c>
      <c r="G347" s="76">
        <v>45482</v>
      </c>
      <c r="H347" s="75" t="s">
        <v>53</v>
      </c>
      <c r="I347" s="75" t="s">
        <v>54</v>
      </c>
      <c r="J347" s="75" t="s">
        <v>1512</v>
      </c>
      <c r="K347" s="75" t="str">
        <f t="shared" si="5"/>
        <v>07-2024</v>
      </c>
      <c r="L347" s="10" t="s">
        <v>2599</v>
      </c>
    </row>
    <row r="348" spans="1:12" s="10" customFormat="1" ht="12" hidden="1" x14ac:dyDescent="0.3">
      <c r="A348" s="75">
        <v>3963</v>
      </c>
      <c r="B348" s="75" t="s">
        <v>109</v>
      </c>
      <c r="C348" s="75">
        <v>2214</v>
      </c>
      <c r="D348" s="75" t="s">
        <v>811</v>
      </c>
      <c r="E348" s="75" t="s">
        <v>1234</v>
      </c>
      <c r="F348" s="75" t="s">
        <v>1510</v>
      </c>
      <c r="G348" s="76">
        <v>45482</v>
      </c>
      <c r="H348" s="75" t="s">
        <v>53</v>
      </c>
      <c r="I348" s="75" t="s">
        <v>54</v>
      </c>
      <c r="J348" s="75" t="s">
        <v>1512</v>
      </c>
      <c r="K348" s="75" t="str">
        <f t="shared" si="5"/>
        <v>07-2024</v>
      </c>
      <c r="L348" s="10" t="s">
        <v>2599</v>
      </c>
    </row>
    <row r="349" spans="1:12" s="10" customFormat="1" ht="12" hidden="1" x14ac:dyDescent="0.3">
      <c r="A349" s="75">
        <v>7440</v>
      </c>
      <c r="B349" s="75" t="s">
        <v>818</v>
      </c>
      <c r="C349" s="75">
        <v>7583</v>
      </c>
      <c r="D349" s="75" t="s">
        <v>835</v>
      </c>
      <c r="E349" s="75" t="s">
        <v>1235</v>
      </c>
      <c r="F349" s="75" t="s">
        <v>1510</v>
      </c>
      <c r="G349" s="76">
        <v>45482</v>
      </c>
      <c r="H349" s="75" t="s">
        <v>40</v>
      </c>
      <c r="I349" s="75" t="s">
        <v>74</v>
      </c>
      <c r="J349" s="75" t="s">
        <v>1512</v>
      </c>
      <c r="K349" s="75" t="str">
        <f t="shared" si="5"/>
        <v>07-2024</v>
      </c>
      <c r="L349" s="10" t="s">
        <v>2599</v>
      </c>
    </row>
    <row r="350" spans="1:12" s="10" customFormat="1" ht="12" hidden="1" x14ac:dyDescent="0.3">
      <c r="A350" s="75">
        <v>7394</v>
      </c>
      <c r="B350" s="75" t="s">
        <v>286</v>
      </c>
      <c r="C350" s="75">
        <v>7569</v>
      </c>
      <c r="D350" s="75" t="s">
        <v>124</v>
      </c>
      <c r="E350" s="75" t="s">
        <v>1236</v>
      </c>
      <c r="F350" s="75" t="s">
        <v>1510</v>
      </c>
      <c r="G350" s="76">
        <v>45481</v>
      </c>
      <c r="H350" s="75" t="s">
        <v>73</v>
      </c>
      <c r="I350" s="75" t="s">
        <v>74</v>
      </c>
      <c r="J350" s="75" t="s">
        <v>1512</v>
      </c>
      <c r="K350" s="75" t="str">
        <f t="shared" si="5"/>
        <v>07-2024</v>
      </c>
      <c r="L350" s="10" t="s">
        <v>2599</v>
      </c>
    </row>
    <row r="351" spans="1:12" s="10" customFormat="1" ht="12" hidden="1" x14ac:dyDescent="0.3">
      <c r="A351" s="75">
        <v>7005</v>
      </c>
      <c r="B351" s="75" t="s">
        <v>272</v>
      </c>
      <c r="C351" s="75">
        <v>7569</v>
      </c>
      <c r="D351" s="75" t="s">
        <v>124</v>
      </c>
      <c r="E351" s="75" t="s">
        <v>1237</v>
      </c>
      <c r="F351" s="75" t="s">
        <v>1510</v>
      </c>
      <c r="G351" s="76">
        <v>45481</v>
      </c>
      <c r="H351" s="75" t="s">
        <v>73</v>
      </c>
      <c r="I351" s="75" t="s">
        <v>74</v>
      </c>
      <c r="J351" s="75" t="s">
        <v>1512</v>
      </c>
      <c r="K351" s="75" t="str">
        <f t="shared" si="5"/>
        <v>07-2024</v>
      </c>
      <c r="L351" s="10" t="s">
        <v>2599</v>
      </c>
    </row>
    <row r="352" spans="1:12" s="10" customFormat="1" ht="12" hidden="1" x14ac:dyDescent="0.3">
      <c r="A352" s="75">
        <v>6837</v>
      </c>
      <c r="B352" s="75" t="s">
        <v>260</v>
      </c>
      <c r="C352" s="75">
        <v>5368</v>
      </c>
      <c r="D352" s="75" t="s">
        <v>892</v>
      </c>
      <c r="E352" s="75" t="s">
        <v>1238</v>
      </c>
      <c r="F352" s="75" t="s">
        <v>1510</v>
      </c>
      <c r="G352" s="76">
        <v>45481</v>
      </c>
      <c r="H352" s="75" t="s">
        <v>73</v>
      </c>
      <c r="I352" s="75" t="s">
        <v>74</v>
      </c>
      <c r="J352" s="75" t="s">
        <v>1512</v>
      </c>
      <c r="K352" s="75" t="str">
        <f t="shared" si="5"/>
        <v>07-2024</v>
      </c>
      <c r="L352" s="10" t="s">
        <v>2599</v>
      </c>
    </row>
    <row r="353" spans="1:12" s="10" customFormat="1" ht="12" hidden="1" x14ac:dyDescent="0.3">
      <c r="A353" s="75">
        <v>7547</v>
      </c>
      <c r="B353" s="75" t="s">
        <v>816</v>
      </c>
      <c r="C353" s="75">
        <v>7569</v>
      </c>
      <c r="D353" s="75" t="s">
        <v>124</v>
      </c>
      <c r="E353" s="75" t="s">
        <v>1239</v>
      </c>
      <c r="F353" s="75" t="s">
        <v>1510</v>
      </c>
      <c r="G353" s="76">
        <v>45481</v>
      </c>
      <c r="H353" s="75" t="s">
        <v>73</v>
      </c>
      <c r="I353" s="75" t="s">
        <v>74</v>
      </c>
      <c r="J353" s="75" t="s">
        <v>1512</v>
      </c>
      <c r="K353" s="75" t="str">
        <f t="shared" si="5"/>
        <v>07-2024</v>
      </c>
      <c r="L353" s="10" t="s">
        <v>2599</v>
      </c>
    </row>
    <row r="354" spans="1:12" s="10" customFormat="1" ht="12" hidden="1" x14ac:dyDescent="0.3">
      <c r="A354" s="75">
        <v>6693</v>
      </c>
      <c r="B354" s="75" t="s">
        <v>817</v>
      </c>
      <c r="C354" s="75">
        <v>3441</v>
      </c>
      <c r="D354" s="75" t="s">
        <v>893</v>
      </c>
      <c r="E354" s="75" t="s">
        <v>1240</v>
      </c>
      <c r="F354" s="75" t="s">
        <v>1510</v>
      </c>
      <c r="G354" s="76">
        <v>45481</v>
      </c>
      <c r="H354" s="75" t="s">
        <v>35</v>
      </c>
      <c r="I354" s="75" t="s">
        <v>32</v>
      </c>
      <c r="J354" s="75" t="s">
        <v>1512</v>
      </c>
      <c r="K354" s="75" t="str">
        <f t="shared" si="5"/>
        <v>07-2024</v>
      </c>
      <c r="L354" s="10" t="s">
        <v>2599</v>
      </c>
    </row>
    <row r="355" spans="1:12" s="10" customFormat="1" ht="12" hidden="1" x14ac:dyDescent="0.3">
      <c r="A355" s="75">
        <v>7654</v>
      </c>
      <c r="B355" s="75" t="s">
        <v>55</v>
      </c>
      <c r="C355" s="75">
        <v>6690</v>
      </c>
      <c r="D355" s="75" t="s">
        <v>280</v>
      </c>
      <c r="E355" s="75" t="s">
        <v>1241</v>
      </c>
      <c r="F355" s="75" t="s">
        <v>1510</v>
      </c>
      <c r="G355" s="76">
        <v>45481</v>
      </c>
      <c r="H355" s="75" t="s">
        <v>16</v>
      </c>
      <c r="I355" s="75" t="s">
        <v>54</v>
      </c>
      <c r="J355" s="75" t="s">
        <v>1512</v>
      </c>
      <c r="K355" s="75" t="str">
        <f t="shared" si="5"/>
        <v>07-2024</v>
      </c>
      <c r="L355" s="10" t="s">
        <v>2599</v>
      </c>
    </row>
    <row r="356" spans="1:12" s="10" customFormat="1" ht="12" hidden="1" x14ac:dyDescent="0.3">
      <c r="A356" s="75">
        <v>6203</v>
      </c>
      <c r="B356" s="75" t="s">
        <v>713</v>
      </c>
      <c r="C356" s="75">
        <v>3987</v>
      </c>
      <c r="D356" s="75" t="s">
        <v>894</v>
      </c>
      <c r="E356" s="75" t="s">
        <v>1242</v>
      </c>
      <c r="F356" s="75" t="s">
        <v>1510</v>
      </c>
      <c r="G356" s="76">
        <v>45481</v>
      </c>
      <c r="H356" s="75" t="s">
        <v>73</v>
      </c>
      <c r="I356" s="75" t="s">
        <v>251</v>
      </c>
      <c r="J356" s="75" t="s">
        <v>1512</v>
      </c>
      <c r="K356" s="75" t="str">
        <f t="shared" si="5"/>
        <v>07-2024</v>
      </c>
      <c r="L356" s="10" t="s">
        <v>2599</v>
      </c>
    </row>
    <row r="357" spans="1:12" s="10" customFormat="1" ht="12" hidden="1" x14ac:dyDescent="0.3">
      <c r="A357" s="75">
        <v>7742</v>
      </c>
      <c r="B357" s="75" t="s">
        <v>339</v>
      </c>
      <c r="C357" s="75">
        <v>7512</v>
      </c>
      <c r="D357" s="75" t="s">
        <v>646</v>
      </c>
      <c r="E357" s="75" t="s">
        <v>1243</v>
      </c>
      <c r="F357" s="75" t="s">
        <v>1510</v>
      </c>
      <c r="G357" s="76">
        <v>45479</v>
      </c>
      <c r="H357" s="75" t="s">
        <v>21</v>
      </c>
      <c r="I357" s="75" t="s">
        <v>10</v>
      </c>
      <c r="J357" s="75" t="s">
        <v>1512</v>
      </c>
      <c r="K357" s="75" t="str">
        <f t="shared" si="5"/>
        <v>07-2024</v>
      </c>
      <c r="L357" s="10" t="s">
        <v>2599</v>
      </c>
    </row>
    <row r="358" spans="1:12" s="10" customFormat="1" ht="12" hidden="1" x14ac:dyDescent="0.3">
      <c r="A358" s="75">
        <v>4013</v>
      </c>
      <c r="B358" s="75" t="s">
        <v>268</v>
      </c>
      <c r="C358" s="75">
        <v>5252</v>
      </c>
      <c r="D358" s="75" t="s">
        <v>476</v>
      </c>
      <c r="E358" s="75" t="s">
        <v>1244</v>
      </c>
      <c r="F358" s="75" t="s">
        <v>1510</v>
      </c>
      <c r="G358" s="76">
        <v>45477</v>
      </c>
      <c r="H358" s="75" t="s">
        <v>9</v>
      </c>
      <c r="I358" s="75" t="s">
        <v>54</v>
      </c>
      <c r="J358" s="75" t="s">
        <v>1512</v>
      </c>
      <c r="K358" s="75" t="str">
        <f t="shared" si="5"/>
        <v>07-2024</v>
      </c>
      <c r="L358" s="10" t="s">
        <v>2599</v>
      </c>
    </row>
    <row r="359" spans="1:12" s="10" customFormat="1" ht="12" hidden="1" x14ac:dyDescent="0.3">
      <c r="A359" s="75">
        <v>7756</v>
      </c>
      <c r="B359" s="75" t="s">
        <v>65</v>
      </c>
      <c r="C359" s="75">
        <v>5252</v>
      </c>
      <c r="D359" s="75" t="s">
        <v>476</v>
      </c>
      <c r="E359" s="75" t="s">
        <v>1245</v>
      </c>
      <c r="F359" s="75" t="s">
        <v>1510</v>
      </c>
      <c r="G359" s="76">
        <v>45477</v>
      </c>
      <c r="H359" s="75" t="s">
        <v>9</v>
      </c>
      <c r="I359" s="75" t="s">
        <v>54</v>
      </c>
      <c r="J359" s="75" t="s">
        <v>1512</v>
      </c>
      <c r="K359" s="75" t="str">
        <f t="shared" si="5"/>
        <v>07-2024</v>
      </c>
      <c r="L359" s="10" t="s">
        <v>2599</v>
      </c>
    </row>
    <row r="360" spans="1:12" s="10" customFormat="1" ht="12" hidden="1" x14ac:dyDescent="0.3">
      <c r="A360" s="75">
        <v>1458</v>
      </c>
      <c r="B360" s="75" t="s">
        <v>278</v>
      </c>
      <c r="C360" s="75">
        <v>5184</v>
      </c>
      <c r="D360" s="75" t="s">
        <v>613</v>
      </c>
      <c r="E360" s="75" t="s">
        <v>233</v>
      </c>
      <c r="F360" s="75" t="s">
        <v>1509</v>
      </c>
      <c r="G360" s="76">
        <v>45476</v>
      </c>
      <c r="H360" s="75" t="s">
        <v>40</v>
      </c>
      <c r="I360" s="75" t="s">
        <v>251</v>
      </c>
      <c r="J360" s="75" t="s">
        <v>1511</v>
      </c>
      <c r="K360" s="75" t="str">
        <f t="shared" si="5"/>
        <v>07-2024</v>
      </c>
      <c r="L360" s="10" t="s">
        <v>2599</v>
      </c>
    </row>
    <row r="361" spans="1:12" s="10" customFormat="1" ht="12" hidden="1" x14ac:dyDescent="0.3">
      <c r="A361" s="75">
        <v>2826</v>
      </c>
      <c r="B361" s="75" t="s">
        <v>169</v>
      </c>
      <c r="C361" s="75">
        <v>7042</v>
      </c>
      <c r="D361" s="75" t="s">
        <v>597</v>
      </c>
      <c r="E361" s="75" t="s">
        <v>1246</v>
      </c>
      <c r="F361" s="75" t="s">
        <v>1510</v>
      </c>
      <c r="G361" s="76">
        <v>45476</v>
      </c>
      <c r="H361" s="75" t="s">
        <v>9</v>
      </c>
      <c r="I361" s="75" t="s">
        <v>54</v>
      </c>
      <c r="J361" s="75" t="s">
        <v>1512</v>
      </c>
      <c r="K361" s="75" t="str">
        <f t="shared" si="5"/>
        <v>07-2024</v>
      </c>
      <c r="L361" s="10" t="s">
        <v>2599</v>
      </c>
    </row>
    <row r="362" spans="1:12" s="10" customFormat="1" ht="12" hidden="1" x14ac:dyDescent="0.3">
      <c r="A362" s="75">
        <v>7748</v>
      </c>
      <c r="B362" s="75" t="s">
        <v>342</v>
      </c>
      <c r="C362" s="75">
        <v>7042</v>
      </c>
      <c r="D362" s="75" t="s">
        <v>597</v>
      </c>
      <c r="E362" s="75" t="s">
        <v>1247</v>
      </c>
      <c r="F362" s="75" t="s">
        <v>1510</v>
      </c>
      <c r="G362" s="76">
        <v>45476</v>
      </c>
      <c r="H362" s="75" t="s">
        <v>9</v>
      </c>
      <c r="I362" s="75" t="s">
        <v>10</v>
      </c>
      <c r="J362" s="75" t="s">
        <v>1512</v>
      </c>
      <c r="K362" s="75" t="str">
        <f t="shared" si="5"/>
        <v>07-2024</v>
      </c>
      <c r="L362" s="10" t="s">
        <v>2599</v>
      </c>
    </row>
    <row r="363" spans="1:12" s="10" customFormat="1" ht="12" hidden="1" x14ac:dyDescent="0.3">
      <c r="A363" s="75">
        <v>7816</v>
      </c>
      <c r="B363" s="75" t="s">
        <v>423</v>
      </c>
      <c r="C363" s="75">
        <v>5428</v>
      </c>
      <c r="D363" s="75" t="s">
        <v>647</v>
      </c>
      <c r="E363" s="75" t="s">
        <v>1248</v>
      </c>
      <c r="F363" s="75" t="s">
        <v>1510</v>
      </c>
      <c r="G363" s="76">
        <v>45476</v>
      </c>
      <c r="H363" s="75" t="s">
        <v>21</v>
      </c>
      <c r="I363" s="75" t="s">
        <v>10</v>
      </c>
      <c r="J363" s="75" t="s">
        <v>1512</v>
      </c>
      <c r="K363" s="75" t="str">
        <f t="shared" si="5"/>
        <v>07-2024</v>
      </c>
      <c r="L363" s="10" t="s">
        <v>2599</v>
      </c>
    </row>
    <row r="364" spans="1:12" s="10" customFormat="1" ht="12" hidden="1" x14ac:dyDescent="0.3">
      <c r="A364" s="75">
        <v>4416</v>
      </c>
      <c r="B364" s="75" t="s">
        <v>269</v>
      </c>
      <c r="C364" s="75">
        <v>1704</v>
      </c>
      <c r="D364" s="75" t="s">
        <v>895</v>
      </c>
      <c r="E364" s="75" t="s">
        <v>1249</v>
      </c>
      <c r="F364" s="75" t="s">
        <v>1510</v>
      </c>
      <c r="G364" s="76">
        <v>45475</v>
      </c>
      <c r="H364" s="75" t="s">
        <v>35</v>
      </c>
      <c r="I364" s="75" t="s">
        <v>32</v>
      </c>
      <c r="J364" s="75" t="s">
        <v>1512</v>
      </c>
      <c r="K364" s="75" t="str">
        <f t="shared" si="5"/>
        <v>07-2024</v>
      </c>
      <c r="L364" s="10" t="s">
        <v>2599</v>
      </c>
    </row>
    <row r="365" spans="1:12" s="10" customFormat="1" ht="12" hidden="1" x14ac:dyDescent="0.3">
      <c r="A365" s="75">
        <v>7495</v>
      </c>
      <c r="B365" s="75" t="s">
        <v>284</v>
      </c>
      <c r="C365" s="75">
        <v>5580</v>
      </c>
      <c r="D365" s="75" t="s">
        <v>693</v>
      </c>
      <c r="E365" s="75" t="s">
        <v>1250</v>
      </c>
      <c r="F365" s="75" t="s">
        <v>1510</v>
      </c>
      <c r="G365" s="76">
        <v>45475</v>
      </c>
      <c r="H365" s="75" t="s">
        <v>35</v>
      </c>
      <c r="I365" s="75" t="s">
        <v>32</v>
      </c>
      <c r="J365" s="75" t="s">
        <v>1512</v>
      </c>
      <c r="K365" s="75" t="str">
        <f t="shared" si="5"/>
        <v>07-2024</v>
      </c>
      <c r="L365" s="10" t="s">
        <v>2599</v>
      </c>
    </row>
    <row r="366" spans="1:12" s="10" customFormat="1" ht="12" hidden="1" x14ac:dyDescent="0.3">
      <c r="A366" s="75">
        <v>6593</v>
      </c>
      <c r="B366" s="75" t="s">
        <v>128</v>
      </c>
      <c r="C366" s="75">
        <v>296</v>
      </c>
      <c r="D366" s="75" t="s">
        <v>474</v>
      </c>
      <c r="E366" s="75" t="s">
        <v>1251</v>
      </c>
      <c r="F366" s="75" t="s">
        <v>1510</v>
      </c>
      <c r="G366" s="76">
        <v>45474</v>
      </c>
      <c r="H366" s="75" t="s">
        <v>24</v>
      </c>
      <c r="I366" s="75" t="s">
        <v>54</v>
      </c>
      <c r="J366" s="75" t="s">
        <v>1512</v>
      </c>
      <c r="K366" s="75" t="str">
        <f t="shared" si="5"/>
        <v>07-2024</v>
      </c>
      <c r="L366" s="10" t="s">
        <v>2599</v>
      </c>
    </row>
    <row r="367" spans="1:12" s="10" customFormat="1" ht="12" hidden="1" x14ac:dyDescent="0.3">
      <c r="A367" s="75">
        <v>7243</v>
      </c>
      <c r="B367" s="75" t="s">
        <v>815</v>
      </c>
      <c r="C367" s="75">
        <v>296</v>
      </c>
      <c r="D367" s="75" t="s">
        <v>474</v>
      </c>
      <c r="E367" s="75" t="s">
        <v>1252</v>
      </c>
      <c r="F367" s="75" t="s">
        <v>1510</v>
      </c>
      <c r="G367" s="76">
        <v>45474</v>
      </c>
      <c r="H367" s="75" t="s">
        <v>24</v>
      </c>
      <c r="I367" s="75" t="s">
        <v>10</v>
      </c>
      <c r="J367" s="75" t="s">
        <v>1512</v>
      </c>
      <c r="K367" s="75" t="str">
        <f t="shared" si="5"/>
        <v>07-2024</v>
      </c>
      <c r="L367" s="10" t="s">
        <v>2599</v>
      </c>
    </row>
    <row r="368" spans="1:12" s="10" customFormat="1" ht="12" hidden="1" x14ac:dyDescent="0.3">
      <c r="A368" s="75">
        <v>7804</v>
      </c>
      <c r="B368" s="75" t="s">
        <v>270</v>
      </c>
      <c r="C368" s="75">
        <v>296</v>
      </c>
      <c r="D368" s="75" t="s">
        <v>474</v>
      </c>
      <c r="E368" s="75" t="s">
        <v>1253</v>
      </c>
      <c r="F368" s="75" t="s">
        <v>1510</v>
      </c>
      <c r="G368" s="76">
        <v>45474</v>
      </c>
      <c r="H368" s="75" t="s">
        <v>24</v>
      </c>
      <c r="I368" s="75" t="s">
        <v>10</v>
      </c>
      <c r="J368" s="75" t="s">
        <v>1512</v>
      </c>
      <c r="K368" s="75" t="str">
        <f t="shared" si="5"/>
        <v>07-2024</v>
      </c>
      <c r="L368" s="10" t="s">
        <v>2599</v>
      </c>
    </row>
    <row r="369" spans="1:12" s="10" customFormat="1" ht="12" hidden="1" x14ac:dyDescent="0.3">
      <c r="A369" s="75">
        <v>4068</v>
      </c>
      <c r="B369" s="75" t="s">
        <v>178</v>
      </c>
      <c r="C369" s="75">
        <v>5428</v>
      </c>
      <c r="D369" s="75" t="s">
        <v>647</v>
      </c>
      <c r="E369" s="75" t="s">
        <v>1254</v>
      </c>
      <c r="F369" s="75" t="s">
        <v>1510</v>
      </c>
      <c r="G369" s="76">
        <v>45474</v>
      </c>
      <c r="H369" s="75" t="s">
        <v>9</v>
      </c>
      <c r="I369" s="75" t="s">
        <v>54</v>
      </c>
      <c r="J369" s="75" t="s">
        <v>1512</v>
      </c>
      <c r="K369" s="75" t="str">
        <f t="shared" si="5"/>
        <v>07-2024</v>
      </c>
      <c r="L369" s="10" t="s">
        <v>2599</v>
      </c>
    </row>
    <row r="370" spans="1:12" s="10" customFormat="1" ht="12" hidden="1" x14ac:dyDescent="0.3">
      <c r="A370" s="75">
        <v>6388</v>
      </c>
      <c r="B370" s="75" t="s">
        <v>436</v>
      </c>
      <c r="C370" s="75">
        <v>5428</v>
      </c>
      <c r="D370" s="75" t="s">
        <v>647</v>
      </c>
      <c r="E370" s="75" t="s">
        <v>1255</v>
      </c>
      <c r="F370" s="75" t="s">
        <v>1510</v>
      </c>
      <c r="G370" s="76">
        <v>45474</v>
      </c>
      <c r="H370" s="75" t="s">
        <v>21</v>
      </c>
      <c r="I370" s="75" t="s">
        <v>10</v>
      </c>
      <c r="J370" s="75" t="s">
        <v>1512</v>
      </c>
      <c r="K370" s="75" t="str">
        <f t="shared" si="5"/>
        <v>07-2024</v>
      </c>
      <c r="L370" s="10" t="s">
        <v>2599</v>
      </c>
    </row>
    <row r="371" spans="1:12" s="10" customFormat="1" ht="12" hidden="1" x14ac:dyDescent="0.3">
      <c r="A371" s="75">
        <v>2220</v>
      </c>
      <c r="B371" s="75" t="s">
        <v>33</v>
      </c>
      <c r="C371" s="75">
        <v>2443</v>
      </c>
      <c r="D371" s="75" t="s">
        <v>896</v>
      </c>
      <c r="E371" s="75" t="s">
        <v>1256</v>
      </c>
      <c r="F371" s="75" t="s">
        <v>1510</v>
      </c>
      <c r="G371" s="76">
        <v>45473</v>
      </c>
      <c r="H371" s="75" t="s">
        <v>35</v>
      </c>
      <c r="I371" s="75" t="s">
        <v>32</v>
      </c>
      <c r="J371" s="75" t="s">
        <v>1512</v>
      </c>
      <c r="K371" s="75" t="str">
        <f t="shared" si="5"/>
        <v>06-2024</v>
      </c>
      <c r="L371" s="10" t="s">
        <v>2599</v>
      </c>
    </row>
    <row r="372" spans="1:12" s="10" customFormat="1" ht="12" hidden="1" x14ac:dyDescent="0.3">
      <c r="A372" s="75">
        <v>1458</v>
      </c>
      <c r="B372" s="75" t="s">
        <v>278</v>
      </c>
      <c r="C372" s="75">
        <v>2166</v>
      </c>
      <c r="D372" s="75" t="s">
        <v>897</v>
      </c>
      <c r="E372" s="75" t="s">
        <v>1257</v>
      </c>
      <c r="F372" s="75" t="s">
        <v>1510</v>
      </c>
      <c r="G372" s="76">
        <v>45471</v>
      </c>
      <c r="H372" s="75" t="s">
        <v>40</v>
      </c>
      <c r="I372" s="75" t="s">
        <v>251</v>
      </c>
      <c r="J372" s="75" t="s">
        <v>1512</v>
      </c>
      <c r="K372" s="75" t="str">
        <f t="shared" si="5"/>
        <v>06-2024</v>
      </c>
      <c r="L372" s="10" t="s">
        <v>2599</v>
      </c>
    </row>
    <row r="373" spans="1:12" s="10" customFormat="1" ht="12" hidden="1" x14ac:dyDescent="0.3">
      <c r="A373" s="75">
        <v>7642</v>
      </c>
      <c r="B373" s="75" t="s">
        <v>130</v>
      </c>
      <c r="C373" s="75">
        <v>4935</v>
      </c>
      <c r="D373" s="75" t="s">
        <v>753</v>
      </c>
      <c r="E373" s="75" t="s">
        <v>1258</v>
      </c>
      <c r="F373" s="75" t="s">
        <v>1510</v>
      </c>
      <c r="G373" s="76">
        <v>45470</v>
      </c>
      <c r="H373" s="75" t="s">
        <v>35</v>
      </c>
      <c r="I373" s="75" t="s">
        <v>32</v>
      </c>
      <c r="J373" s="75" t="s">
        <v>1512</v>
      </c>
      <c r="K373" s="75" t="str">
        <f t="shared" si="5"/>
        <v>06-2024</v>
      </c>
      <c r="L373" s="10" t="s">
        <v>2599</v>
      </c>
    </row>
    <row r="374" spans="1:12" s="10" customFormat="1" ht="12" hidden="1" x14ac:dyDescent="0.3">
      <c r="A374" s="75">
        <v>767</v>
      </c>
      <c r="B374" s="75" t="s">
        <v>265</v>
      </c>
      <c r="C374" s="75">
        <v>7247</v>
      </c>
      <c r="D374" s="75" t="s">
        <v>752</v>
      </c>
      <c r="E374" s="75" t="s">
        <v>1259</v>
      </c>
      <c r="F374" s="75" t="s">
        <v>1510</v>
      </c>
      <c r="G374" s="76">
        <v>45470</v>
      </c>
      <c r="H374" s="75" t="s">
        <v>168</v>
      </c>
      <c r="I374" s="75" t="s">
        <v>10</v>
      </c>
      <c r="J374" s="75" t="s">
        <v>1512</v>
      </c>
      <c r="K374" s="75" t="str">
        <f t="shared" si="5"/>
        <v>06-2024</v>
      </c>
      <c r="L374" s="10" t="s">
        <v>2599</v>
      </c>
    </row>
    <row r="375" spans="1:12" s="10" customFormat="1" ht="12" hidden="1" x14ac:dyDescent="0.3">
      <c r="A375" s="75">
        <v>3964</v>
      </c>
      <c r="B375" s="75" t="s">
        <v>734</v>
      </c>
      <c r="C375" s="75">
        <v>5267</v>
      </c>
      <c r="D375" s="75" t="s">
        <v>884</v>
      </c>
      <c r="E375" s="75" t="s">
        <v>1260</v>
      </c>
      <c r="F375" s="75" t="s">
        <v>1510</v>
      </c>
      <c r="G375" s="76">
        <v>45463</v>
      </c>
      <c r="H375" s="75" t="s">
        <v>53</v>
      </c>
      <c r="I375" s="75" t="s">
        <v>54</v>
      </c>
      <c r="J375" s="75" t="s">
        <v>1512</v>
      </c>
      <c r="K375" s="75" t="str">
        <f t="shared" si="5"/>
        <v>06-2024</v>
      </c>
      <c r="L375" s="10" t="s">
        <v>2599</v>
      </c>
    </row>
    <row r="376" spans="1:12" s="10" customFormat="1" ht="12" hidden="1" x14ac:dyDescent="0.3">
      <c r="A376" s="75">
        <v>7470</v>
      </c>
      <c r="B376" s="75" t="s">
        <v>276</v>
      </c>
      <c r="C376" s="75">
        <v>7254</v>
      </c>
      <c r="D376" s="75" t="s">
        <v>287</v>
      </c>
      <c r="E376" s="75" t="s">
        <v>1261</v>
      </c>
      <c r="F376" s="75" t="s">
        <v>1510</v>
      </c>
      <c r="G376" s="76">
        <v>45462</v>
      </c>
      <c r="H376" s="75" t="s">
        <v>35</v>
      </c>
      <c r="I376" s="75" t="s">
        <v>32</v>
      </c>
      <c r="J376" s="75" t="s">
        <v>1512</v>
      </c>
      <c r="K376" s="75" t="str">
        <f t="shared" si="5"/>
        <v>06-2024</v>
      </c>
      <c r="L376" s="10" t="s">
        <v>2599</v>
      </c>
    </row>
    <row r="377" spans="1:12" s="10" customFormat="1" ht="12" hidden="1" x14ac:dyDescent="0.3">
      <c r="A377" s="75">
        <v>7320</v>
      </c>
      <c r="B377" s="75" t="s">
        <v>306</v>
      </c>
      <c r="C377" s="75" t="s">
        <v>1508</v>
      </c>
      <c r="D377" s="75" t="s">
        <v>866</v>
      </c>
      <c r="E377" s="75" t="s">
        <v>1262</v>
      </c>
      <c r="F377" s="75" t="s">
        <v>1509</v>
      </c>
      <c r="G377" s="76">
        <v>45461</v>
      </c>
      <c r="H377" s="75" t="s">
        <v>35</v>
      </c>
      <c r="I377" s="75" t="s">
        <v>32</v>
      </c>
      <c r="J377" s="75" t="s">
        <v>1511</v>
      </c>
      <c r="K377" s="75" t="str">
        <f t="shared" si="5"/>
        <v>06-2024</v>
      </c>
      <c r="L377" s="10" t="s">
        <v>2599</v>
      </c>
    </row>
    <row r="378" spans="1:12" s="10" customFormat="1" ht="12" hidden="1" x14ac:dyDescent="0.3">
      <c r="A378" s="75">
        <v>7470</v>
      </c>
      <c r="B378" s="75" t="s">
        <v>276</v>
      </c>
      <c r="C378" s="75" t="s">
        <v>1508</v>
      </c>
      <c r="D378" s="75" t="s">
        <v>866</v>
      </c>
      <c r="E378" s="75" t="s">
        <v>231</v>
      </c>
      <c r="F378" s="75" t="s">
        <v>1509</v>
      </c>
      <c r="G378" s="76">
        <v>45461</v>
      </c>
      <c r="H378" s="75" t="s">
        <v>35</v>
      </c>
      <c r="I378" s="75" t="s">
        <v>32</v>
      </c>
      <c r="J378" s="75" t="s">
        <v>1511</v>
      </c>
      <c r="K378" s="75" t="str">
        <f t="shared" si="5"/>
        <v>06-2024</v>
      </c>
      <c r="L378" s="10" t="s">
        <v>2599</v>
      </c>
    </row>
    <row r="379" spans="1:12" s="10" customFormat="1" ht="12" hidden="1" x14ac:dyDescent="0.3">
      <c r="A379" s="75">
        <v>7642</v>
      </c>
      <c r="B379" s="75" t="s">
        <v>130</v>
      </c>
      <c r="C379" s="75" t="s">
        <v>1508</v>
      </c>
      <c r="D379" s="75" t="s">
        <v>866</v>
      </c>
      <c r="E379" s="75" t="s">
        <v>153</v>
      </c>
      <c r="F379" s="75" t="s">
        <v>1509</v>
      </c>
      <c r="G379" s="76">
        <v>45461</v>
      </c>
      <c r="H379" s="75" t="s">
        <v>35</v>
      </c>
      <c r="I379" s="75" t="s">
        <v>32</v>
      </c>
      <c r="J379" s="75" t="s">
        <v>1511</v>
      </c>
      <c r="K379" s="75" t="str">
        <f t="shared" si="5"/>
        <v>06-2024</v>
      </c>
      <c r="L379" s="10" t="s">
        <v>2599</v>
      </c>
    </row>
    <row r="380" spans="1:12" s="10" customFormat="1" ht="12" hidden="1" x14ac:dyDescent="0.3">
      <c r="A380" s="75">
        <v>3447</v>
      </c>
      <c r="B380" s="75" t="s">
        <v>179</v>
      </c>
      <c r="C380" s="75" t="s">
        <v>1508</v>
      </c>
      <c r="D380" s="75" t="s">
        <v>866</v>
      </c>
      <c r="E380" s="75" t="s">
        <v>190</v>
      </c>
      <c r="F380" s="75" t="s">
        <v>1509</v>
      </c>
      <c r="G380" s="76">
        <v>45461</v>
      </c>
      <c r="H380" s="75" t="s">
        <v>9</v>
      </c>
      <c r="I380" s="75" t="s">
        <v>54</v>
      </c>
      <c r="J380" s="75" t="s">
        <v>1511</v>
      </c>
      <c r="K380" s="75" t="str">
        <f t="shared" si="5"/>
        <v>06-2024</v>
      </c>
      <c r="L380" s="10" t="s">
        <v>2599</v>
      </c>
    </row>
    <row r="381" spans="1:12" s="10" customFormat="1" ht="12" hidden="1" x14ac:dyDescent="0.3">
      <c r="A381" s="75">
        <v>6481</v>
      </c>
      <c r="B381" s="75" t="s">
        <v>126</v>
      </c>
      <c r="C381" s="75" t="s">
        <v>1508</v>
      </c>
      <c r="D381" s="75" t="s">
        <v>866</v>
      </c>
      <c r="E381" s="75" t="s">
        <v>149</v>
      </c>
      <c r="F381" s="75" t="s">
        <v>1509</v>
      </c>
      <c r="G381" s="76">
        <v>45461</v>
      </c>
      <c r="H381" s="75" t="s">
        <v>21</v>
      </c>
      <c r="I381" s="75" t="s">
        <v>10</v>
      </c>
      <c r="J381" s="75" t="s">
        <v>1511</v>
      </c>
      <c r="K381" s="75" t="str">
        <f t="shared" si="5"/>
        <v>06-2024</v>
      </c>
      <c r="L381" s="10" t="s">
        <v>2599</v>
      </c>
    </row>
    <row r="382" spans="1:12" s="10" customFormat="1" ht="12" hidden="1" x14ac:dyDescent="0.3">
      <c r="A382" s="75">
        <v>7799</v>
      </c>
      <c r="B382" s="75" t="s">
        <v>778</v>
      </c>
      <c r="C382" s="75" t="s">
        <v>1508</v>
      </c>
      <c r="D382" s="75" t="s">
        <v>866</v>
      </c>
      <c r="E382" s="75" t="s">
        <v>1263</v>
      </c>
      <c r="F382" s="75" t="s">
        <v>1509</v>
      </c>
      <c r="G382" s="76">
        <v>45461</v>
      </c>
      <c r="H382" s="75" t="s">
        <v>43</v>
      </c>
      <c r="I382" s="75" t="s">
        <v>10</v>
      </c>
      <c r="J382" s="75" t="s">
        <v>1511</v>
      </c>
      <c r="K382" s="75" t="str">
        <f t="shared" si="5"/>
        <v>06-2024</v>
      </c>
      <c r="L382" s="10" t="s">
        <v>2599</v>
      </c>
    </row>
    <row r="383" spans="1:12" s="10" customFormat="1" ht="12" hidden="1" x14ac:dyDescent="0.3">
      <c r="A383" s="75">
        <v>7042</v>
      </c>
      <c r="B383" s="75" t="s">
        <v>597</v>
      </c>
      <c r="C383" s="75" t="s">
        <v>1508</v>
      </c>
      <c r="D383" s="75" t="s">
        <v>866</v>
      </c>
      <c r="E383" s="75" t="s">
        <v>1264</v>
      </c>
      <c r="F383" s="75" t="s">
        <v>1509</v>
      </c>
      <c r="G383" s="76">
        <v>45461</v>
      </c>
      <c r="H383" s="75" t="s">
        <v>9</v>
      </c>
      <c r="I383" s="75" t="s">
        <v>10</v>
      </c>
      <c r="J383" s="75" t="s">
        <v>1511</v>
      </c>
      <c r="K383" s="75" t="str">
        <f t="shared" si="5"/>
        <v>06-2024</v>
      </c>
      <c r="L383" s="10" t="s">
        <v>2599</v>
      </c>
    </row>
    <row r="384" spans="1:12" s="10" customFormat="1" ht="12" hidden="1" x14ac:dyDescent="0.3">
      <c r="A384" s="75">
        <v>2815</v>
      </c>
      <c r="B384" s="75" t="s">
        <v>123</v>
      </c>
      <c r="C384" s="75" t="s">
        <v>1508</v>
      </c>
      <c r="D384" s="75" t="s">
        <v>866</v>
      </c>
      <c r="E384" s="75" t="s">
        <v>146</v>
      </c>
      <c r="F384" s="75" t="s">
        <v>1509</v>
      </c>
      <c r="G384" s="76">
        <v>45461</v>
      </c>
      <c r="H384" s="75" t="s">
        <v>73</v>
      </c>
      <c r="I384" s="75" t="s">
        <v>74</v>
      </c>
      <c r="J384" s="75" t="s">
        <v>1511</v>
      </c>
      <c r="K384" s="75" t="str">
        <f t="shared" si="5"/>
        <v>06-2024</v>
      </c>
      <c r="L384" s="10" t="s">
        <v>2599</v>
      </c>
    </row>
    <row r="385" spans="1:12" s="10" customFormat="1" ht="12" hidden="1" x14ac:dyDescent="0.3">
      <c r="A385" s="75">
        <v>7566</v>
      </c>
      <c r="B385" s="75" t="s">
        <v>115</v>
      </c>
      <c r="C385" s="75" t="s">
        <v>1508</v>
      </c>
      <c r="D385" s="75" t="s">
        <v>866</v>
      </c>
      <c r="E385" s="75" t="s">
        <v>138</v>
      </c>
      <c r="F385" s="75" t="s">
        <v>1509</v>
      </c>
      <c r="G385" s="76">
        <v>45461</v>
      </c>
      <c r="H385" s="75" t="s">
        <v>40</v>
      </c>
      <c r="I385" s="75" t="s">
        <v>32</v>
      </c>
      <c r="J385" s="75" t="s">
        <v>1511</v>
      </c>
      <c r="K385" s="75" t="str">
        <f t="shared" si="5"/>
        <v>06-2024</v>
      </c>
      <c r="L385" s="10" t="s">
        <v>2599</v>
      </c>
    </row>
    <row r="386" spans="1:12" s="10" customFormat="1" ht="12" hidden="1" x14ac:dyDescent="0.3">
      <c r="A386" s="75">
        <v>7268</v>
      </c>
      <c r="B386" s="75" t="s">
        <v>255</v>
      </c>
      <c r="C386" s="75" t="s">
        <v>1508</v>
      </c>
      <c r="D386" s="75" t="s">
        <v>866</v>
      </c>
      <c r="E386" s="75" t="s">
        <v>206</v>
      </c>
      <c r="F386" s="75" t="s">
        <v>1509</v>
      </c>
      <c r="G386" s="76">
        <v>45461</v>
      </c>
      <c r="H386" s="75" t="s">
        <v>9</v>
      </c>
      <c r="I386" s="75" t="s">
        <v>54</v>
      </c>
      <c r="J386" s="75" t="s">
        <v>1511</v>
      </c>
      <c r="K386" s="75" t="str">
        <f t="shared" si="5"/>
        <v>06-2024</v>
      </c>
      <c r="L386" s="10" t="s">
        <v>2599</v>
      </c>
    </row>
    <row r="387" spans="1:12" s="10" customFormat="1" ht="12" hidden="1" x14ac:dyDescent="0.3">
      <c r="A387" s="75">
        <v>7208</v>
      </c>
      <c r="B387" s="75" t="s">
        <v>262</v>
      </c>
      <c r="C387" s="75" t="s">
        <v>1508</v>
      </c>
      <c r="D387" s="75" t="s">
        <v>866</v>
      </c>
      <c r="E387" s="75" t="s">
        <v>213</v>
      </c>
      <c r="F387" s="75" t="s">
        <v>1509</v>
      </c>
      <c r="G387" s="76">
        <v>45461</v>
      </c>
      <c r="H387" s="75" t="s">
        <v>35</v>
      </c>
      <c r="I387" s="75" t="s">
        <v>32</v>
      </c>
      <c r="J387" s="75" t="s">
        <v>1511</v>
      </c>
      <c r="K387" s="75" t="str">
        <f t="shared" ref="K387:K450" si="6">TEXT(G387,"mm-yyyy")</f>
        <v>06-2024</v>
      </c>
      <c r="L387" s="10" t="s">
        <v>2599</v>
      </c>
    </row>
    <row r="388" spans="1:12" s="10" customFormat="1" ht="12" hidden="1" x14ac:dyDescent="0.3">
      <c r="A388" s="75">
        <v>7844</v>
      </c>
      <c r="B388" s="75" t="s">
        <v>111</v>
      </c>
      <c r="C388" s="75" t="s">
        <v>1508</v>
      </c>
      <c r="D388" s="75" t="s">
        <v>866</v>
      </c>
      <c r="E388" s="75" t="s">
        <v>134</v>
      </c>
      <c r="F388" s="75" t="s">
        <v>1509</v>
      </c>
      <c r="G388" s="76">
        <v>45461</v>
      </c>
      <c r="H388" s="75" t="s">
        <v>16</v>
      </c>
      <c r="I388" s="75" t="s">
        <v>54</v>
      </c>
      <c r="J388" s="75" t="s">
        <v>1511</v>
      </c>
      <c r="K388" s="75" t="str">
        <f t="shared" si="6"/>
        <v>06-2024</v>
      </c>
      <c r="L388" s="10" t="s">
        <v>2599</v>
      </c>
    </row>
    <row r="389" spans="1:12" s="10" customFormat="1" ht="12" hidden="1" x14ac:dyDescent="0.3">
      <c r="A389" s="75">
        <v>6837</v>
      </c>
      <c r="B389" s="75" t="s">
        <v>260</v>
      </c>
      <c r="C389" s="75" t="s">
        <v>1508</v>
      </c>
      <c r="D389" s="75" t="s">
        <v>866</v>
      </c>
      <c r="E389" s="75" t="s">
        <v>1265</v>
      </c>
      <c r="F389" s="75" t="s">
        <v>1509</v>
      </c>
      <c r="G389" s="76">
        <v>45461</v>
      </c>
      <c r="H389" s="75" t="s">
        <v>73</v>
      </c>
      <c r="I389" s="75" t="s">
        <v>74</v>
      </c>
      <c r="J389" s="75" t="s">
        <v>1511</v>
      </c>
      <c r="K389" s="75" t="str">
        <f t="shared" si="6"/>
        <v>06-2024</v>
      </c>
      <c r="L389" s="10" t="s">
        <v>2599</v>
      </c>
    </row>
    <row r="390" spans="1:12" s="10" customFormat="1" ht="12" hidden="1" x14ac:dyDescent="0.3">
      <c r="A390" s="75">
        <v>7569</v>
      </c>
      <c r="B390" s="75" t="s">
        <v>124</v>
      </c>
      <c r="C390" s="75" t="s">
        <v>1508</v>
      </c>
      <c r="D390" s="75" t="s">
        <v>866</v>
      </c>
      <c r="E390" s="75" t="s">
        <v>1266</v>
      </c>
      <c r="F390" s="75" t="s">
        <v>1509</v>
      </c>
      <c r="G390" s="76">
        <v>45461</v>
      </c>
      <c r="H390" s="75" t="s">
        <v>73</v>
      </c>
      <c r="I390" s="75" t="s">
        <v>74</v>
      </c>
      <c r="J390" s="75" t="s">
        <v>1511</v>
      </c>
      <c r="K390" s="75" t="str">
        <f t="shared" si="6"/>
        <v>06-2024</v>
      </c>
      <c r="L390" s="10" t="s">
        <v>2599</v>
      </c>
    </row>
    <row r="391" spans="1:12" s="10" customFormat="1" ht="12" hidden="1" x14ac:dyDescent="0.3">
      <c r="A391" s="75">
        <v>6437</v>
      </c>
      <c r="B391" s="75" t="s">
        <v>626</v>
      </c>
      <c r="C391" s="75" t="s">
        <v>1508</v>
      </c>
      <c r="D391" s="75" t="s">
        <v>866</v>
      </c>
      <c r="E391" s="75" t="s">
        <v>1267</v>
      </c>
      <c r="F391" s="75" t="s">
        <v>1509</v>
      </c>
      <c r="G391" s="76">
        <v>45461</v>
      </c>
      <c r="H391" s="75" t="s">
        <v>73</v>
      </c>
      <c r="I391" s="75" t="s">
        <v>74</v>
      </c>
      <c r="J391" s="75" t="s">
        <v>1511</v>
      </c>
      <c r="K391" s="75" t="str">
        <f t="shared" si="6"/>
        <v>06-2024</v>
      </c>
      <c r="L391" s="10" t="s">
        <v>2599</v>
      </c>
    </row>
    <row r="392" spans="1:12" s="10" customFormat="1" ht="12" hidden="1" x14ac:dyDescent="0.3">
      <c r="A392" s="75">
        <v>2004</v>
      </c>
      <c r="B392" s="75" t="s">
        <v>827</v>
      </c>
      <c r="C392" s="75" t="s">
        <v>1508</v>
      </c>
      <c r="D392" s="75" t="s">
        <v>866</v>
      </c>
      <c r="E392" s="75" t="s">
        <v>1268</v>
      </c>
      <c r="F392" s="75" t="s">
        <v>1509</v>
      </c>
      <c r="G392" s="76">
        <v>45461</v>
      </c>
      <c r="H392" s="75" t="s">
        <v>40</v>
      </c>
      <c r="I392" s="75" t="s">
        <v>251</v>
      </c>
      <c r="J392" s="75" t="s">
        <v>1511</v>
      </c>
      <c r="K392" s="75" t="str">
        <f t="shared" si="6"/>
        <v>06-2024</v>
      </c>
      <c r="L392" s="10" t="s">
        <v>2599</v>
      </c>
    </row>
    <row r="393" spans="1:12" s="10" customFormat="1" ht="12" hidden="1" x14ac:dyDescent="0.3">
      <c r="A393" s="75">
        <v>7565</v>
      </c>
      <c r="B393" s="75" t="s">
        <v>828</v>
      </c>
      <c r="C393" s="75" t="s">
        <v>1508</v>
      </c>
      <c r="D393" s="75" t="s">
        <v>866</v>
      </c>
      <c r="E393" s="75" t="s">
        <v>1269</v>
      </c>
      <c r="F393" s="75" t="s">
        <v>1509</v>
      </c>
      <c r="G393" s="76">
        <v>45461</v>
      </c>
      <c r="H393" s="75" t="s">
        <v>168</v>
      </c>
      <c r="I393" s="75" t="s">
        <v>32</v>
      </c>
      <c r="J393" s="75" t="s">
        <v>1511</v>
      </c>
      <c r="K393" s="75" t="str">
        <f t="shared" si="6"/>
        <v>06-2024</v>
      </c>
      <c r="L393" s="10" t="s">
        <v>2599</v>
      </c>
    </row>
    <row r="394" spans="1:12" s="10" customFormat="1" ht="12" hidden="1" x14ac:dyDescent="0.3">
      <c r="A394" s="75">
        <v>4235</v>
      </c>
      <c r="B394" s="75" t="s">
        <v>829</v>
      </c>
      <c r="C394" s="75" t="s">
        <v>1508</v>
      </c>
      <c r="D394" s="75" t="s">
        <v>866</v>
      </c>
      <c r="E394" s="75" t="s">
        <v>1270</v>
      </c>
      <c r="F394" s="75" t="s">
        <v>1509</v>
      </c>
      <c r="G394" s="76">
        <v>45461</v>
      </c>
      <c r="H394" s="75" t="s">
        <v>35</v>
      </c>
      <c r="I394" s="75" t="s">
        <v>32</v>
      </c>
      <c r="J394" s="75" t="s">
        <v>1511</v>
      </c>
      <c r="K394" s="75" t="str">
        <f t="shared" si="6"/>
        <v>06-2024</v>
      </c>
      <c r="L394" s="10" t="s">
        <v>2599</v>
      </c>
    </row>
    <row r="395" spans="1:12" s="10" customFormat="1" ht="12" hidden="1" x14ac:dyDescent="0.3">
      <c r="A395" s="75">
        <v>6386</v>
      </c>
      <c r="B395" s="75" t="s">
        <v>830</v>
      </c>
      <c r="C395" s="75" t="s">
        <v>1508</v>
      </c>
      <c r="D395" s="75" t="s">
        <v>866</v>
      </c>
      <c r="E395" s="75" t="s">
        <v>1271</v>
      </c>
      <c r="F395" s="75" t="s">
        <v>1509</v>
      </c>
      <c r="G395" s="76">
        <v>45461</v>
      </c>
      <c r="H395" s="75" t="s">
        <v>53</v>
      </c>
      <c r="I395" s="75" t="s">
        <v>54</v>
      </c>
      <c r="J395" s="75" t="s">
        <v>1511</v>
      </c>
      <c r="K395" s="75" t="str">
        <f t="shared" si="6"/>
        <v>06-2024</v>
      </c>
      <c r="L395" s="10" t="s">
        <v>2599</v>
      </c>
    </row>
    <row r="396" spans="1:12" s="10" customFormat="1" ht="12" hidden="1" x14ac:dyDescent="0.3">
      <c r="A396" s="75">
        <v>6694</v>
      </c>
      <c r="B396" s="75" t="s">
        <v>120</v>
      </c>
      <c r="C396" s="75" t="s">
        <v>1508</v>
      </c>
      <c r="D396" s="75" t="s">
        <v>866</v>
      </c>
      <c r="E396" s="75" t="s">
        <v>1272</v>
      </c>
      <c r="F396" s="75" t="s">
        <v>1509</v>
      </c>
      <c r="G396" s="76">
        <v>45461</v>
      </c>
      <c r="H396" s="75" t="s">
        <v>40</v>
      </c>
      <c r="I396" s="75" t="s">
        <v>74</v>
      </c>
      <c r="J396" s="75" t="s">
        <v>1511</v>
      </c>
      <c r="K396" s="75" t="str">
        <f t="shared" si="6"/>
        <v>06-2024</v>
      </c>
      <c r="L396" s="10" t="s">
        <v>2599</v>
      </c>
    </row>
    <row r="397" spans="1:12" s="10" customFormat="1" ht="12" hidden="1" x14ac:dyDescent="0.3">
      <c r="A397" s="75">
        <v>7212</v>
      </c>
      <c r="B397" s="75" t="s">
        <v>599</v>
      </c>
      <c r="C397" s="75" t="s">
        <v>1508</v>
      </c>
      <c r="D397" s="75" t="s">
        <v>866</v>
      </c>
      <c r="E397" s="75" t="s">
        <v>1273</v>
      </c>
      <c r="F397" s="75" t="s">
        <v>1509</v>
      </c>
      <c r="G397" s="76">
        <v>45461</v>
      </c>
      <c r="H397" s="75" t="s">
        <v>9</v>
      </c>
      <c r="I397" s="75" t="s">
        <v>54</v>
      </c>
      <c r="J397" s="75" t="s">
        <v>1511</v>
      </c>
      <c r="K397" s="75" t="str">
        <f t="shared" si="6"/>
        <v>06-2024</v>
      </c>
      <c r="L397" s="10" t="s">
        <v>2599</v>
      </c>
    </row>
    <row r="398" spans="1:12" s="10" customFormat="1" ht="12" hidden="1" x14ac:dyDescent="0.3">
      <c r="A398" s="75">
        <v>3063</v>
      </c>
      <c r="B398" s="75" t="s">
        <v>254</v>
      </c>
      <c r="C398" s="75">
        <v>7689</v>
      </c>
      <c r="D398" s="75" t="s">
        <v>658</v>
      </c>
      <c r="E398" s="75" t="s">
        <v>1274</v>
      </c>
      <c r="F398" s="75" t="s">
        <v>1510</v>
      </c>
      <c r="G398" s="76">
        <v>45458</v>
      </c>
      <c r="H398" s="75" t="s">
        <v>40</v>
      </c>
      <c r="I398" s="75" t="s">
        <v>251</v>
      </c>
      <c r="J398" s="75" t="s">
        <v>1512</v>
      </c>
      <c r="K398" s="75" t="str">
        <f t="shared" si="6"/>
        <v>06-2024</v>
      </c>
      <c r="L398" s="10" t="s">
        <v>2599</v>
      </c>
    </row>
    <row r="399" spans="1:12" s="10" customFormat="1" ht="12" hidden="1" x14ac:dyDescent="0.3">
      <c r="A399" s="75">
        <v>2065</v>
      </c>
      <c r="B399" s="75" t="s">
        <v>825</v>
      </c>
      <c r="C399" s="75">
        <v>7687</v>
      </c>
      <c r="D399" s="75" t="s">
        <v>881</v>
      </c>
      <c r="E399" s="75" t="s">
        <v>1275</v>
      </c>
      <c r="F399" s="75" t="s">
        <v>1510</v>
      </c>
      <c r="G399" s="76">
        <v>45453</v>
      </c>
      <c r="H399" s="75" t="s">
        <v>35</v>
      </c>
      <c r="I399" s="75" t="s">
        <v>32</v>
      </c>
      <c r="J399" s="75" t="s">
        <v>1512</v>
      </c>
      <c r="K399" s="75" t="str">
        <f t="shared" si="6"/>
        <v>06-2024</v>
      </c>
      <c r="L399" s="10" t="s">
        <v>2599</v>
      </c>
    </row>
    <row r="400" spans="1:12" s="10" customFormat="1" ht="12" hidden="1" x14ac:dyDescent="0.3">
      <c r="A400" s="75">
        <v>2220</v>
      </c>
      <c r="B400" s="75" t="s">
        <v>33</v>
      </c>
      <c r="C400" s="75">
        <v>7687</v>
      </c>
      <c r="D400" s="75" t="s">
        <v>881</v>
      </c>
      <c r="E400" s="75" t="s">
        <v>1276</v>
      </c>
      <c r="F400" s="75" t="s">
        <v>1510</v>
      </c>
      <c r="G400" s="76">
        <v>45453</v>
      </c>
      <c r="H400" s="75" t="s">
        <v>35</v>
      </c>
      <c r="I400" s="75" t="s">
        <v>32</v>
      </c>
      <c r="J400" s="75" t="s">
        <v>1512</v>
      </c>
      <c r="K400" s="75" t="str">
        <f t="shared" si="6"/>
        <v>06-2024</v>
      </c>
      <c r="L400" s="10" t="s">
        <v>2599</v>
      </c>
    </row>
    <row r="401" spans="1:12" s="10" customFormat="1" ht="12" hidden="1" x14ac:dyDescent="0.3">
      <c r="A401" s="75">
        <v>6127</v>
      </c>
      <c r="B401" s="75" t="s">
        <v>277</v>
      </c>
      <c r="C401" s="75">
        <v>7687</v>
      </c>
      <c r="D401" s="75" t="s">
        <v>881</v>
      </c>
      <c r="E401" s="75" t="s">
        <v>1277</v>
      </c>
      <c r="F401" s="75" t="s">
        <v>1510</v>
      </c>
      <c r="G401" s="76">
        <v>45453</v>
      </c>
      <c r="H401" s="75" t="s">
        <v>250</v>
      </c>
      <c r="I401" s="75" t="s">
        <v>10</v>
      </c>
      <c r="J401" s="75" t="s">
        <v>1512</v>
      </c>
      <c r="K401" s="75" t="str">
        <f t="shared" si="6"/>
        <v>06-2024</v>
      </c>
      <c r="L401" s="10" t="s">
        <v>2599</v>
      </c>
    </row>
    <row r="402" spans="1:12" s="10" customFormat="1" ht="12" hidden="1" x14ac:dyDescent="0.3">
      <c r="A402" s="75">
        <v>7029</v>
      </c>
      <c r="B402" s="75" t="s">
        <v>171</v>
      </c>
      <c r="C402" s="75">
        <v>7400</v>
      </c>
      <c r="D402" s="75" t="s">
        <v>487</v>
      </c>
      <c r="E402" s="75" t="s">
        <v>182</v>
      </c>
      <c r="F402" s="75" t="s">
        <v>1509</v>
      </c>
      <c r="G402" s="76">
        <v>45448</v>
      </c>
      <c r="H402" s="75" t="s">
        <v>53</v>
      </c>
      <c r="I402" s="75" t="s">
        <v>54</v>
      </c>
      <c r="J402" s="75" t="s">
        <v>1511</v>
      </c>
      <c r="K402" s="75" t="str">
        <f t="shared" si="6"/>
        <v>06-2024</v>
      </c>
      <c r="L402" s="10" t="s">
        <v>2599</v>
      </c>
    </row>
    <row r="403" spans="1:12" s="10" customFormat="1" ht="12" hidden="1" x14ac:dyDescent="0.3">
      <c r="A403" s="75">
        <v>6721</v>
      </c>
      <c r="B403" s="75" t="s">
        <v>170</v>
      </c>
      <c r="C403" s="75">
        <v>7400</v>
      </c>
      <c r="D403" s="75" t="s">
        <v>487</v>
      </c>
      <c r="E403" s="75" t="s">
        <v>181</v>
      </c>
      <c r="F403" s="75" t="s">
        <v>1509</v>
      </c>
      <c r="G403" s="76">
        <v>45448</v>
      </c>
      <c r="H403" s="75" t="s">
        <v>53</v>
      </c>
      <c r="I403" s="75" t="s">
        <v>54</v>
      </c>
      <c r="J403" s="75" t="s">
        <v>1511</v>
      </c>
      <c r="K403" s="75" t="str">
        <f t="shared" si="6"/>
        <v>06-2024</v>
      </c>
      <c r="L403" s="10" t="s">
        <v>2599</v>
      </c>
    </row>
    <row r="404" spans="1:12" s="10" customFormat="1" ht="12" hidden="1" x14ac:dyDescent="0.3">
      <c r="A404" s="75">
        <v>7737</v>
      </c>
      <c r="B404" s="75" t="s">
        <v>176</v>
      </c>
      <c r="C404" s="75">
        <v>7224</v>
      </c>
      <c r="D404" s="75" t="s">
        <v>360</v>
      </c>
      <c r="E404" s="75" t="s">
        <v>1278</v>
      </c>
      <c r="F404" s="75" t="s">
        <v>1509</v>
      </c>
      <c r="G404" s="76">
        <v>45446</v>
      </c>
      <c r="H404" s="75" t="s">
        <v>21</v>
      </c>
      <c r="I404" s="75" t="s">
        <v>10</v>
      </c>
      <c r="J404" s="75" t="s">
        <v>1511</v>
      </c>
      <c r="K404" s="75" t="str">
        <f t="shared" si="6"/>
        <v>06-2024</v>
      </c>
      <c r="L404" s="10" t="s">
        <v>2599</v>
      </c>
    </row>
    <row r="405" spans="1:12" s="10" customFormat="1" ht="12" hidden="1" x14ac:dyDescent="0.3">
      <c r="A405" s="75">
        <v>7722</v>
      </c>
      <c r="B405" s="75" t="s">
        <v>292</v>
      </c>
      <c r="C405" s="75">
        <v>7569</v>
      </c>
      <c r="D405" s="75" t="s">
        <v>124</v>
      </c>
      <c r="E405" s="75" t="s">
        <v>1279</v>
      </c>
      <c r="F405" s="75" t="s">
        <v>1510</v>
      </c>
      <c r="G405" s="76">
        <v>45444</v>
      </c>
      <c r="H405" s="75" t="s">
        <v>73</v>
      </c>
      <c r="I405" s="75" t="s">
        <v>74</v>
      </c>
      <c r="J405" s="75" t="s">
        <v>1512</v>
      </c>
      <c r="K405" s="75" t="str">
        <f t="shared" si="6"/>
        <v>06-2024</v>
      </c>
      <c r="L405" s="10" t="s">
        <v>2599</v>
      </c>
    </row>
    <row r="406" spans="1:12" s="10" customFormat="1" ht="12" hidden="1" x14ac:dyDescent="0.3">
      <c r="A406" s="75">
        <v>7212</v>
      </c>
      <c r="B406" s="75" t="s">
        <v>599</v>
      </c>
      <c r="C406" s="75">
        <v>3458</v>
      </c>
      <c r="D406" s="75" t="s">
        <v>452</v>
      </c>
      <c r="E406" s="75" t="s">
        <v>1280</v>
      </c>
      <c r="F406" s="75" t="s">
        <v>1510</v>
      </c>
      <c r="G406" s="76">
        <v>45443</v>
      </c>
      <c r="H406" s="75" t="s">
        <v>9</v>
      </c>
      <c r="I406" s="75" t="s">
        <v>54</v>
      </c>
      <c r="J406" s="75" t="s">
        <v>1512</v>
      </c>
      <c r="K406" s="75" t="str">
        <f t="shared" si="6"/>
        <v>05-2024</v>
      </c>
      <c r="L406" s="10" t="s">
        <v>2599</v>
      </c>
    </row>
    <row r="407" spans="1:12" s="10" customFormat="1" ht="12" hidden="1" x14ac:dyDescent="0.3">
      <c r="A407" s="75">
        <v>7635</v>
      </c>
      <c r="B407" s="75" t="s">
        <v>76</v>
      </c>
      <c r="C407" s="75">
        <v>7445</v>
      </c>
      <c r="D407" s="75" t="s">
        <v>118</v>
      </c>
      <c r="E407" s="75" t="s">
        <v>1281</v>
      </c>
      <c r="F407" s="75" t="s">
        <v>1509</v>
      </c>
      <c r="G407" s="76">
        <v>45443</v>
      </c>
      <c r="H407" s="75" t="s">
        <v>73</v>
      </c>
      <c r="I407" s="75" t="s">
        <v>74</v>
      </c>
      <c r="J407" s="75" t="s">
        <v>1511</v>
      </c>
      <c r="K407" s="75" t="str">
        <f t="shared" si="6"/>
        <v>05-2024</v>
      </c>
      <c r="L407" s="10" t="s">
        <v>2599</v>
      </c>
    </row>
    <row r="408" spans="1:12" s="10" customFormat="1" ht="12" hidden="1" x14ac:dyDescent="0.3">
      <c r="A408" s="75">
        <v>6723</v>
      </c>
      <c r="B408" s="75" t="s">
        <v>624</v>
      </c>
      <c r="C408" s="75">
        <v>7445</v>
      </c>
      <c r="D408" s="75" t="s">
        <v>118</v>
      </c>
      <c r="E408" s="75" t="s">
        <v>1282</v>
      </c>
      <c r="F408" s="75" t="s">
        <v>1509</v>
      </c>
      <c r="G408" s="76">
        <v>45443</v>
      </c>
      <c r="H408" s="75" t="s">
        <v>73</v>
      </c>
      <c r="I408" s="75" t="s">
        <v>74</v>
      </c>
      <c r="J408" s="75" t="s">
        <v>1511</v>
      </c>
      <c r="K408" s="75" t="str">
        <f t="shared" si="6"/>
        <v>05-2024</v>
      </c>
      <c r="L408" s="10" t="s">
        <v>2599</v>
      </c>
    </row>
    <row r="409" spans="1:12" s="10" customFormat="1" ht="12" hidden="1" x14ac:dyDescent="0.3">
      <c r="A409" s="75">
        <v>7030</v>
      </c>
      <c r="B409" s="75" t="s">
        <v>174</v>
      </c>
      <c r="C409" s="75">
        <v>7445</v>
      </c>
      <c r="D409" s="75" t="s">
        <v>118</v>
      </c>
      <c r="E409" s="75" t="s">
        <v>1283</v>
      </c>
      <c r="F409" s="75" t="s">
        <v>1509</v>
      </c>
      <c r="G409" s="76">
        <v>45443</v>
      </c>
      <c r="H409" s="75" t="s">
        <v>73</v>
      </c>
      <c r="I409" s="75" t="s">
        <v>74</v>
      </c>
      <c r="J409" s="75" t="s">
        <v>1511</v>
      </c>
      <c r="K409" s="75" t="str">
        <f t="shared" si="6"/>
        <v>05-2024</v>
      </c>
      <c r="L409" s="10" t="s">
        <v>2599</v>
      </c>
    </row>
    <row r="410" spans="1:12" s="10" customFormat="1" ht="12" hidden="1" x14ac:dyDescent="0.3">
      <c r="A410" s="75">
        <v>6745</v>
      </c>
      <c r="B410" s="75" t="s">
        <v>75</v>
      </c>
      <c r="C410" s="75">
        <v>7445</v>
      </c>
      <c r="D410" s="75" t="s">
        <v>118</v>
      </c>
      <c r="E410" s="75" t="s">
        <v>1284</v>
      </c>
      <c r="F410" s="75" t="s">
        <v>1509</v>
      </c>
      <c r="G410" s="76">
        <v>45443</v>
      </c>
      <c r="H410" s="75" t="s">
        <v>73</v>
      </c>
      <c r="I410" s="75" t="s">
        <v>74</v>
      </c>
      <c r="J410" s="75" t="s">
        <v>1511</v>
      </c>
      <c r="K410" s="75" t="str">
        <f t="shared" si="6"/>
        <v>05-2024</v>
      </c>
      <c r="L410" s="10" t="s">
        <v>2599</v>
      </c>
    </row>
    <row r="411" spans="1:12" s="10" customFormat="1" ht="12" hidden="1" x14ac:dyDescent="0.3">
      <c r="A411" s="75">
        <v>7369</v>
      </c>
      <c r="B411" s="75" t="s">
        <v>432</v>
      </c>
      <c r="C411" s="75">
        <v>7445</v>
      </c>
      <c r="D411" s="75" t="s">
        <v>118</v>
      </c>
      <c r="E411" s="75" t="s">
        <v>1285</v>
      </c>
      <c r="F411" s="75" t="s">
        <v>1509</v>
      </c>
      <c r="G411" s="76">
        <v>45443</v>
      </c>
      <c r="H411" s="75" t="s">
        <v>73</v>
      </c>
      <c r="I411" s="75" t="s">
        <v>74</v>
      </c>
      <c r="J411" s="75" t="s">
        <v>1511</v>
      </c>
      <c r="K411" s="75" t="str">
        <f t="shared" si="6"/>
        <v>05-2024</v>
      </c>
      <c r="L411" s="10" t="s">
        <v>2599</v>
      </c>
    </row>
    <row r="412" spans="1:12" s="10" customFormat="1" ht="12" hidden="1" x14ac:dyDescent="0.3">
      <c r="A412" s="75">
        <v>6694</v>
      </c>
      <c r="B412" s="75" t="s">
        <v>120</v>
      </c>
      <c r="C412" s="75">
        <v>7360</v>
      </c>
      <c r="D412" s="75" t="s">
        <v>699</v>
      </c>
      <c r="E412" s="75" t="s">
        <v>1286</v>
      </c>
      <c r="F412" s="75" t="s">
        <v>1510</v>
      </c>
      <c r="G412" s="76">
        <v>45441</v>
      </c>
      <c r="H412" s="75" t="s">
        <v>40</v>
      </c>
      <c r="I412" s="75" t="s">
        <v>74</v>
      </c>
      <c r="J412" s="75" t="s">
        <v>1512</v>
      </c>
      <c r="K412" s="75" t="str">
        <f t="shared" si="6"/>
        <v>05-2024</v>
      </c>
      <c r="L412" s="10" t="s">
        <v>2599</v>
      </c>
    </row>
    <row r="413" spans="1:12" s="10" customFormat="1" ht="12" hidden="1" x14ac:dyDescent="0.3">
      <c r="A413" s="75">
        <v>6386</v>
      </c>
      <c r="B413" s="75" t="s">
        <v>830</v>
      </c>
      <c r="C413" s="75">
        <v>6596</v>
      </c>
      <c r="D413" s="75" t="s">
        <v>843</v>
      </c>
      <c r="E413" s="75" t="s">
        <v>1287</v>
      </c>
      <c r="F413" s="75" t="s">
        <v>1510</v>
      </c>
      <c r="G413" s="76">
        <v>45436</v>
      </c>
      <c r="H413" s="75" t="s">
        <v>53</v>
      </c>
      <c r="I413" s="75" t="s">
        <v>54</v>
      </c>
      <c r="J413" s="75" t="s">
        <v>1512</v>
      </c>
      <c r="K413" s="75" t="str">
        <f t="shared" si="6"/>
        <v>05-2024</v>
      </c>
      <c r="L413" s="10" t="s">
        <v>2599</v>
      </c>
    </row>
    <row r="414" spans="1:12" s="10" customFormat="1" ht="12" hidden="1" x14ac:dyDescent="0.3">
      <c r="A414" s="75">
        <v>4235</v>
      </c>
      <c r="B414" s="75" t="s">
        <v>829</v>
      </c>
      <c r="C414" s="75">
        <v>6356</v>
      </c>
      <c r="D414" s="75" t="s">
        <v>49</v>
      </c>
      <c r="E414" s="75" t="s">
        <v>1288</v>
      </c>
      <c r="F414" s="75" t="s">
        <v>1510</v>
      </c>
      <c r="G414" s="76">
        <v>45434</v>
      </c>
      <c r="H414" s="75" t="s">
        <v>35</v>
      </c>
      <c r="I414" s="75" t="s">
        <v>32</v>
      </c>
      <c r="J414" s="75" t="s">
        <v>1512</v>
      </c>
      <c r="K414" s="75" t="str">
        <f t="shared" si="6"/>
        <v>05-2024</v>
      </c>
      <c r="L414" s="10" t="s">
        <v>2599</v>
      </c>
    </row>
    <row r="415" spans="1:12" s="10" customFormat="1" ht="12" hidden="1" x14ac:dyDescent="0.3">
      <c r="A415" s="75">
        <v>7565</v>
      </c>
      <c r="B415" s="75" t="s">
        <v>828</v>
      </c>
      <c r="C415" s="75">
        <v>7687</v>
      </c>
      <c r="D415" s="75" t="s">
        <v>881</v>
      </c>
      <c r="E415" s="75" t="s">
        <v>1289</v>
      </c>
      <c r="F415" s="75" t="s">
        <v>1510</v>
      </c>
      <c r="G415" s="76">
        <v>45433</v>
      </c>
      <c r="H415" s="75" t="s">
        <v>168</v>
      </c>
      <c r="I415" s="75" t="s">
        <v>32</v>
      </c>
      <c r="J415" s="75" t="s">
        <v>1512</v>
      </c>
      <c r="K415" s="75" t="str">
        <f t="shared" si="6"/>
        <v>05-2024</v>
      </c>
      <c r="L415" s="10" t="s">
        <v>2599</v>
      </c>
    </row>
    <row r="416" spans="1:12" s="10" customFormat="1" ht="12" hidden="1" x14ac:dyDescent="0.3">
      <c r="A416" s="75">
        <v>2004</v>
      </c>
      <c r="B416" s="75" t="s">
        <v>827</v>
      </c>
      <c r="C416" s="75">
        <v>615</v>
      </c>
      <c r="D416" s="75" t="s">
        <v>898</v>
      </c>
      <c r="E416" s="75" t="s">
        <v>1290</v>
      </c>
      <c r="F416" s="75" t="s">
        <v>1510</v>
      </c>
      <c r="G416" s="76">
        <v>45432</v>
      </c>
      <c r="H416" s="75" t="s">
        <v>40</v>
      </c>
      <c r="I416" s="75" t="s">
        <v>251</v>
      </c>
      <c r="J416" s="75" t="s">
        <v>1512</v>
      </c>
      <c r="K416" s="75" t="str">
        <f t="shared" si="6"/>
        <v>05-2024</v>
      </c>
      <c r="L416" s="10" t="s">
        <v>2599</v>
      </c>
    </row>
    <row r="417" spans="1:12" s="10" customFormat="1" ht="12" hidden="1" x14ac:dyDescent="0.3">
      <c r="A417" s="75">
        <v>6437</v>
      </c>
      <c r="B417" s="75" t="s">
        <v>626</v>
      </c>
      <c r="C417" s="75">
        <v>7569</v>
      </c>
      <c r="D417" s="75" t="s">
        <v>124</v>
      </c>
      <c r="E417" s="75" t="s">
        <v>1291</v>
      </c>
      <c r="F417" s="75" t="s">
        <v>1510</v>
      </c>
      <c r="G417" s="76">
        <v>45429</v>
      </c>
      <c r="H417" s="75" t="s">
        <v>73</v>
      </c>
      <c r="I417" s="75" t="s">
        <v>74</v>
      </c>
      <c r="J417" s="75" t="s">
        <v>1512</v>
      </c>
      <c r="K417" s="75" t="str">
        <f t="shared" si="6"/>
        <v>05-2024</v>
      </c>
      <c r="L417" s="10" t="s">
        <v>2599</v>
      </c>
    </row>
    <row r="418" spans="1:12" s="10" customFormat="1" ht="12" hidden="1" x14ac:dyDescent="0.3">
      <c r="A418" s="75">
        <v>7569</v>
      </c>
      <c r="B418" s="75" t="s">
        <v>124</v>
      </c>
      <c r="C418" s="75">
        <v>7394</v>
      </c>
      <c r="D418" s="75" t="s">
        <v>286</v>
      </c>
      <c r="E418" s="75" t="s">
        <v>1292</v>
      </c>
      <c r="F418" s="75" t="s">
        <v>1510</v>
      </c>
      <c r="G418" s="76">
        <v>45429</v>
      </c>
      <c r="H418" s="75" t="s">
        <v>73</v>
      </c>
      <c r="I418" s="75" t="s">
        <v>74</v>
      </c>
      <c r="J418" s="75" t="s">
        <v>1512</v>
      </c>
      <c r="K418" s="75" t="str">
        <f t="shared" si="6"/>
        <v>05-2024</v>
      </c>
      <c r="L418" s="10" t="s">
        <v>2599</v>
      </c>
    </row>
    <row r="419" spans="1:12" s="10" customFormat="1" ht="12" hidden="1" x14ac:dyDescent="0.3">
      <c r="A419" s="75">
        <v>6837</v>
      </c>
      <c r="B419" s="75" t="s">
        <v>260</v>
      </c>
      <c r="C419" s="75">
        <v>7394</v>
      </c>
      <c r="D419" s="75" t="s">
        <v>286</v>
      </c>
      <c r="E419" s="75" t="s">
        <v>1293</v>
      </c>
      <c r="F419" s="75" t="s">
        <v>1510</v>
      </c>
      <c r="G419" s="76">
        <v>45429</v>
      </c>
      <c r="H419" s="75" t="s">
        <v>73</v>
      </c>
      <c r="I419" s="75" t="s">
        <v>74</v>
      </c>
      <c r="J419" s="75" t="s">
        <v>1512</v>
      </c>
      <c r="K419" s="75" t="str">
        <f t="shared" si="6"/>
        <v>05-2024</v>
      </c>
      <c r="L419" s="10" t="s">
        <v>2599</v>
      </c>
    </row>
    <row r="420" spans="1:12" s="10" customFormat="1" ht="12" hidden="1" x14ac:dyDescent="0.3">
      <c r="A420" s="75">
        <v>7844</v>
      </c>
      <c r="B420" s="75" t="s">
        <v>111</v>
      </c>
      <c r="C420" s="75">
        <v>7479</v>
      </c>
      <c r="D420" s="75" t="s">
        <v>814</v>
      </c>
      <c r="E420" s="75" t="s">
        <v>1294</v>
      </c>
      <c r="F420" s="75" t="s">
        <v>1510</v>
      </c>
      <c r="G420" s="76">
        <v>45429</v>
      </c>
      <c r="H420" s="75" t="s">
        <v>16</v>
      </c>
      <c r="I420" s="75" t="s">
        <v>54</v>
      </c>
      <c r="J420" s="75" t="s">
        <v>1512</v>
      </c>
      <c r="K420" s="75" t="str">
        <f t="shared" si="6"/>
        <v>05-2024</v>
      </c>
      <c r="L420" s="10" t="s">
        <v>2599</v>
      </c>
    </row>
    <row r="421" spans="1:12" s="10" customFormat="1" ht="12" hidden="1" x14ac:dyDescent="0.3">
      <c r="A421" s="75">
        <v>7667</v>
      </c>
      <c r="B421" s="75" t="s">
        <v>57</v>
      </c>
      <c r="C421" s="75">
        <v>7479</v>
      </c>
      <c r="D421" s="75" t="s">
        <v>814</v>
      </c>
      <c r="E421" s="75" t="s">
        <v>1295</v>
      </c>
      <c r="F421" s="75" t="s">
        <v>1509</v>
      </c>
      <c r="G421" s="76">
        <v>45429</v>
      </c>
      <c r="H421" s="75" t="s">
        <v>16</v>
      </c>
      <c r="I421" s="75" t="s">
        <v>54</v>
      </c>
      <c r="J421" s="75" t="s">
        <v>1511</v>
      </c>
      <c r="K421" s="75" t="str">
        <f t="shared" si="6"/>
        <v>05-2024</v>
      </c>
      <c r="L421" s="10" t="s">
        <v>2599</v>
      </c>
    </row>
    <row r="422" spans="1:12" s="10" customFormat="1" ht="12" hidden="1" x14ac:dyDescent="0.3">
      <c r="A422" s="75">
        <v>7634</v>
      </c>
      <c r="B422" s="75" t="s">
        <v>117</v>
      </c>
      <c r="C422" s="75" t="s">
        <v>1508</v>
      </c>
      <c r="D422" s="75" t="s">
        <v>866</v>
      </c>
      <c r="E422" s="75" t="s">
        <v>140</v>
      </c>
      <c r="F422" s="75" t="s">
        <v>1509</v>
      </c>
      <c r="G422" s="76">
        <v>45428</v>
      </c>
      <c r="H422" s="75" t="s">
        <v>168</v>
      </c>
      <c r="I422" s="75" t="s">
        <v>10</v>
      </c>
      <c r="J422" s="75" t="s">
        <v>1511</v>
      </c>
      <c r="K422" s="75" t="str">
        <f t="shared" si="6"/>
        <v>05-2024</v>
      </c>
      <c r="L422" s="10" t="s">
        <v>2599</v>
      </c>
    </row>
    <row r="423" spans="1:12" s="10" customFormat="1" ht="12" hidden="1" x14ac:dyDescent="0.3">
      <c r="A423" s="75">
        <v>1624</v>
      </c>
      <c r="B423" s="75" t="s">
        <v>831</v>
      </c>
      <c r="C423" s="75" t="s">
        <v>1508</v>
      </c>
      <c r="D423" s="75" t="s">
        <v>866</v>
      </c>
      <c r="E423" s="75" t="s">
        <v>1296</v>
      </c>
      <c r="F423" s="75" t="s">
        <v>1509</v>
      </c>
      <c r="G423" s="76">
        <v>45428</v>
      </c>
      <c r="H423" s="75" t="s">
        <v>35</v>
      </c>
      <c r="I423" s="75" t="s">
        <v>32</v>
      </c>
      <c r="J423" s="75" t="s">
        <v>1511</v>
      </c>
      <c r="K423" s="75" t="str">
        <f t="shared" si="6"/>
        <v>05-2024</v>
      </c>
      <c r="L423" s="10" t="s">
        <v>2599</v>
      </c>
    </row>
    <row r="424" spans="1:12" s="10" customFormat="1" ht="12" hidden="1" x14ac:dyDescent="0.3">
      <c r="A424" s="75">
        <v>1945</v>
      </c>
      <c r="B424" s="75" t="s">
        <v>110</v>
      </c>
      <c r="C424" s="75" t="s">
        <v>1508</v>
      </c>
      <c r="D424" s="75" t="s">
        <v>866</v>
      </c>
      <c r="E424" s="75" t="s">
        <v>133</v>
      </c>
      <c r="F424" s="75" t="s">
        <v>1509</v>
      </c>
      <c r="G424" s="76">
        <v>45428</v>
      </c>
      <c r="H424" s="75" t="s">
        <v>16</v>
      </c>
      <c r="I424" s="75" t="s">
        <v>54</v>
      </c>
      <c r="J424" s="75" t="s">
        <v>1511</v>
      </c>
      <c r="K424" s="75" t="str">
        <f t="shared" si="6"/>
        <v>05-2024</v>
      </c>
      <c r="L424" s="10" t="s">
        <v>2599</v>
      </c>
    </row>
    <row r="425" spans="1:12" s="10" customFormat="1" ht="12" hidden="1" x14ac:dyDescent="0.3">
      <c r="A425" s="75">
        <v>5426</v>
      </c>
      <c r="B425" s="75" t="s">
        <v>832</v>
      </c>
      <c r="C425" s="75" t="s">
        <v>1508</v>
      </c>
      <c r="D425" s="75" t="s">
        <v>866</v>
      </c>
      <c r="E425" s="75" t="s">
        <v>1297</v>
      </c>
      <c r="F425" s="75" t="s">
        <v>1509</v>
      </c>
      <c r="G425" s="76">
        <v>45428</v>
      </c>
      <c r="H425" s="75" t="s">
        <v>40</v>
      </c>
      <c r="I425" s="75" t="s">
        <v>74</v>
      </c>
      <c r="J425" s="75" t="s">
        <v>1511</v>
      </c>
      <c r="K425" s="75" t="str">
        <f t="shared" si="6"/>
        <v>05-2024</v>
      </c>
      <c r="L425" s="10" t="s">
        <v>2599</v>
      </c>
    </row>
    <row r="426" spans="1:12" s="10" customFormat="1" ht="12" hidden="1" x14ac:dyDescent="0.3">
      <c r="A426" s="75">
        <v>7638</v>
      </c>
      <c r="B426" s="75" t="s">
        <v>125</v>
      </c>
      <c r="C426" s="75" t="s">
        <v>1508</v>
      </c>
      <c r="D426" s="75" t="s">
        <v>866</v>
      </c>
      <c r="E426" s="75" t="s">
        <v>148</v>
      </c>
      <c r="F426" s="75" t="s">
        <v>1509</v>
      </c>
      <c r="G426" s="76">
        <v>45428</v>
      </c>
      <c r="H426" s="75" t="s">
        <v>40</v>
      </c>
      <c r="I426" s="75" t="s">
        <v>74</v>
      </c>
      <c r="J426" s="75" t="s">
        <v>1511</v>
      </c>
      <c r="K426" s="75" t="str">
        <f t="shared" si="6"/>
        <v>05-2024</v>
      </c>
      <c r="L426" s="10" t="s">
        <v>2599</v>
      </c>
    </row>
    <row r="427" spans="1:12" s="10" customFormat="1" ht="12" hidden="1" x14ac:dyDescent="0.3">
      <c r="A427" s="75">
        <v>4564</v>
      </c>
      <c r="B427" s="75" t="s">
        <v>833</v>
      </c>
      <c r="C427" s="75" t="s">
        <v>1508</v>
      </c>
      <c r="D427" s="75" t="s">
        <v>866</v>
      </c>
      <c r="E427" s="75" t="s">
        <v>1298</v>
      </c>
      <c r="F427" s="75" t="s">
        <v>1509</v>
      </c>
      <c r="G427" s="76">
        <v>45428</v>
      </c>
      <c r="H427" s="75" t="s">
        <v>40</v>
      </c>
      <c r="I427" s="75" t="s">
        <v>32</v>
      </c>
      <c r="J427" s="75" t="s">
        <v>1511</v>
      </c>
      <c r="K427" s="75" t="str">
        <f t="shared" si="6"/>
        <v>05-2024</v>
      </c>
      <c r="L427" s="10" t="s">
        <v>2599</v>
      </c>
    </row>
    <row r="428" spans="1:12" s="10" customFormat="1" ht="12" hidden="1" x14ac:dyDescent="0.3">
      <c r="A428" s="75">
        <v>3703</v>
      </c>
      <c r="B428" s="75" t="s">
        <v>834</v>
      </c>
      <c r="C428" s="75" t="s">
        <v>1508</v>
      </c>
      <c r="D428" s="75" t="s">
        <v>866</v>
      </c>
      <c r="E428" s="75" t="s">
        <v>1299</v>
      </c>
      <c r="F428" s="75" t="s">
        <v>1509</v>
      </c>
      <c r="G428" s="76">
        <v>45428</v>
      </c>
      <c r="H428" s="75" t="s">
        <v>40</v>
      </c>
      <c r="I428" s="75" t="s">
        <v>32</v>
      </c>
      <c r="J428" s="75" t="s">
        <v>1511</v>
      </c>
      <c r="K428" s="75" t="str">
        <f t="shared" si="6"/>
        <v>05-2024</v>
      </c>
      <c r="L428" s="10" t="s">
        <v>2599</v>
      </c>
    </row>
    <row r="429" spans="1:12" s="10" customFormat="1" ht="12" hidden="1" x14ac:dyDescent="0.3">
      <c r="A429" s="75">
        <v>7583</v>
      </c>
      <c r="B429" s="75" t="s">
        <v>835</v>
      </c>
      <c r="C429" s="75" t="s">
        <v>1508</v>
      </c>
      <c r="D429" s="75" t="s">
        <v>866</v>
      </c>
      <c r="E429" s="75" t="s">
        <v>1300</v>
      </c>
      <c r="F429" s="75" t="s">
        <v>1509</v>
      </c>
      <c r="G429" s="76">
        <v>45428</v>
      </c>
      <c r="H429" s="75" t="s">
        <v>40</v>
      </c>
      <c r="I429" s="75" t="s">
        <v>74</v>
      </c>
      <c r="J429" s="75" t="s">
        <v>1511</v>
      </c>
      <c r="K429" s="75" t="str">
        <f t="shared" si="6"/>
        <v>05-2024</v>
      </c>
      <c r="L429" s="10" t="s">
        <v>2599</v>
      </c>
    </row>
    <row r="430" spans="1:12" s="10" customFormat="1" ht="12" hidden="1" x14ac:dyDescent="0.3">
      <c r="A430" s="75">
        <v>669</v>
      </c>
      <c r="B430" s="75" t="s">
        <v>114</v>
      </c>
      <c r="C430" s="75" t="s">
        <v>1508</v>
      </c>
      <c r="D430" s="75" t="s">
        <v>866</v>
      </c>
      <c r="E430" s="75" t="s">
        <v>137</v>
      </c>
      <c r="F430" s="75" t="s">
        <v>1509</v>
      </c>
      <c r="G430" s="76">
        <v>45428</v>
      </c>
      <c r="H430" s="75" t="s">
        <v>40</v>
      </c>
      <c r="I430" s="75" t="s">
        <v>74</v>
      </c>
      <c r="J430" s="75" t="s">
        <v>1511</v>
      </c>
      <c r="K430" s="75" t="str">
        <f t="shared" si="6"/>
        <v>05-2024</v>
      </c>
      <c r="L430" s="10" t="s">
        <v>2599</v>
      </c>
    </row>
    <row r="431" spans="1:12" s="10" customFormat="1" ht="12" hidden="1" x14ac:dyDescent="0.3">
      <c r="A431" s="75">
        <v>6694</v>
      </c>
      <c r="B431" s="75" t="s">
        <v>120</v>
      </c>
      <c r="C431" s="75" t="s">
        <v>1508</v>
      </c>
      <c r="D431" s="75" t="s">
        <v>866</v>
      </c>
      <c r="E431" s="75" t="s">
        <v>1301</v>
      </c>
      <c r="F431" s="75" t="s">
        <v>1509</v>
      </c>
      <c r="G431" s="76">
        <v>45428</v>
      </c>
      <c r="H431" s="75" t="s">
        <v>40</v>
      </c>
      <c r="I431" s="75" t="s">
        <v>74</v>
      </c>
      <c r="J431" s="75" t="s">
        <v>1511</v>
      </c>
      <c r="K431" s="75" t="str">
        <f t="shared" si="6"/>
        <v>05-2024</v>
      </c>
      <c r="L431" s="10" t="s">
        <v>2599</v>
      </c>
    </row>
    <row r="432" spans="1:12" s="10" customFormat="1" ht="12" hidden="1" x14ac:dyDescent="0.3">
      <c r="A432" s="75">
        <v>2799</v>
      </c>
      <c r="B432" s="75" t="s">
        <v>823</v>
      </c>
      <c r="C432" s="75" t="s">
        <v>1508</v>
      </c>
      <c r="D432" s="75" t="s">
        <v>866</v>
      </c>
      <c r="E432" s="75" t="s">
        <v>1302</v>
      </c>
      <c r="F432" s="75" t="s">
        <v>1509</v>
      </c>
      <c r="G432" s="76">
        <v>45428</v>
      </c>
      <c r="H432" s="75" t="s">
        <v>73</v>
      </c>
      <c r="I432" s="75" t="s">
        <v>32</v>
      </c>
      <c r="J432" s="75" t="s">
        <v>1511</v>
      </c>
      <c r="K432" s="75" t="str">
        <f t="shared" si="6"/>
        <v>05-2024</v>
      </c>
      <c r="L432" s="10" t="s">
        <v>2599</v>
      </c>
    </row>
    <row r="433" spans="1:12" s="10" customFormat="1" ht="12" hidden="1" x14ac:dyDescent="0.3">
      <c r="A433" s="75">
        <v>7208</v>
      </c>
      <c r="B433" s="75" t="s">
        <v>262</v>
      </c>
      <c r="C433" s="75">
        <v>7254</v>
      </c>
      <c r="D433" s="75" t="s">
        <v>287</v>
      </c>
      <c r="E433" s="75" t="s">
        <v>1303</v>
      </c>
      <c r="F433" s="75" t="s">
        <v>1510</v>
      </c>
      <c r="G433" s="76">
        <v>45427</v>
      </c>
      <c r="H433" s="75" t="s">
        <v>35</v>
      </c>
      <c r="I433" s="75" t="s">
        <v>32</v>
      </c>
      <c r="J433" s="75" t="s">
        <v>1512</v>
      </c>
      <c r="K433" s="75" t="str">
        <f t="shared" si="6"/>
        <v>05-2024</v>
      </c>
      <c r="L433" s="10" t="s">
        <v>2599</v>
      </c>
    </row>
    <row r="434" spans="1:12" s="10" customFormat="1" ht="12" hidden="1" x14ac:dyDescent="0.3">
      <c r="A434" s="75">
        <v>7268</v>
      </c>
      <c r="B434" s="75" t="s">
        <v>255</v>
      </c>
      <c r="C434" s="75">
        <v>7208</v>
      </c>
      <c r="D434" s="75" t="s">
        <v>262</v>
      </c>
      <c r="E434" s="75" t="s">
        <v>1304</v>
      </c>
      <c r="F434" s="75" t="s">
        <v>1510</v>
      </c>
      <c r="G434" s="76">
        <v>45423</v>
      </c>
      <c r="H434" s="75" t="s">
        <v>9</v>
      </c>
      <c r="I434" s="75" t="s">
        <v>54</v>
      </c>
      <c r="J434" s="75" t="s">
        <v>1512</v>
      </c>
      <c r="K434" s="75" t="str">
        <f t="shared" si="6"/>
        <v>05-2024</v>
      </c>
      <c r="L434" s="10" t="s">
        <v>2599</v>
      </c>
    </row>
    <row r="435" spans="1:12" s="10" customFormat="1" ht="12" hidden="1" x14ac:dyDescent="0.3">
      <c r="A435" s="75">
        <v>6837</v>
      </c>
      <c r="B435" s="75" t="s">
        <v>260</v>
      </c>
      <c r="C435" s="75">
        <v>3653</v>
      </c>
      <c r="D435" s="75" t="s">
        <v>299</v>
      </c>
      <c r="E435" s="75" t="s">
        <v>1305</v>
      </c>
      <c r="F435" s="75" t="s">
        <v>1510</v>
      </c>
      <c r="G435" s="76">
        <v>45420</v>
      </c>
      <c r="H435" s="75" t="s">
        <v>73</v>
      </c>
      <c r="I435" s="75" t="s">
        <v>74</v>
      </c>
      <c r="J435" s="75" t="s">
        <v>1512</v>
      </c>
      <c r="K435" s="75" t="str">
        <f t="shared" si="6"/>
        <v>05-2024</v>
      </c>
      <c r="L435" s="10" t="s">
        <v>2599</v>
      </c>
    </row>
    <row r="436" spans="1:12" s="10" customFormat="1" ht="12" hidden="1" x14ac:dyDescent="0.3">
      <c r="A436" s="75">
        <v>7566</v>
      </c>
      <c r="B436" s="75" t="s">
        <v>115</v>
      </c>
      <c r="C436" s="75">
        <v>3094</v>
      </c>
      <c r="D436" s="75" t="s">
        <v>899</v>
      </c>
      <c r="E436" s="75" t="s">
        <v>1306</v>
      </c>
      <c r="F436" s="75" t="s">
        <v>1510</v>
      </c>
      <c r="G436" s="76">
        <v>45419</v>
      </c>
      <c r="H436" s="75" t="s">
        <v>40</v>
      </c>
      <c r="I436" s="75" t="s">
        <v>32</v>
      </c>
      <c r="J436" s="75" t="s">
        <v>1512</v>
      </c>
      <c r="K436" s="75" t="str">
        <f t="shared" si="6"/>
        <v>05-2024</v>
      </c>
      <c r="L436" s="10" t="s">
        <v>2599</v>
      </c>
    </row>
    <row r="437" spans="1:12" s="10" customFormat="1" ht="12" hidden="1" x14ac:dyDescent="0.3">
      <c r="A437" s="75">
        <v>2815</v>
      </c>
      <c r="B437" s="75" t="s">
        <v>123</v>
      </c>
      <c r="C437" s="75">
        <v>2799</v>
      </c>
      <c r="D437" s="75" t="s">
        <v>823</v>
      </c>
      <c r="E437" s="75" t="s">
        <v>1307</v>
      </c>
      <c r="F437" s="75" t="s">
        <v>1510</v>
      </c>
      <c r="G437" s="76">
        <v>45419</v>
      </c>
      <c r="H437" s="75" t="s">
        <v>73</v>
      </c>
      <c r="I437" s="75" t="s">
        <v>74</v>
      </c>
      <c r="J437" s="75" t="s">
        <v>1512</v>
      </c>
      <c r="K437" s="75" t="str">
        <f t="shared" si="6"/>
        <v>05-2024</v>
      </c>
      <c r="L437" s="10" t="s">
        <v>2599</v>
      </c>
    </row>
    <row r="438" spans="1:12" s="10" customFormat="1" ht="12" hidden="1" x14ac:dyDescent="0.3">
      <c r="A438" s="75">
        <v>7042</v>
      </c>
      <c r="B438" s="75" t="s">
        <v>597</v>
      </c>
      <c r="C438" s="75">
        <v>6481</v>
      </c>
      <c r="D438" s="75" t="s">
        <v>126</v>
      </c>
      <c r="E438" s="75" t="s">
        <v>1308</v>
      </c>
      <c r="F438" s="75" t="s">
        <v>1510</v>
      </c>
      <c r="G438" s="76">
        <v>45418</v>
      </c>
      <c r="H438" s="75" t="s">
        <v>9</v>
      </c>
      <c r="I438" s="75" t="s">
        <v>10</v>
      </c>
      <c r="J438" s="75" t="s">
        <v>1512</v>
      </c>
      <c r="K438" s="75" t="str">
        <f t="shared" si="6"/>
        <v>05-2024</v>
      </c>
      <c r="L438" s="10" t="s">
        <v>2599</v>
      </c>
    </row>
    <row r="439" spans="1:12" s="10" customFormat="1" ht="12" hidden="1" x14ac:dyDescent="0.3">
      <c r="A439" s="75">
        <v>7799</v>
      </c>
      <c r="B439" s="75" t="s">
        <v>778</v>
      </c>
      <c r="C439" s="75">
        <v>5428</v>
      </c>
      <c r="D439" s="75" t="s">
        <v>647</v>
      </c>
      <c r="E439" s="75" t="s">
        <v>1309</v>
      </c>
      <c r="F439" s="75" t="s">
        <v>1510</v>
      </c>
      <c r="G439" s="76">
        <v>45416</v>
      </c>
      <c r="H439" s="75" t="s">
        <v>43</v>
      </c>
      <c r="I439" s="75" t="s">
        <v>10</v>
      </c>
      <c r="J439" s="75" t="s">
        <v>1512</v>
      </c>
      <c r="K439" s="75" t="str">
        <f t="shared" si="6"/>
        <v>05-2024</v>
      </c>
      <c r="L439" s="10" t="s">
        <v>2599</v>
      </c>
    </row>
    <row r="440" spans="1:12" s="10" customFormat="1" ht="12" hidden="1" x14ac:dyDescent="0.3">
      <c r="A440" s="75">
        <v>6481</v>
      </c>
      <c r="B440" s="75" t="s">
        <v>126</v>
      </c>
      <c r="C440" s="75">
        <v>5428</v>
      </c>
      <c r="D440" s="75" t="s">
        <v>647</v>
      </c>
      <c r="E440" s="75" t="s">
        <v>1310</v>
      </c>
      <c r="F440" s="75" t="s">
        <v>1510</v>
      </c>
      <c r="G440" s="76">
        <v>45416</v>
      </c>
      <c r="H440" s="75" t="s">
        <v>21</v>
      </c>
      <c r="I440" s="75" t="s">
        <v>10</v>
      </c>
      <c r="J440" s="75" t="s">
        <v>1512</v>
      </c>
      <c r="K440" s="75" t="str">
        <f t="shared" si="6"/>
        <v>05-2024</v>
      </c>
      <c r="L440" s="10" t="s">
        <v>2599</v>
      </c>
    </row>
    <row r="441" spans="1:12" s="10" customFormat="1" ht="12" hidden="1" x14ac:dyDescent="0.3">
      <c r="A441" s="75">
        <v>3447</v>
      </c>
      <c r="B441" s="75" t="s">
        <v>179</v>
      </c>
      <c r="C441" s="75">
        <v>5428</v>
      </c>
      <c r="D441" s="75" t="s">
        <v>647</v>
      </c>
      <c r="E441" s="75" t="s">
        <v>1311</v>
      </c>
      <c r="F441" s="75" t="s">
        <v>1510</v>
      </c>
      <c r="G441" s="76">
        <v>45416</v>
      </c>
      <c r="H441" s="75" t="s">
        <v>9</v>
      </c>
      <c r="I441" s="75" t="s">
        <v>54</v>
      </c>
      <c r="J441" s="75" t="s">
        <v>1512</v>
      </c>
      <c r="K441" s="75" t="str">
        <f t="shared" si="6"/>
        <v>05-2024</v>
      </c>
      <c r="L441" s="10" t="s">
        <v>2599</v>
      </c>
    </row>
    <row r="442" spans="1:12" s="10" customFormat="1" ht="12" hidden="1" x14ac:dyDescent="0.3">
      <c r="A442" s="75">
        <v>7222</v>
      </c>
      <c r="B442" s="75" t="s">
        <v>836</v>
      </c>
      <c r="C442" s="75">
        <v>5428</v>
      </c>
      <c r="D442" s="75" t="s">
        <v>647</v>
      </c>
      <c r="E442" s="75" t="s">
        <v>1312</v>
      </c>
      <c r="F442" s="75" t="s">
        <v>1510</v>
      </c>
      <c r="G442" s="76">
        <v>45416</v>
      </c>
      <c r="H442" s="75" t="s">
        <v>73</v>
      </c>
      <c r="I442" s="75" t="s">
        <v>10</v>
      </c>
      <c r="J442" s="75" t="s">
        <v>1512</v>
      </c>
      <c r="K442" s="75" t="str">
        <f t="shared" si="6"/>
        <v>05-2024</v>
      </c>
      <c r="L442" s="10" t="s">
        <v>2599</v>
      </c>
    </row>
    <row r="443" spans="1:12" s="10" customFormat="1" ht="12" hidden="1" x14ac:dyDescent="0.3">
      <c r="A443" s="75">
        <v>7222</v>
      </c>
      <c r="B443" s="75" t="s">
        <v>836</v>
      </c>
      <c r="C443" s="75">
        <v>5428</v>
      </c>
      <c r="D443" s="75" t="s">
        <v>647</v>
      </c>
      <c r="E443" s="75" t="s">
        <v>1313</v>
      </c>
      <c r="F443" s="75" t="s">
        <v>1510</v>
      </c>
      <c r="G443" s="76">
        <v>45416</v>
      </c>
      <c r="H443" s="75" t="s">
        <v>73</v>
      </c>
      <c r="I443" s="75" t="s">
        <v>10</v>
      </c>
      <c r="J443" s="75" t="s">
        <v>1512</v>
      </c>
      <c r="K443" s="75" t="str">
        <f t="shared" si="6"/>
        <v>05-2024</v>
      </c>
      <c r="L443" s="10" t="s">
        <v>2599</v>
      </c>
    </row>
    <row r="444" spans="1:12" s="10" customFormat="1" ht="12" hidden="1" x14ac:dyDescent="0.3">
      <c r="A444" s="75">
        <v>7642</v>
      </c>
      <c r="B444" s="75" t="s">
        <v>130</v>
      </c>
      <c r="C444" s="75">
        <v>7470</v>
      </c>
      <c r="D444" s="75" t="s">
        <v>276</v>
      </c>
      <c r="E444" s="75" t="s">
        <v>1314</v>
      </c>
      <c r="F444" s="75" t="s">
        <v>1510</v>
      </c>
      <c r="G444" s="76">
        <v>45415</v>
      </c>
      <c r="H444" s="75" t="s">
        <v>35</v>
      </c>
      <c r="I444" s="75" t="s">
        <v>32</v>
      </c>
      <c r="J444" s="75" t="s">
        <v>1512</v>
      </c>
      <c r="K444" s="75" t="str">
        <f t="shared" si="6"/>
        <v>05-2024</v>
      </c>
      <c r="L444" s="10" t="s">
        <v>2599</v>
      </c>
    </row>
    <row r="445" spans="1:12" s="10" customFormat="1" ht="12" hidden="1" x14ac:dyDescent="0.3">
      <c r="A445" s="75">
        <v>7320</v>
      </c>
      <c r="B445" s="75" t="s">
        <v>306</v>
      </c>
      <c r="C445" s="75">
        <v>7254</v>
      </c>
      <c r="D445" s="75" t="s">
        <v>287</v>
      </c>
      <c r="E445" s="75" t="s">
        <v>1315</v>
      </c>
      <c r="F445" s="75" t="s">
        <v>1510</v>
      </c>
      <c r="G445" s="76">
        <v>45414</v>
      </c>
      <c r="H445" s="75" t="s">
        <v>35</v>
      </c>
      <c r="I445" s="75" t="s">
        <v>32</v>
      </c>
      <c r="J445" s="75" t="s">
        <v>1512</v>
      </c>
      <c r="K445" s="75" t="str">
        <f t="shared" si="6"/>
        <v>05-2024</v>
      </c>
      <c r="L445" s="10" t="s">
        <v>2599</v>
      </c>
    </row>
    <row r="446" spans="1:12" s="10" customFormat="1" ht="12" hidden="1" x14ac:dyDescent="0.3">
      <c r="A446" s="75">
        <v>7470</v>
      </c>
      <c r="B446" s="75" t="s">
        <v>276</v>
      </c>
      <c r="C446" s="75">
        <v>7254</v>
      </c>
      <c r="D446" s="75" t="s">
        <v>287</v>
      </c>
      <c r="E446" s="75" t="s">
        <v>1316</v>
      </c>
      <c r="F446" s="75" t="s">
        <v>1510</v>
      </c>
      <c r="G446" s="76">
        <v>45414</v>
      </c>
      <c r="H446" s="75" t="s">
        <v>35</v>
      </c>
      <c r="I446" s="75" t="s">
        <v>32</v>
      </c>
      <c r="J446" s="75" t="s">
        <v>1512</v>
      </c>
      <c r="K446" s="75" t="str">
        <f t="shared" si="6"/>
        <v>05-2024</v>
      </c>
      <c r="L446" s="10" t="s">
        <v>2599</v>
      </c>
    </row>
    <row r="447" spans="1:12" s="10" customFormat="1" ht="12" hidden="1" x14ac:dyDescent="0.3">
      <c r="A447" s="75">
        <v>7110</v>
      </c>
      <c r="B447" s="75" t="s">
        <v>837</v>
      </c>
      <c r="C447" s="75">
        <v>3812</v>
      </c>
      <c r="D447" s="75" t="s">
        <v>467</v>
      </c>
      <c r="E447" s="75" t="s">
        <v>1317</v>
      </c>
      <c r="F447" s="75" t="s">
        <v>1509</v>
      </c>
      <c r="G447" s="76">
        <v>45412</v>
      </c>
      <c r="H447" s="75" t="s">
        <v>73</v>
      </c>
      <c r="I447" s="75" t="s">
        <v>74</v>
      </c>
      <c r="J447" s="75" t="s">
        <v>1511</v>
      </c>
      <c r="K447" s="75" t="str">
        <f t="shared" si="6"/>
        <v>04-2024</v>
      </c>
      <c r="L447" s="10" t="s">
        <v>2599</v>
      </c>
    </row>
    <row r="448" spans="1:12" s="10" customFormat="1" ht="12" hidden="1" x14ac:dyDescent="0.3">
      <c r="A448" s="75">
        <v>2799</v>
      </c>
      <c r="B448" s="75" t="s">
        <v>823</v>
      </c>
      <c r="C448" s="75">
        <v>2815</v>
      </c>
      <c r="D448" s="75" t="s">
        <v>123</v>
      </c>
      <c r="E448" s="75" t="s">
        <v>1318</v>
      </c>
      <c r="F448" s="75" t="s">
        <v>1510</v>
      </c>
      <c r="G448" s="76">
        <v>45412</v>
      </c>
      <c r="H448" s="75" t="s">
        <v>73</v>
      </c>
      <c r="I448" s="75" t="s">
        <v>32</v>
      </c>
      <c r="J448" s="75" t="s">
        <v>1512</v>
      </c>
      <c r="K448" s="75" t="str">
        <f t="shared" si="6"/>
        <v>04-2024</v>
      </c>
      <c r="L448" s="10" t="s">
        <v>2599</v>
      </c>
    </row>
    <row r="449" spans="1:12" s="10" customFormat="1" ht="12" hidden="1" x14ac:dyDescent="0.3">
      <c r="A449" s="75">
        <v>2799</v>
      </c>
      <c r="B449" s="75" t="s">
        <v>823</v>
      </c>
      <c r="C449" s="75">
        <v>2815</v>
      </c>
      <c r="D449" s="75" t="s">
        <v>123</v>
      </c>
      <c r="E449" s="75" t="s">
        <v>1319</v>
      </c>
      <c r="F449" s="75" t="s">
        <v>1509</v>
      </c>
      <c r="G449" s="76">
        <v>45412</v>
      </c>
      <c r="H449" s="75" t="s">
        <v>73</v>
      </c>
      <c r="I449" s="75" t="s">
        <v>32</v>
      </c>
      <c r="J449" s="75" t="s">
        <v>1511</v>
      </c>
      <c r="K449" s="75" t="str">
        <f t="shared" si="6"/>
        <v>04-2024</v>
      </c>
      <c r="L449" s="10" t="s">
        <v>2599</v>
      </c>
    </row>
    <row r="450" spans="1:12" s="10" customFormat="1" ht="12" hidden="1" x14ac:dyDescent="0.3">
      <c r="A450" s="75">
        <v>6694</v>
      </c>
      <c r="B450" s="75" t="s">
        <v>120</v>
      </c>
      <c r="C450" s="75">
        <v>5058</v>
      </c>
      <c r="D450" s="75" t="s">
        <v>697</v>
      </c>
      <c r="E450" s="75" t="s">
        <v>1320</v>
      </c>
      <c r="F450" s="75" t="s">
        <v>1510</v>
      </c>
      <c r="G450" s="76">
        <v>45404</v>
      </c>
      <c r="H450" s="75" t="s">
        <v>40</v>
      </c>
      <c r="I450" s="75" t="s">
        <v>74</v>
      </c>
      <c r="J450" s="75" t="s">
        <v>1512</v>
      </c>
      <c r="K450" s="75" t="str">
        <f t="shared" si="6"/>
        <v>04-2024</v>
      </c>
      <c r="L450" s="10" t="s">
        <v>2599</v>
      </c>
    </row>
    <row r="451" spans="1:12" s="10" customFormat="1" ht="12" hidden="1" x14ac:dyDescent="0.3">
      <c r="A451" s="75">
        <v>2898</v>
      </c>
      <c r="B451" s="75" t="s">
        <v>838</v>
      </c>
      <c r="C451" s="75">
        <v>4150</v>
      </c>
      <c r="D451" s="75" t="s">
        <v>485</v>
      </c>
      <c r="E451" s="75" t="s">
        <v>1321</v>
      </c>
      <c r="F451" s="75" t="s">
        <v>1510</v>
      </c>
      <c r="G451" s="76">
        <v>45400</v>
      </c>
      <c r="H451" s="75" t="s">
        <v>40</v>
      </c>
      <c r="I451" s="75" t="s">
        <v>32</v>
      </c>
      <c r="J451" s="75" t="s">
        <v>1512</v>
      </c>
      <c r="K451" s="75" t="str">
        <f t="shared" ref="K451:K514" si="7">TEXT(G451,"mm-yyyy")</f>
        <v>04-2024</v>
      </c>
      <c r="L451" s="10" t="s">
        <v>2599</v>
      </c>
    </row>
    <row r="452" spans="1:12" s="10" customFormat="1" ht="12" hidden="1" x14ac:dyDescent="0.3">
      <c r="A452" s="75">
        <v>669</v>
      </c>
      <c r="B452" s="75" t="s">
        <v>114</v>
      </c>
      <c r="C452" s="75">
        <v>3009</v>
      </c>
      <c r="D452" s="75" t="s">
        <v>488</v>
      </c>
      <c r="E452" s="75" t="s">
        <v>1322</v>
      </c>
      <c r="F452" s="75" t="s">
        <v>1510</v>
      </c>
      <c r="G452" s="76">
        <v>45400</v>
      </c>
      <c r="H452" s="75" t="s">
        <v>40</v>
      </c>
      <c r="I452" s="75" t="s">
        <v>74</v>
      </c>
      <c r="J452" s="75" t="s">
        <v>1512</v>
      </c>
      <c r="K452" s="75" t="str">
        <f t="shared" si="7"/>
        <v>04-2024</v>
      </c>
      <c r="L452" s="10" t="s">
        <v>2599</v>
      </c>
    </row>
    <row r="453" spans="1:12" s="10" customFormat="1" ht="12" hidden="1" x14ac:dyDescent="0.3">
      <c r="A453" s="75">
        <v>7230</v>
      </c>
      <c r="B453" s="75" t="s">
        <v>14</v>
      </c>
      <c r="C453" s="75">
        <v>4708</v>
      </c>
      <c r="D453" s="75" t="s">
        <v>493</v>
      </c>
      <c r="E453" s="75" t="s">
        <v>1323</v>
      </c>
      <c r="F453" s="75" t="s">
        <v>1509</v>
      </c>
      <c r="G453" s="76">
        <v>45398</v>
      </c>
      <c r="H453" s="75" t="s">
        <v>16</v>
      </c>
      <c r="I453" s="75" t="s">
        <v>10</v>
      </c>
      <c r="J453" s="75" t="s">
        <v>1511</v>
      </c>
      <c r="K453" s="75" t="str">
        <f t="shared" si="7"/>
        <v>04-2024</v>
      </c>
      <c r="L453" s="10" t="s">
        <v>2599</v>
      </c>
    </row>
    <row r="454" spans="1:12" s="10" customFormat="1" ht="12" hidden="1" x14ac:dyDescent="0.3">
      <c r="A454" s="75">
        <v>3209</v>
      </c>
      <c r="B454" s="75" t="s">
        <v>775</v>
      </c>
      <c r="C454" s="75">
        <v>4483</v>
      </c>
      <c r="D454" s="75" t="s">
        <v>900</v>
      </c>
      <c r="E454" s="75" t="s">
        <v>1324</v>
      </c>
      <c r="F454" s="75" t="s">
        <v>1510</v>
      </c>
      <c r="G454" s="76">
        <v>45397</v>
      </c>
      <c r="H454" s="75" t="s">
        <v>73</v>
      </c>
      <c r="I454" s="75" t="s">
        <v>32</v>
      </c>
      <c r="J454" s="75" t="s">
        <v>1512</v>
      </c>
      <c r="K454" s="75" t="str">
        <f t="shared" si="7"/>
        <v>04-2024</v>
      </c>
      <c r="L454" s="10" t="s">
        <v>2599</v>
      </c>
    </row>
    <row r="455" spans="1:12" s="10" customFormat="1" ht="12" hidden="1" x14ac:dyDescent="0.3">
      <c r="A455" s="75">
        <v>3703</v>
      </c>
      <c r="B455" s="75" t="s">
        <v>834</v>
      </c>
      <c r="C455" s="75">
        <v>7032</v>
      </c>
      <c r="D455" s="75" t="s">
        <v>901</v>
      </c>
      <c r="E455" s="75" t="s">
        <v>1325</v>
      </c>
      <c r="F455" s="75" t="s">
        <v>1510</v>
      </c>
      <c r="G455" s="76">
        <v>45397</v>
      </c>
      <c r="H455" s="75" t="s">
        <v>40</v>
      </c>
      <c r="I455" s="75" t="s">
        <v>32</v>
      </c>
      <c r="J455" s="75" t="s">
        <v>1512</v>
      </c>
      <c r="K455" s="75" t="str">
        <f t="shared" si="7"/>
        <v>04-2024</v>
      </c>
      <c r="L455" s="10" t="s">
        <v>2599</v>
      </c>
    </row>
    <row r="456" spans="1:12" s="10" customFormat="1" ht="12" hidden="1" x14ac:dyDescent="0.3">
      <c r="A456" s="75">
        <v>4564</v>
      </c>
      <c r="B456" s="75" t="s">
        <v>833</v>
      </c>
      <c r="C456" s="75">
        <v>7032</v>
      </c>
      <c r="D456" s="75" t="s">
        <v>901</v>
      </c>
      <c r="E456" s="75" t="s">
        <v>1326</v>
      </c>
      <c r="F456" s="75" t="s">
        <v>1510</v>
      </c>
      <c r="G456" s="76">
        <v>45397</v>
      </c>
      <c r="H456" s="75" t="s">
        <v>40</v>
      </c>
      <c r="I456" s="75" t="s">
        <v>32</v>
      </c>
      <c r="J456" s="75" t="s">
        <v>1512</v>
      </c>
      <c r="K456" s="75" t="str">
        <f t="shared" si="7"/>
        <v>04-2024</v>
      </c>
      <c r="L456" s="10" t="s">
        <v>2599</v>
      </c>
    </row>
    <row r="457" spans="1:12" s="10" customFormat="1" ht="12" hidden="1" x14ac:dyDescent="0.3">
      <c r="A457" s="75">
        <v>7638</v>
      </c>
      <c r="B457" s="75" t="s">
        <v>125</v>
      </c>
      <c r="C457" s="75">
        <v>3009</v>
      </c>
      <c r="D457" s="75" t="s">
        <v>488</v>
      </c>
      <c r="E457" s="75" t="s">
        <v>1327</v>
      </c>
      <c r="F457" s="75" t="s">
        <v>1510</v>
      </c>
      <c r="G457" s="76">
        <v>45397</v>
      </c>
      <c r="H457" s="75" t="s">
        <v>40</v>
      </c>
      <c r="I457" s="75" t="s">
        <v>74</v>
      </c>
      <c r="J457" s="75" t="s">
        <v>1512</v>
      </c>
      <c r="K457" s="75" t="str">
        <f t="shared" si="7"/>
        <v>04-2024</v>
      </c>
      <c r="L457" s="10" t="s">
        <v>2599</v>
      </c>
    </row>
    <row r="458" spans="1:12" s="10" customFormat="1" ht="12" hidden="1" x14ac:dyDescent="0.3">
      <c r="A458" s="75">
        <v>7583</v>
      </c>
      <c r="B458" s="75" t="s">
        <v>835</v>
      </c>
      <c r="C458" s="75">
        <v>3009</v>
      </c>
      <c r="D458" s="75" t="s">
        <v>488</v>
      </c>
      <c r="E458" s="75" t="s">
        <v>1328</v>
      </c>
      <c r="F458" s="75" t="s">
        <v>1510</v>
      </c>
      <c r="G458" s="76">
        <v>45397</v>
      </c>
      <c r="H458" s="75" t="s">
        <v>40</v>
      </c>
      <c r="I458" s="75" t="s">
        <v>74</v>
      </c>
      <c r="J458" s="75" t="s">
        <v>1512</v>
      </c>
      <c r="K458" s="75" t="str">
        <f t="shared" si="7"/>
        <v>04-2024</v>
      </c>
      <c r="L458" s="10" t="s">
        <v>2599</v>
      </c>
    </row>
    <row r="459" spans="1:12" s="10" customFormat="1" ht="12" hidden="1" x14ac:dyDescent="0.3">
      <c r="A459" s="75">
        <v>5426</v>
      </c>
      <c r="B459" s="75" t="s">
        <v>832</v>
      </c>
      <c r="C459" s="75">
        <v>3009</v>
      </c>
      <c r="D459" s="75" t="s">
        <v>488</v>
      </c>
      <c r="E459" s="75" t="s">
        <v>1329</v>
      </c>
      <c r="F459" s="75" t="s">
        <v>1510</v>
      </c>
      <c r="G459" s="76">
        <v>45397</v>
      </c>
      <c r="H459" s="75" t="s">
        <v>40</v>
      </c>
      <c r="I459" s="75" t="s">
        <v>74</v>
      </c>
      <c r="J459" s="75" t="s">
        <v>1512</v>
      </c>
      <c r="K459" s="75" t="str">
        <f t="shared" si="7"/>
        <v>04-2024</v>
      </c>
      <c r="L459" s="10" t="s">
        <v>2599</v>
      </c>
    </row>
    <row r="460" spans="1:12" s="10" customFormat="1" ht="12" hidden="1" x14ac:dyDescent="0.3">
      <c r="A460" s="75">
        <v>6835</v>
      </c>
      <c r="B460" s="75" t="s">
        <v>839</v>
      </c>
      <c r="C460" s="75">
        <v>7662</v>
      </c>
      <c r="D460" s="75" t="s">
        <v>902</v>
      </c>
      <c r="E460" s="75" t="s">
        <v>1330</v>
      </c>
      <c r="F460" s="75" t="s">
        <v>1510</v>
      </c>
      <c r="G460" s="76">
        <v>45395</v>
      </c>
      <c r="H460" s="75" t="s">
        <v>40</v>
      </c>
      <c r="I460" s="75" t="s">
        <v>54</v>
      </c>
      <c r="J460" s="75" t="s">
        <v>1512</v>
      </c>
      <c r="K460" s="75" t="str">
        <f t="shared" si="7"/>
        <v>04-2024</v>
      </c>
      <c r="L460" s="10" t="s">
        <v>2599</v>
      </c>
    </row>
    <row r="461" spans="1:12" s="10" customFormat="1" ht="12" hidden="1" x14ac:dyDescent="0.3">
      <c r="A461" s="75">
        <v>1945</v>
      </c>
      <c r="B461" s="75" t="s">
        <v>110</v>
      </c>
      <c r="C461" s="75">
        <v>5252</v>
      </c>
      <c r="D461" s="75" t="s">
        <v>476</v>
      </c>
      <c r="E461" s="75" t="s">
        <v>1331</v>
      </c>
      <c r="F461" s="75" t="s">
        <v>1510</v>
      </c>
      <c r="G461" s="76">
        <v>45394</v>
      </c>
      <c r="H461" s="75" t="s">
        <v>16</v>
      </c>
      <c r="I461" s="75" t="s">
        <v>54</v>
      </c>
      <c r="J461" s="75" t="s">
        <v>1512</v>
      </c>
      <c r="K461" s="75" t="str">
        <f t="shared" si="7"/>
        <v>04-2024</v>
      </c>
      <c r="L461" s="10" t="s">
        <v>2599</v>
      </c>
    </row>
    <row r="462" spans="1:12" s="10" customFormat="1" ht="12" hidden="1" x14ac:dyDescent="0.3">
      <c r="A462" s="75">
        <v>7433</v>
      </c>
      <c r="B462" s="75" t="s">
        <v>840</v>
      </c>
      <c r="C462" s="75">
        <v>6647</v>
      </c>
      <c r="D462" s="75" t="s">
        <v>903</v>
      </c>
      <c r="E462" s="75" t="s">
        <v>1332</v>
      </c>
      <c r="F462" s="75" t="s">
        <v>1510</v>
      </c>
      <c r="G462" s="76">
        <v>45394</v>
      </c>
      <c r="H462" s="75" t="s">
        <v>40</v>
      </c>
      <c r="I462" s="75" t="s">
        <v>251</v>
      </c>
      <c r="J462" s="75" t="s">
        <v>1512</v>
      </c>
      <c r="K462" s="75" t="str">
        <f t="shared" si="7"/>
        <v>04-2024</v>
      </c>
      <c r="L462" s="10" t="s">
        <v>2599</v>
      </c>
    </row>
    <row r="463" spans="1:12" s="10" customFormat="1" ht="12" hidden="1" x14ac:dyDescent="0.3">
      <c r="A463" s="75">
        <v>4036</v>
      </c>
      <c r="B463" s="75" t="s">
        <v>300</v>
      </c>
      <c r="C463" s="75">
        <v>2937</v>
      </c>
      <c r="D463" s="75" t="s">
        <v>904</v>
      </c>
      <c r="E463" s="75" t="s">
        <v>1333</v>
      </c>
      <c r="F463" s="75" t="s">
        <v>1510</v>
      </c>
      <c r="G463" s="76">
        <v>45391</v>
      </c>
      <c r="H463" s="75" t="s">
        <v>35</v>
      </c>
      <c r="I463" s="75" t="s">
        <v>32</v>
      </c>
      <c r="J463" s="75" t="s">
        <v>1512</v>
      </c>
      <c r="K463" s="75" t="str">
        <f t="shared" si="7"/>
        <v>04-2024</v>
      </c>
      <c r="L463" s="10" t="s">
        <v>2599</v>
      </c>
    </row>
    <row r="464" spans="1:12" s="10" customFormat="1" ht="12" hidden="1" x14ac:dyDescent="0.3">
      <c r="A464" s="75">
        <v>7479</v>
      </c>
      <c r="B464" s="75" t="s">
        <v>814</v>
      </c>
      <c r="C464" s="75" t="s">
        <v>1508</v>
      </c>
      <c r="D464" s="75" t="s">
        <v>866</v>
      </c>
      <c r="E464" s="75" t="s">
        <v>1334</v>
      </c>
      <c r="F464" s="75" t="s">
        <v>1509</v>
      </c>
      <c r="G464" s="76">
        <v>45391</v>
      </c>
      <c r="H464" s="75" t="s">
        <v>16</v>
      </c>
      <c r="I464" s="75" t="s">
        <v>54</v>
      </c>
      <c r="J464" s="75" t="s">
        <v>1511</v>
      </c>
      <c r="K464" s="75" t="str">
        <f t="shared" si="7"/>
        <v>04-2024</v>
      </c>
      <c r="L464" s="10" t="s">
        <v>2599</v>
      </c>
    </row>
    <row r="465" spans="1:12" s="10" customFormat="1" ht="12" hidden="1" x14ac:dyDescent="0.3">
      <c r="A465" s="75">
        <v>4004</v>
      </c>
      <c r="B465" s="75" t="s">
        <v>172</v>
      </c>
      <c r="C465" s="75" t="s">
        <v>1508</v>
      </c>
      <c r="D465" s="75" t="s">
        <v>866</v>
      </c>
      <c r="E465" s="75" t="s">
        <v>183</v>
      </c>
      <c r="F465" s="75" t="s">
        <v>1509</v>
      </c>
      <c r="G465" s="76">
        <v>45391</v>
      </c>
      <c r="H465" s="75" t="s">
        <v>9</v>
      </c>
      <c r="I465" s="75" t="s">
        <v>54</v>
      </c>
      <c r="J465" s="75" t="s">
        <v>1511</v>
      </c>
      <c r="K465" s="75" t="str">
        <f t="shared" si="7"/>
        <v>04-2024</v>
      </c>
      <c r="L465" s="10" t="s">
        <v>2599</v>
      </c>
    </row>
    <row r="466" spans="1:12" s="10" customFormat="1" ht="12" hidden="1" x14ac:dyDescent="0.3">
      <c r="A466" s="75">
        <v>5714</v>
      </c>
      <c r="B466" s="75" t="s">
        <v>116</v>
      </c>
      <c r="C466" s="75" t="s">
        <v>1508</v>
      </c>
      <c r="D466" s="75" t="s">
        <v>866</v>
      </c>
      <c r="E466" s="75" t="s">
        <v>139</v>
      </c>
      <c r="F466" s="75" t="s">
        <v>1509</v>
      </c>
      <c r="G466" s="76">
        <v>45391</v>
      </c>
      <c r="H466" s="75" t="s">
        <v>9</v>
      </c>
      <c r="I466" s="75" t="s">
        <v>54</v>
      </c>
      <c r="J466" s="75" t="s">
        <v>1511</v>
      </c>
      <c r="K466" s="75" t="str">
        <f t="shared" si="7"/>
        <v>04-2024</v>
      </c>
      <c r="L466" s="10" t="s">
        <v>2599</v>
      </c>
    </row>
    <row r="467" spans="1:12" s="10" customFormat="1" ht="12" hidden="1" x14ac:dyDescent="0.3">
      <c r="A467" s="75">
        <v>4935</v>
      </c>
      <c r="B467" s="75" t="s">
        <v>753</v>
      </c>
      <c r="C467" s="75" t="s">
        <v>1508</v>
      </c>
      <c r="D467" s="75" t="s">
        <v>866</v>
      </c>
      <c r="E467" s="75" t="s">
        <v>1335</v>
      </c>
      <c r="F467" s="75" t="s">
        <v>1509</v>
      </c>
      <c r="G467" s="76">
        <v>45391</v>
      </c>
      <c r="H467" s="75" t="s">
        <v>35</v>
      </c>
      <c r="I467" s="75" t="s">
        <v>54</v>
      </c>
      <c r="J467" s="75" t="s">
        <v>1511</v>
      </c>
      <c r="K467" s="75" t="str">
        <f t="shared" si="7"/>
        <v>04-2024</v>
      </c>
      <c r="L467" s="10" t="s">
        <v>2599</v>
      </c>
    </row>
    <row r="468" spans="1:12" s="10" customFormat="1" ht="12" hidden="1" x14ac:dyDescent="0.3">
      <c r="A468" s="75">
        <v>3921</v>
      </c>
      <c r="B468" s="75" t="s">
        <v>841</v>
      </c>
      <c r="C468" s="75" t="s">
        <v>1508</v>
      </c>
      <c r="D468" s="75" t="s">
        <v>866</v>
      </c>
      <c r="E468" s="75" t="s">
        <v>1336</v>
      </c>
      <c r="F468" s="75" t="s">
        <v>1509</v>
      </c>
      <c r="G468" s="76">
        <v>45391</v>
      </c>
      <c r="H468" s="75" t="s">
        <v>73</v>
      </c>
      <c r="I468" s="75" t="s">
        <v>54</v>
      </c>
      <c r="J468" s="75" t="s">
        <v>1511</v>
      </c>
      <c r="K468" s="75" t="str">
        <f t="shared" si="7"/>
        <v>04-2024</v>
      </c>
      <c r="L468" s="10" t="s">
        <v>2599</v>
      </c>
    </row>
    <row r="469" spans="1:12" s="10" customFormat="1" ht="12" hidden="1" x14ac:dyDescent="0.3">
      <c r="A469" s="75">
        <v>7637</v>
      </c>
      <c r="B469" s="75" t="s">
        <v>129</v>
      </c>
      <c r="C469" s="75" t="s">
        <v>1508</v>
      </c>
      <c r="D469" s="75" t="s">
        <v>866</v>
      </c>
      <c r="E469" s="75" t="s">
        <v>152</v>
      </c>
      <c r="F469" s="75" t="s">
        <v>1509</v>
      </c>
      <c r="G469" s="76">
        <v>45391</v>
      </c>
      <c r="H469" s="75" t="s">
        <v>73</v>
      </c>
      <c r="I469" s="75" t="s">
        <v>74</v>
      </c>
      <c r="J469" s="75" t="s">
        <v>1511</v>
      </c>
      <c r="K469" s="75" t="str">
        <f t="shared" si="7"/>
        <v>04-2024</v>
      </c>
      <c r="L469" s="10" t="s">
        <v>2599</v>
      </c>
    </row>
    <row r="470" spans="1:12" s="10" customFormat="1" ht="12" hidden="1" x14ac:dyDescent="0.3">
      <c r="A470" s="75">
        <v>7462</v>
      </c>
      <c r="B470" s="75" t="s">
        <v>628</v>
      </c>
      <c r="C470" s="75" t="s">
        <v>1508</v>
      </c>
      <c r="D470" s="75" t="s">
        <v>866</v>
      </c>
      <c r="E470" s="75" t="s">
        <v>1337</v>
      </c>
      <c r="F470" s="75" t="s">
        <v>1509</v>
      </c>
      <c r="G470" s="76">
        <v>45391</v>
      </c>
      <c r="H470" s="75" t="s">
        <v>53</v>
      </c>
      <c r="I470" s="75" t="s">
        <v>74</v>
      </c>
      <c r="J470" s="75" t="s">
        <v>1511</v>
      </c>
      <c r="K470" s="75" t="str">
        <f t="shared" si="7"/>
        <v>04-2024</v>
      </c>
      <c r="L470" s="10" t="s">
        <v>2599</v>
      </c>
    </row>
    <row r="471" spans="1:12" s="10" customFormat="1" ht="12" hidden="1" x14ac:dyDescent="0.3">
      <c r="A471" s="75">
        <v>6593</v>
      </c>
      <c r="B471" s="75" t="s">
        <v>128</v>
      </c>
      <c r="C471" s="75" t="s">
        <v>1508</v>
      </c>
      <c r="D471" s="75" t="s">
        <v>866</v>
      </c>
      <c r="E471" s="75" t="s">
        <v>151</v>
      </c>
      <c r="F471" s="75" t="s">
        <v>1509</v>
      </c>
      <c r="G471" s="76">
        <v>45391</v>
      </c>
      <c r="H471" s="75" t="s">
        <v>24</v>
      </c>
      <c r="I471" s="75" t="s">
        <v>54</v>
      </c>
      <c r="J471" s="75" t="s">
        <v>1511</v>
      </c>
      <c r="K471" s="75" t="str">
        <f t="shared" si="7"/>
        <v>04-2024</v>
      </c>
      <c r="L471" s="10" t="s">
        <v>2599</v>
      </c>
    </row>
    <row r="472" spans="1:12" s="10" customFormat="1" ht="12" hidden="1" x14ac:dyDescent="0.3">
      <c r="A472" s="75">
        <v>1583</v>
      </c>
      <c r="B472" s="75" t="s">
        <v>788</v>
      </c>
      <c r="C472" s="75" t="s">
        <v>1508</v>
      </c>
      <c r="D472" s="75" t="s">
        <v>866</v>
      </c>
      <c r="E472" s="75" t="s">
        <v>1338</v>
      </c>
      <c r="F472" s="75" t="s">
        <v>1509</v>
      </c>
      <c r="G472" s="76">
        <v>45391</v>
      </c>
      <c r="H472" s="75" t="s">
        <v>53</v>
      </c>
      <c r="I472" s="75" t="s">
        <v>54</v>
      </c>
      <c r="J472" s="75" t="s">
        <v>1511</v>
      </c>
      <c r="K472" s="75" t="str">
        <f t="shared" si="7"/>
        <v>04-2024</v>
      </c>
      <c r="L472" s="10" t="s">
        <v>2599</v>
      </c>
    </row>
    <row r="473" spans="1:12" s="10" customFormat="1" ht="12" hidden="1" x14ac:dyDescent="0.3">
      <c r="A473" s="75">
        <v>3777</v>
      </c>
      <c r="B473" s="75" t="s">
        <v>842</v>
      </c>
      <c r="C473" s="75" t="s">
        <v>1508</v>
      </c>
      <c r="D473" s="75" t="s">
        <v>866</v>
      </c>
      <c r="E473" s="75" t="s">
        <v>1339</v>
      </c>
      <c r="F473" s="75" t="s">
        <v>1509</v>
      </c>
      <c r="G473" s="76">
        <v>45391</v>
      </c>
      <c r="H473" s="75" t="s">
        <v>73</v>
      </c>
      <c r="I473" s="75" t="s">
        <v>74</v>
      </c>
      <c r="J473" s="75" t="s">
        <v>1511</v>
      </c>
      <c r="K473" s="75" t="str">
        <f t="shared" si="7"/>
        <v>04-2024</v>
      </c>
      <c r="L473" s="10" t="s">
        <v>2599</v>
      </c>
    </row>
    <row r="474" spans="1:12" s="10" customFormat="1" ht="12" hidden="1" x14ac:dyDescent="0.3">
      <c r="A474" s="75">
        <v>6519</v>
      </c>
      <c r="B474" s="75" t="s">
        <v>748</v>
      </c>
      <c r="C474" s="75" t="s">
        <v>1508</v>
      </c>
      <c r="D474" s="75" t="s">
        <v>866</v>
      </c>
      <c r="E474" s="75" t="s">
        <v>1340</v>
      </c>
      <c r="F474" s="75" t="s">
        <v>1509</v>
      </c>
      <c r="G474" s="76">
        <v>45391</v>
      </c>
      <c r="H474" s="75" t="s">
        <v>395</v>
      </c>
      <c r="I474" s="75" t="s">
        <v>10</v>
      </c>
      <c r="J474" s="75" t="s">
        <v>1511</v>
      </c>
      <c r="K474" s="75" t="str">
        <f t="shared" si="7"/>
        <v>04-2024</v>
      </c>
      <c r="L474" s="10" t="s">
        <v>2599</v>
      </c>
    </row>
    <row r="475" spans="1:12" s="10" customFormat="1" ht="12" hidden="1" x14ac:dyDescent="0.3">
      <c r="A475" s="75">
        <v>6801</v>
      </c>
      <c r="B475" s="75" t="s">
        <v>113</v>
      </c>
      <c r="C475" s="75" t="s">
        <v>1508</v>
      </c>
      <c r="D475" s="75" t="s">
        <v>866</v>
      </c>
      <c r="E475" s="75" t="s">
        <v>136</v>
      </c>
      <c r="F475" s="75" t="s">
        <v>1509</v>
      </c>
      <c r="G475" s="76">
        <v>45391</v>
      </c>
      <c r="H475" s="75" t="s">
        <v>24</v>
      </c>
      <c r="I475" s="75" t="s">
        <v>10</v>
      </c>
      <c r="J475" s="75" t="s">
        <v>1511</v>
      </c>
      <c r="K475" s="75" t="str">
        <f t="shared" si="7"/>
        <v>04-2024</v>
      </c>
      <c r="L475" s="10" t="s">
        <v>2599</v>
      </c>
    </row>
    <row r="476" spans="1:12" s="10" customFormat="1" ht="12" hidden="1" x14ac:dyDescent="0.3">
      <c r="A476" s="75">
        <v>2734</v>
      </c>
      <c r="B476" s="75" t="s">
        <v>112</v>
      </c>
      <c r="C476" s="75" t="s">
        <v>1508</v>
      </c>
      <c r="D476" s="75" t="s">
        <v>866</v>
      </c>
      <c r="E476" s="75" t="s">
        <v>135</v>
      </c>
      <c r="F476" s="75" t="s">
        <v>1509</v>
      </c>
      <c r="G476" s="76">
        <v>45391</v>
      </c>
      <c r="H476" s="75" t="s">
        <v>16</v>
      </c>
      <c r="I476" s="75" t="s">
        <v>54</v>
      </c>
      <c r="J476" s="75" t="s">
        <v>1511</v>
      </c>
      <c r="K476" s="75" t="str">
        <f t="shared" si="7"/>
        <v>04-2024</v>
      </c>
      <c r="L476" s="10" t="s">
        <v>2599</v>
      </c>
    </row>
    <row r="477" spans="1:12" s="10" customFormat="1" ht="12" hidden="1" x14ac:dyDescent="0.3">
      <c r="A477" s="75">
        <v>2826</v>
      </c>
      <c r="B477" s="75" t="s">
        <v>169</v>
      </c>
      <c r="C477" s="75" t="s">
        <v>1508</v>
      </c>
      <c r="D477" s="75" t="s">
        <v>866</v>
      </c>
      <c r="E477" s="75" t="s">
        <v>180</v>
      </c>
      <c r="F477" s="75" t="s">
        <v>1509</v>
      </c>
      <c r="G477" s="76">
        <v>45391</v>
      </c>
      <c r="H477" s="75" t="s">
        <v>9</v>
      </c>
      <c r="I477" s="75" t="s">
        <v>54</v>
      </c>
      <c r="J477" s="75" t="s">
        <v>1511</v>
      </c>
      <c r="K477" s="75" t="str">
        <f t="shared" si="7"/>
        <v>04-2024</v>
      </c>
      <c r="L477" s="10" t="s">
        <v>2599</v>
      </c>
    </row>
    <row r="478" spans="1:12" s="10" customFormat="1" ht="12" hidden="1" x14ac:dyDescent="0.3">
      <c r="A478" s="75">
        <v>4937</v>
      </c>
      <c r="B478" s="75" t="s">
        <v>127</v>
      </c>
      <c r="C478" s="75" t="s">
        <v>1508</v>
      </c>
      <c r="D478" s="75" t="s">
        <v>866</v>
      </c>
      <c r="E478" s="75" t="s">
        <v>150</v>
      </c>
      <c r="F478" s="75" t="s">
        <v>1509</v>
      </c>
      <c r="G478" s="76">
        <v>45391</v>
      </c>
      <c r="H478" s="75" t="s">
        <v>53</v>
      </c>
      <c r="I478" s="75" t="s">
        <v>54</v>
      </c>
      <c r="J478" s="75" t="s">
        <v>1511</v>
      </c>
      <c r="K478" s="75" t="str">
        <f t="shared" si="7"/>
        <v>04-2024</v>
      </c>
      <c r="L478" s="10" t="s">
        <v>2599</v>
      </c>
    </row>
    <row r="479" spans="1:12" s="10" customFormat="1" ht="12" hidden="1" x14ac:dyDescent="0.3">
      <c r="A479" s="75">
        <v>6596</v>
      </c>
      <c r="B479" s="75" t="s">
        <v>843</v>
      </c>
      <c r="C479" s="75" t="s">
        <v>1508</v>
      </c>
      <c r="D479" s="75" t="s">
        <v>866</v>
      </c>
      <c r="E479" s="75" t="s">
        <v>1341</v>
      </c>
      <c r="F479" s="75" t="s">
        <v>1509</v>
      </c>
      <c r="G479" s="76">
        <v>45391</v>
      </c>
      <c r="H479" s="75" t="s">
        <v>53</v>
      </c>
      <c r="I479" s="75" t="s">
        <v>54</v>
      </c>
      <c r="J479" s="75" t="s">
        <v>1511</v>
      </c>
      <c r="K479" s="75" t="str">
        <f t="shared" si="7"/>
        <v>04-2024</v>
      </c>
      <c r="L479" s="10" t="s">
        <v>2599</v>
      </c>
    </row>
    <row r="480" spans="1:12" s="10" customFormat="1" ht="12" hidden="1" x14ac:dyDescent="0.3">
      <c r="A480" s="75">
        <v>7360</v>
      </c>
      <c r="B480" s="75" t="s">
        <v>699</v>
      </c>
      <c r="C480" s="75" t="s">
        <v>1508</v>
      </c>
      <c r="D480" s="75" t="s">
        <v>866</v>
      </c>
      <c r="E480" s="75" t="s">
        <v>1342</v>
      </c>
      <c r="F480" s="75" t="s">
        <v>1509</v>
      </c>
      <c r="G480" s="76">
        <v>45391</v>
      </c>
      <c r="H480" s="75" t="s">
        <v>395</v>
      </c>
      <c r="I480" s="75" t="s">
        <v>10</v>
      </c>
      <c r="J480" s="75" t="s">
        <v>1511</v>
      </c>
      <c r="K480" s="75" t="str">
        <f t="shared" si="7"/>
        <v>04-2024</v>
      </c>
      <c r="L480" s="10" t="s">
        <v>2599</v>
      </c>
    </row>
    <row r="481" spans="1:12" s="10" customFormat="1" ht="12" hidden="1" x14ac:dyDescent="0.3">
      <c r="A481" s="75">
        <v>7517</v>
      </c>
      <c r="B481" s="75" t="s">
        <v>108</v>
      </c>
      <c r="C481" s="75" t="s">
        <v>1508</v>
      </c>
      <c r="D481" s="75" t="s">
        <v>866</v>
      </c>
      <c r="E481" s="75" t="s">
        <v>131</v>
      </c>
      <c r="F481" s="75" t="s">
        <v>1509</v>
      </c>
      <c r="G481" s="76">
        <v>45391</v>
      </c>
      <c r="H481" s="75" t="s">
        <v>9</v>
      </c>
      <c r="I481" s="75" t="s">
        <v>10</v>
      </c>
      <c r="J481" s="75" t="s">
        <v>1511</v>
      </c>
      <c r="K481" s="75" t="str">
        <f t="shared" si="7"/>
        <v>04-2024</v>
      </c>
      <c r="L481" s="10" t="s">
        <v>2599</v>
      </c>
    </row>
    <row r="482" spans="1:12" s="10" customFormat="1" ht="12" hidden="1" x14ac:dyDescent="0.3">
      <c r="A482" s="75">
        <v>7426</v>
      </c>
      <c r="B482" s="75" t="s">
        <v>19</v>
      </c>
      <c r="C482" s="75" t="s">
        <v>1508</v>
      </c>
      <c r="D482" s="75" t="s">
        <v>866</v>
      </c>
      <c r="E482" s="75" t="s">
        <v>1343</v>
      </c>
      <c r="F482" s="75" t="s">
        <v>1509</v>
      </c>
      <c r="G482" s="76">
        <v>45390</v>
      </c>
      <c r="H482" s="75" t="s">
        <v>21</v>
      </c>
      <c r="I482" s="75" t="s">
        <v>10</v>
      </c>
      <c r="J482" s="75" t="s">
        <v>1511</v>
      </c>
      <c r="K482" s="75" t="str">
        <f t="shared" si="7"/>
        <v>04-2024</v>
      </c>
      <c r="L482" s="10" t="s">
        <v>2599</v>
      </c>
    </row>
    <row r="483" spans="1:12" s="10" customFormat="1" ht="12" hidden="1" x14ac:dyDescent="0.3">
      <c r="A483" s="75">
        <v>3588</v>
      </c>
      <c r="B483" s="75" t="s">
        <v>844</v>
      </c>
      <c r="C483" s="75" t="s">
        <v>1508</v>
      </c>
      <c r="D483" s="75" t="s">
        <v>866</v>
      </c>
      <c r="E483" s="75" t="s">
        <v>1344</v>
      </c>
      <c r="F483" s="75" t="s">
        <v>1509</v>
      </c>
      <c r="G483" s="76">
        <v>45390</v>
      </c>
      <c r="H483" s="75" t="s">
        <v>73</v>
      </c>
      <c r="I483" s="75" t="s">
        <v>74</v>
      </c>
      <c r="J483" s="75" t="s">
        <v>1511</v>
      </c>
      <c r="K483" s="75" t="str">
        <f t="shared" si="7"/>
        <v>04-2024</v>
      </c>
      <c r="L483" s="10" t="s">
        <v>2599</v>
      </c>
    </row>
    <row r="484" spans="1:12" s="10" customFormat="1" ht="12" hidden="1" x14ac:dyDescent="0.3">
      <c r="A484" s="75">
        <v>3447</v>
      </c>
      <c r="B484" s="75" t="s">
        <v>179</v>
      </c>
      <c r="C484" s="75" t="s">
        <v>1508</v>
      </c>
      <c r="D484" s="75" t="s">
        <v>866</v>
      </c>
      <c r="E484" s="75" t="s">
        <v>1345</v>
      </c>
      <c r="F484" s="75" t="s">
        <v>1509</v>
      </c>
      <c r="G484" s="76">
        <v>45390</v>
      </c>
      <c r="H484" s="75" t="s">
        <v>9</v>
      </c>
      <c r="I484" s="75" t="s">
        <v>54</v>
      </c>
      <c r="J484" s="75" t="s">
        <v>1511</v>
      </c>
      <c r="K484" s="75" t="str">
        <f t="shared" si="7"/>
        <v>04-2024</v>
      </c>
      <c r="L484" s="10" t="s">
        <v>2599</v>
      </c>
    </row>
    <row r="485" spans="1:12" s="10" customFormat="1" ht="12" hidden="1" x14ac:dyDescent="0.3">
      <c r="A485" s="75">
        <v>4068</v>
      </c>
      <c r="B485" s="75" t="s">
        <v>178</v>
      </c>
      <c r="C485" s="75" t="s">
        <v>1508</v>
      </c>
      <c r="D485" s="75" t="s">
        <v>866</v>
      </c>
      <c r="E485" s="75" t="s">
        <v>189</v>
      </c>
      <c r="F485" s="75" t="s">
        <v>1509</v>
      </c>
      <c r="G485" s="76">
        <v>45390</v>
      </c>
      <c r="H485" s="75" t="s">
        <v>9</v>
      </c>
      <c r="I485" s="75" t="s">
        <v>54</v>
      </c>
      <c r="J485" s="75" t="s">
        <v>1511</v>
      </c>
      <c r="K485" s="75" t="str">
        <f t="shared" si="7"/>
        <v>04-2024</v>
      </c>
      <c r="L485" s="10" t="s">
        <v>2599</v>
      </c>
    </row>
    <row r="486" spans="1:12" s="10" customFormat="1" ht="12" hidden="1" x14ac:dyDescent="0.3">
      <c r="A486" s="75">
        <v>7808</v>
      </c>
      <c r="B486" s="75" t="s">
        <v>177</v>
      </c>
      <c r="C486" s="75" t="s">
        <v>1508</v>
      </c>
      <c r="D486" s="75" t="s">
        <v>866</v>
      </c>
      <c r="E486" s="75" t="s">
        <v>188</v>
      </c>
      <c r="F486" s="75" t="s">
        <v>1509</v>
      </c>
      <c r="G486" s="76">
        <v>45390</v>
      </c>
      <c r="H486" s="75" t="s">
        <v>21</v>
      </c>
      <c r="I486" s="75" t="s">
        <v>10</v>
      </c>
      <c r="J486" s="75" t="s">
        <v>1511</v>
      </c>
      <c r="K486" s="75" t="str">
        <f t="shared" si="7"/>
        <v>04-2024</v>
      </c>
      <c r="L486" s="10" t="s">
        <v>2599</v>
      </c>
    </row>
    <row r="487" spans="1:12" s="10" customFormat="1" ht="12" hidden="1" x14ac:dyDescent="0.3">
      <c r="A487" s="75">
        <v>7756</v>
      </c>
      <c r="B487" s="75" t="s">
        <v>65</v>
      </c>
      <c r="C487" s="75" t="s">
        <v>1508</v>
      </c>
      <c r="D487" s="75" t="s">
        <v>866</v>
      </c>
      <c r="E487" s="75" t="s">
        <v>1346</v>
      </c>
      <c r="F487" s="75" t="s">
        <v>1509</v>
      </c>
      <c r="G487" s="76">
        <v>45390</v>
      </c>
      <c r="H487" s="75" t="s">
        <v>9</v>
      </c>
      <c r="I487" s="75" t="s">
        <v>54</v>
      </c>
      <c r="J487" s="75" t="s">
        <v>1511</v>
      </c>
      <c r="K487" s="75" t="str">
        <f t="shared" si="7"/>
        <v>04-2024</v>
      </c>
      <c r="L487" s="10" t="s">
        <v>2599</v>
      </c>
    </row>
    <row r="488" spans="1:12" s="10" customFormat="1" ht="12" hidden="1" x14ac:dyDescent="0.3">
      <c r="A488" s="75">
        <v>7569</v>
      </c>
      <c r="B488" s="75" t="s">
        <v>124</v>
      </c>
      <c r="C488" s="75" t="s">
        <v>1508</v>
      </c>
      <c r="D488" s="75" t="s">
        <v>866</v>
      </c>
      <c r="E488" s="75" t="s">
        <v>147</v>
      </c>
      <c r="F488" s="75" t="s">
        <v>1509</v>
      </c>
      <c r="G488" s="76">
        <v>45390</v>
      </c>
      <c r="H488" s="75" t="s">
        <v>73</v>
      </c>
      <c r="I488" s="75" t="s">
        <v>74</v>
      </c>
      <c r="J488" s="75" t="s">
        <v>1511</v>
      </c>
      <c r="K488" s="75" t="str">
        <f t="shared" si="7"/>
        <v>04-2024</v>
      </c>
      <c r="L488" s="10" t="s">
        <v>2599</v>
      </c>
    </row>
    <row r="489" spans="1:12" s="10" customFormat="1" ht="12" hidden="1" x14ac:dyDescent="0.3">
      <c r="A489" s="75">
        <v>5254</v>
      </c>
      <c r="B489" s="75" t="s">
        <v>444</v>
      </c>
      <c r="C489" s="75" t="s">
        <v>1508</v>
      </c>
      <c r="D489" s="75" t="s">
        <v>866</v>
      </c>
      <c r="E489" s="75" t="s">
        <v>1347</v>
      </c>
      <c r="F489" s="75" t="s">
        <v>1509</v>
      </c>
      <c r="G489" s="76">
        <v>45390</v>
      </c>
      <c r="H489" s="75" t="s">
        <v>24</v>
      </c>
      <c r="I489" s="75" t="s">
        <v>10</v>
      </c>
      <c r="J489" s="75" t="s">
        <v>1511</v>
      </c>
      <c r="K489" s="75" t="str">
        <f t="shared" si="7"/>
        <v>04-2024</v>
      </c>
      <c r="L489" s="10" t="s">
        <v>2599</v>
      </c>
    </row>
    <row r="490" spans="1:12" s="10" customFormat="1" ht="12" hidden="1" x14ac:dyDescent="0.3">
      <c r="A490" s="75">
        <v>1313</v>
      </c>
      <c r="B490" s="75" t="s">
        <v>61</v>
      </c>
      <c r="C490" s="75" t="s">
        <v>1508</v>
      </c>
      <c r="D490" s="75" t="s">
        <v>866</v>
      </c>
      <c r="E490" s="75" t="s">
        <v>1348</v>
      </c>
      <c r="F490" s="75" t="s">
        <v>1509</v>
      </c>
      <c r="G490" s="76">
        <v>45390</v>
      </c>
      <c r="H490" s="75" t="s">
        <v>53</v>
      </c>
      <c r="I490" s="75" t="s">
        <v>54</v>
      </c>
      <c r="J490" s="75" t="s">
        <v>1511</v>
      </c>
      <c r="K490" s="75" t="str">
        <f t="shared" si="7"/>
        <v>04-2024</v>
      </c>
      <c r="L490" s="10" t="s">
        <v>2599</v>
      </c>
    </row>
    <row r="491" spans="1:12" s="10" customFormat="1" ht="12" hidden="1" x14ac:dyDescent="0.3">
      <c r="A491" s="75">
        <v>7667</v>
      </c>
      <c r="B491" s="75" t="s">
        <v>57</v>
      </c>
      <c r="C491" s="75" t="s">
        <v>1508</v>
      </c>
      <c r="D491" s="75" t="s">
        <v>866</v>
      </c>
      <c r="E491" s="75" t="s">
        <v>1349</v>
      </c>
      <c r="F491" s="75" t="s">
        <v>1509</v>
      </c>
      <c r="G491" s="76">
        <v>45390</v>
      </c>
      <c r="H491" s="75" t="s">
        <v>16</v>
      </c>
      <c r="I491" s="75" t="s">
        <v>54</v>
      </c>
      <c r="J491" s="75" t="s">
        <v>1511</v>
      </c>
      <c r="K491" s="75" t="str">
        <f t="shared" si="7"/>
        <v>04-2024</v>
      </c>
      <c r="L491" s="10" t="s">
        <v>2599</v>
      </c>
    </row>
    <row r="492" spans="1:12" s="10" customFormat="1" ht="12" hidden="1" x14ac:dyDescent="0.3">
      <c r="A492" s="75">
        <v>7197</v>
      </c>
      <c r="B492" s="75" t="s">
        <v>800</v>
      </c>
      <c r="C492" s="75" t="s">
        <v>1508</v>
      </c>
      <c r="D492" s="75" t="s">
        <v>866</v>
      </c>
      <c r="E492" s="75" t="s">
        <v>1350</v>
      </c>
      <c r="F492" s="75" t="s">
        <v>1509</v>
      </c>
      <c r="G492" s="76">
        <v>45390</v>
      </c>
      <c r="H492" s="75" t="s">
        <v>24</v>
      </c>
      <c r="I492" s="75" t="s">
        <v>10</v>
      </c>
      <c r="J492" s="75" t="s">
        <v>1511</v>
      </c>
      <c r="K492" s="75" t="str">
        <f t="shared" si="7"/>
        <v>04-2024</v>
      </c>
      <c r="L492" s="10" t="s">
        <v>2599</v>
      </c>
    </row>
    <row r="493" spans="1:12" s="10" customFormat="1" ht="12" hidden="1" x14ac:dyDescent="0.3">
      <c r="A493" s="75">
        <v>3131</v>
      </c>
      <c r="B493" s="75" t="s">
        <v>845</v>
      </c>
      <c r="C493" s="75" t="s">
        <v>1508</v>
      </c>
      <c r="D493" s="75" t="s">
        <v>866</v>
      </c>
      <c r="E493" s="75" t="s">
        <v>1351</v>
      </c>
      <c r="F493" s="75" t="s">
        <v>1509</v>
      </c>
      <c r="G493" s="76">
        <v>45390</v>
      </c>
      <c r="H493" s="75" t="s">
        <v>73</v>
      </c>
      <c r="I493" s="75" t="s">
        <v>54</v>
      </c>
      <c r="J493" s="75" t="s">
        <v>1511</v>
      </c>
      <c r="K493" s="75" t="str">
        <f t="shared" si="7"/>
        <v>04-2024</v>
      </c>
      <c r="L493" s="10" t="s">
        <v>2599</v>
      </c>
    </row>
    <row r="494" spans="1:12" s="10" customFormat="1" ht="12" hidden="1" x14ac:dyDescent="0.3">
      <c r="A494" s="75">
        <v>6289</v>
      </c>
      <c r="B494" s="75" t="s">
        <v>641</v>
      </c>
      <c r="C494" s="75" t="s">
        <v>1508</v>
      </c>
      <c r="D494" s="75" t="s">
        <v>866</v>
      </c>
      <c r="E494" s="75" t="s">
        <v>1352</v>
      </c>
      <c r="F494" s="75" t="s">
        <v>1509</v>
      </c>
      <c r="G494" s="76">
        <v>45390</v>
      </c>
      <c r="H494" s="75" t="s">
        <v>9</v>
      </c>
      <c r="I494" s="75" t="s">
        <v>10</v>
      </c>
      <c r="J494" s="75" t="s">
        <v>1511</v>
      </c>
      <c r="K494" s="75" t="str">
        <f t="shared" si="7"/>
        <v>04-2024</v>
      </c>
      <c r="L494" s="10" t="s">
        <v>2599</v>
      </c>
    </row>
    <row r="495" spans="1:12" s="10" customFormat="1" ht="12" hidden="1" x14ac:dyDescent="0.3">
      <c r="A495" s="75">
        <v>7243</v>
      </c>
      <c r="B495" s="75" t="s">
        <v>815</v>
      </c>
      <c r="C495" s="75" t="s">
        <v>1508</v>
      </c>
      <c r="D495" s="75" t="s">
        <v>866</v>
      </c>
      <c r="E495" s="75" t="s">
        <v>1353</v>
      </c>
      <c r="F495" s="75" t="s">
        <v>1509</v>
      </c>
      <c r="G495" s="76">
        <v>45390</v>
      </c>
      <c r="H495" s="75" t="s">
        <v>24</v>
      </c>
      <c r="I495" s="75" t="s">
        <v>10</v>
      </c>
      <c r="J495" s="75" t="s">
        <v>1511</v>
      </c>
      <c r="K495" s="75" t="str">
        <f t="shared" si="7"/>
        <v>04-2024</v>
      </c>
      <c r="L495" s="10" t="s">
        <v>2599</v>
      </c>
    </row>
    <row r="496" spans="1:12" s="10" customFormat="1" ht="12" hidden="1" x14ac:dyDescent="0.3">
      <c r="A496" s="75">
        <v>7369</v>
      </c>
      <c r="B496" s="75" t="s">
        <v>432</v>
      </c>
      <c r="C496" s="75" t="s">
        <v>1508</v>
      </c>
      <c r="D496" s="75" t="s">
        <v>866</v>
      </c>
      <c r="E496" s="75" t="s">
        <v>1354</v>
      </c>
      <c r="F496" s="75" t="s">
        <v>1509</v>
      </c>
      <c r="G496" s="76">
        <v>45390</v>
      </c>
      <c r="H496" s="75" t="s">
        <v>73</v>
      </c>
      <c r="I496" s="75" t="s">
        <v>74</v>
      </c>
      <c r="J496" s="75" t="s">
        <v>1511</v>
      </c>
      <c r="K496" s="75" t="str">
        <f t="shared" si="7"/>
        <v>04-2024</v>
      </c>
      <c r="L496" s="10" t="s">
        <v>2599</v>
      </c>
    </row>
    <row r="497" spans="1:12" s="10" customFormat="1" ht="12" hidden="1" x14ac:dyDescent="0.3">
      <c r="A497" s="75">
        <v>6585</v>
      </c>
      <c r="B497" s="75" t="s">
        <v>777</v>
      </c>
      <c r="C497" s="75" t="s">
        <v>1508</v>
      </c>
      <c r="D497" s="75" t="s">
        <v>866</v>
      </c>
      <c r="E497" s="75" t="s">
        <v>1355</v>
      </c>
      <c r="F497" s="75" t="s">
        <v>1509</v>
      </c>
      <c r="G497" s="76">
        <v>45390</v>
      </c>
      <c r="H497" s="75" t="s">
        <v>13</v>
      </c>
      <c r="I497" s="75" t="s">
        <v>10</v>
      </c>
      <c r="J497" s="75" t="s">
        <v>1511</v>
      </c>
      <c r="K497" s="75" t="str">
        <f t="shared" si="7"/>
        <v>04-2024</v>
      </c>
      <c r="L497" s="10" t="s">
        <v>2599</v>
      </c>
    </row>
    <row r="498" spans="1:12" s="10" customFormat="1" ht="12" hidden="1" x14ac:dyDescent="0.3">
      <c r="A498" s="75">
        <v>2799</v>
      </c>
      <c r="B498" s="75" t="s">
        <v>823</v>
      </c>
      <c r="C498" s="75" t="s">
        <v>1508</v>
      </c>
      <c r="D498" s="75" t="s">
        <v>866</v>
      </c>
      <c r="E498" s="75" t="s">
        <v>1356</v>
      </c>
      <c r="F498" s="75" t="s">
        <v>1509</v>
      </c>
      <c r="G498" s="76">
        <v>45390</v>
      </c>
      <c r="H498" s="75" t="s">
        <v>73</v>
      </c>
      <c r="I498" s="75" t="s">
        <v>32</v>
      </c>
      <c r="J498" s="75" t="s">
        <v>1511</v>
      </c>
      <c r="K498" s="75" t="str">
        <f t="shared" si="7"/>
        <v>04-2024</v>
      </c>
      <c r="L498" s="10" t="s">
        <v>2599</v>
      </c>
    </row>
    <row r="499" spans="1:12" s="10" customFormat="1" ht="12" hidden="1" x14ac:dyDescent="0.3">
      <c r="A499" s="75">
        <v>2815</v>
      </c>
      <c r="B499" s="75" t="s">
        <v>123</v>
      </c>
      <c r="C499" s="75" t="s">
        <v>1508</v>
      </c>
      <c r="D499" s="75" t="s">
        <v>866</v>
      </c>
      <c r="E499" s="75" t="s">
        <v>1357</v>
      </c>
      <c r="F499" s="75" t="s">
        <v>1509</v>
      </c>
      <c r="G499" s="76">
        <v>45390</v>
      </c>
      <c r="H499" s="75" t="s">
        <v>73</v>
      </c>
      <c r="I499" s="75" t="s">
        <v>74</v>
      </c>
      <c r="J499" s="75" t="s">
        <v>1511</v>
      </c>
      <c r="K499" s="75" t="str">
        <f t="shared" si="7"/>
        <v>04-2024</v>
      </c>
      <c r="L499" s="10" t="s">
        <v>2599</v>
      </c>
    </row>
    <row r="500" spans="1:12" s="10" customFormat="1" ht="12" hidden="1" x14ac:dyDescent="0.3">
      <c r="A500" s="75">
        <v>6803</v>
      </c>
      <c r="B500" s="75" t="s">
        <v>122</v>
      </c>
      <c r="C500" s="75" t="s">
        <v>1508</v>
      </c>
      <c r="D500" s="75" t="s">
        <v>866</v>
      </c>
      <c r="E500" s="75" t="s">
        <v>145</v>
      </c>
      <c r="F500" s="75" t="s">
        <v>1509</v>
      </c>
      <c r="G500" s="76">
        <v>45390</v>
      </c>
      <c r="H500" s="75" t="s">
        <v>24</v>
      </c>
      <c r="I500" s="75" t="s">
        <v>10</v>
      </c>
      <c r="J500" s="75" t="s">
        <v>1511</v>
      </c>
      <c r="K500" s="75" t="str">
        <f t="shared" si="7"/>
        <v>04-2024</v>
      </c>
      <c r="L500" s="10" t="s">
        <v>2599</v>
      </c>
    </row>
    <row r="501" spans="1:12" s="10" customFormat="1" ht="12" hidden="1" x14ac:dyDescent="0.3">
      <c r="A501" s="75">
        <v>5194</v>
      </c>
      <c r="B501" s="75" t="s">
        <v>121</v>
      </c>
      <c r="C501" s="75" t="s">
        <v>1508</v>
      </c>
      <c r="D501" s="75" t="s">
        <v>866</v>
      </c>
      <c r="E501" s="75" t="s">
        <v>144</v>
      </c>
      <c r="F501" s="75" t="s">
        <v>1509</v>
      </c>
      <c r="G501" s="76">
        <v>45390</v>
      </c>
      <c r="H501" s="75" t="s">
        <v>40</v>
      </c>
      <c r="I501" s="75" t="s">
        <v>32</v>
      </c>
      <c r="J501" s="75" t="s">
        <v>1511</v>
      </c>
      <c r="K501" s="75" t="str">
        <f t="shared" si="7"/>
        <v>04-2024</v>
      </c>
      <c r="L501" s="10" t="s">
        <v>2599</v>
      </c>
    </row>
    <row r="502" spans="1:12" s="10" customFormat="1" ht="12" hidden="1" x14ac:dyDescent="0.3">
      <c r="A502" s="75">
        <v>6918</v>
      </c>
      <c r="B502" s="75" t="s">
        <v>119</v>
      </c>
      <c r="C502" s="75" t="s">
        <v>1508</v>
      </c>
      <c r="D502" s="75" t="s">
        <v>866</v>
      </c>
      <c r="E502" s="75" t="s">
        <v>142</v>
      </c>
      <c r="F502" s="75" t="s">
        <v>1509</v>
      </c>
      <c r="G502" s="76">
        <v>45390</v>
      </c>
      <c r="H502" s="75" t="s">
        <v>73</v>
      </c>
      <c r="I502" s="75" t="s">
        <v>74</v>
      </c>
      <c r="J502" s="75" t="s">
        <v>1511</v>
      </c>
      <c r="K502" s="75" t="str">
        <f t="shared" si="7"/>
        <v>04-2024</v>
      </c>
      <c r="L502" s="10" t="s">
        <v>2599</v>
      </c>
    </row>
    <row r="503" spans="1:12" s="10" customFormat="1" ht="12" hidden="1" x14ac:dyDescent="0.3">
      <c r="A503" s="75">
        <v>5323</v>
      </c>
      <c r="B503" s="75" t="s">
        <v>707</v>
      </c>
      <c r="C503" s="75" t="s">
        <v>1508</v>
      </c>
      <c r="D503" s="75" t="s">
        <v>866</v>
      </c>
      <c r="E503" s="75" t="s">
        <v>1358</v>
      </c>
      <c r="F503" s="75" t="s">
        <v>1509</v>
      </c>
      <c r="G503" s="76">
        <v>45390</v>
      </c>
      <c r="H503" s="75" t="s">
        <v>53</v>
      </c>
      <c r="I503" s="75" t="s">
        <v>54</v>
      </c>
      <c r="J503" s="75" t="s">
        <v>1511</v>
      </c>
      <c r="K503" s="75" t="str">
        <f t="shared" si="7"/>
        <v>04-2024</v>
      </c>
      <c r="L503" s="10" t="s">
        <v>2599</v>
      </c>
    </row>
    <row r="504" spans="1:12" s="10" customFormat="1" ht="12" hidden="1" x14ac:dyDescent="0.3">
      <c r="A504" s="75">
        <v>7445</v>
      </c>
      <c r="B504" s="75" t="s">
        <v>118</v>
      </c>
      <c r="C504" s="75" t="s">
        <v>1508</v>
      </c>
      <c r="D504" s="75" t="s">
        <v>866</v>
      </c>
      <c r="E504" s="75" t="s">
        <v>141</v>
      </c>
      <c r="F504" s="75" t="s">
        <v>1509</v>
      </c>
      <c r="G504" s="76">
        <v>45390</v>
      </c>
      <c r="H504" s="75" t="s">
        <v>73</v>
      </c>
      <c r="I504" s="75" t="s">
        <v>74</v>
      </c>
      <c r="J504" s="75" t="s">
        <v>1511</v>
      </c>
      <c r="K504" s="75" t="str">
        <f t="shared" si="7"/>
        <v>04-2024</v>
      </c>
      <c r="L504" s="10" t="s">
        <v>2599</v>
      </c>
    </row>
    <row r="505" spans="1:12" s="10" customFormat="1" ht="12" hidden="1" x14ac:dyDescent="0.3">
      <c r="A505" s="75">
        <v>6386</v>
      </c>
      <c r="B505" s="75" t="s">
        <v>830</v>
      </c>
      <c r="C505" s="75" t="s">
        <v>1508</v>
      </c>
      <c r="D505" s="75" t="s">
        <v>866</v>
      </c>
      <c r="E505" s="75" t="s">
        <v>1359</v>
      </c>
      <c r="F505" s="75" t="s">
        <v>1509</v>
      </c>
      <c r="G505" s="76">
        <v>45390</v>
      </c>
      <c r="H505" s="75" t="s">
        <v>53</v>
      </c>
      <c r="I505" s="75" t="s">
        <v>54</v>
      </c>
      <c r="J505" s="75" t="s">
        <v>1511</v>
      </c>
      <c r="K505" s="75" t="str">
        <f t="shared" si="7"/>
        <v>04-2024</v>
      </c>
      <c r="L505" s="10" t="s">
        <v>2599</v>
      </c>
    </row>
    <row r="506" spans="1:12" s="10" customFormat="1" ht="12" hidden="1" x14ac:dyDescent="0.3">
      <c r="A506" s="75">
        <v>7594</v>
      </c>
      <c r="B506" s="75" t="s">
        <v>846</v>
      </c>
      <c r="C506" s="75" t="s">
        <v>1508</v>
      </c>
      <c r="D506" s="75" t="s">
        <v>866</v>
      </c>
      <c r="E506" s="75" t="s">
        <v>1360</v>
      </c>
      <c r="F506" s="75" t="s">
        <v>1509</v>
      </c>
      <c r="G506" s="76">
        <v>45390</v>
      </c>
      <c r="H506" s="75" t="s">
        <v>53</v>
      </c>
      <c r="I506" s="75" t="s">
        <v>54</v>
      </c>
      <c r="J506" s="75" t="s">
        <v>1511</v>
      </c>
      <c r="K506" s="75" t="str">
        <f t="shared" si="7"/>
        <v>04-2024</v>
      </c>
      <c r="L506" s="10" t="s">
        <v>2599</v>
      </c>
    </row>
    <row r="507" spans="1:12" s="10" customFormat="1" ht="12" hidden="1" x14ac:dyDescent="0.3">
      <c r="A507" s="75">
        <v>3883</v>
      </c>
      <c r="B507" s="75" t="s">
        <v>847</v>
      </c>
      <c r="C507" s="75" t="s">
        <v>1508</v>
      </c>
      <c r="D507" s="75" t="s">
        <v>866</v>
      </c>
      <c r="E507" s="75" t="s">
        <v>1361</v>
      </c>
      <c r="F507" s="75" t="s">
        <v>1509</v>
      </c>
      <c r="G507" s="76">
        <v>45390</v>
      </c>
      <c r="H507" s="75" t="s">
        <v>24</v>
      </c>
      <c r="I507" s="75" t="s">
        <v>10</v>
      </c>
      <c r="J507" s="75" t="s">
        <v>1511</v>
      </c>
      <c r="K507" s="75" t="str">
        <f t="shared" si="7"/>
        <v>04-2024</v>
      </c>
      <c r="L507" s="10" t="s">
        <v>2599</v>
      </c>
    </row>
    <row r="508" spans="1:12" s="10" customFormat="1" ht="12" hidden="1" x14ac:dyDescent="0.3">
      <c r="A508" s="75">
        <v>3098</v>
      </c>
      <c r="B508" s="75" t="s">
        <v>173</v>
      </c>
      <c r="C508" s="75">
        <v>2815</v>
      </c>
      <c r="D508" s="75" t="s">
        <v>123</v>
      </c>
      <c r="E508" s="75" t="s">
        <v>184</v>
      </c>
      <c r="F508" s="75" t="s">
        <v>1509</v>
      </c>
      <c r="G508" s="76">
        <v>45386</v>
      </c>
      <c r="H508" s="75" t="s">
        <v>73</v>
      </c>
      <c r="I508" s="75" t="s">
        <v>74</v>
      </c>
      <c r="J508" s="75" t="s">
        <v>1511</v>
      </c>
      <c r="K508" s="75" t="str">
        <f t="shared" si="7"/>
        <v>04-2024</v>
      </c>
      <c r="L508" s="10" t="s">
        <v>2599</v>
      </c>
    </row>
    <row r="509" spans="1:12" s="10" customFormat="1" ht="12" hidden="1" x14ac:dyDescent="0.3">
      <c r="A509" s="75">
        <v>7030</v>
      </c>
      <c r="B509" s="75" t="s">
        <v>174</v>
      </c>
      <c r="C509" s="75">
        <v>7445</v>
      </c>
      <c r="D509" s="75" t="s">
        <v>118</v>
      </c>
      <c r="E509" s="75" t="s">
        <v>185</v>
      </c>
      <c r="F509" s="75" t="s">
        <v>1509</v>
      </c>
      <c r="G509" s="76">
        <v>45386</v>
      </c>
      <c r="H509" s="75" t="s">
        <v>73</v>
      </c>
      <c r="I509" s="75" t="s">
        <v>74</v>
      </c>
      <c r="J509" s="75" t="s">
        <v>1511</v>
      </c>
      <c r="K509" s="75" t="str">
        <f t="shared" si="7"/>
        <v>04-2024</v>
      </c>
      <c r="L509" s="10" t="s">
        <v>2599</v>
      </c>
    </row>
    <row r="510" spans="1:12" s="10" customFormat="1" ht="12" hidden="1" x14ac:dyDescent="0.3">
      <c r="A510" s="75">
        <v>1624</v>
      </c>
      <c r="B510" s="75" t="s">
        <v>831</v>
      </c>
      <c r="C510" s="75">
        <v>2980</v>
      </c>
      <c r="D510" s="75" t="s">
        <v>770</v>
      </c>
      <c r="E510" s="75" t="s">
        <v>1362</v>
      </c>
      <c r="F510" s="75" t="s">
        <v>1510</v>
      </c>
      <c r="G510" s="76">
        <v>45384</v>
      </c>
      <c r="H510" s="75" t="s">
        <v>35</v>
      </c>
      <c r="I510" s="75" t="s">
        <v>32</v>
      </c>
      <c r="J510" s="75" t="s">
        <v>1512</v>
      </c>
      <c r="K510" s="75" t="str">
        <f t="shared" si="7"/>
        <v>04-2024</v>
      </c>
      <c r="L510" s="10" t="s">
        <v>2599</v>
      </c>
    </row>
    <row r="511" spans="1:12" s="10" customFormat="1" ht="12" hidden="1" x14ac:dyDescent="0.3">
      <c r="A511" s="75">
        <v>7287</v>
      </c>
      <c r="B511" s="75" t="s">
        <v>744</v>
      </c>
      <c r="C511" s="75">
        <v>2980</v>
      </c>
      <c r="D511" s="75" t="s">
        <v>770</v>
      </c>
      <c r="E511" s="75" t="s">
        <v>1363</v>
      </c>
      <c r="F511" s="75" t="s">
        <v>1510</v>
      </c>
      <c r="G511" s="76">
        <v>45384</v>
      </c>
      <c r="H511" s="75" t="s">
        <v>35</v>
      </c>
      <c r="I511" s="75" t="s">
        <v>32</v>
      </c>
      <c r="J511" s="75" t="s">
        <v>1512</v>
      </c>
      <c r="K511" s="75" t="str">
        <f t="shared" si="7"/>
        <v>04-2024</v>
      </c>
      <c r="L511" s="10" t="s">
        <v>2599</v>
      </c>
    </row>
    <row r="512" spans="1:12" s="10" customFormat="1" ht="12" hidden="1" x14ac:dyDescent="0.3">
      <c r="A512" s="75">
        <v>3963</v>
      </c>
      <c r="B512" s="75" t="s">
        <v>109</v>
      </c>
      <c r="C512" s="75">
        <v>4895</v>
      </c>
      <c r="D512" s="75" t="s">
        <v>905</v>
      </c>
      <c r="E512" s="75" t="s">
        <v>132</v>
      </c>
      <c r="F512" s="75" t="s">
        <v>1509</v>
      </c>
      <c r="G512" s="76">
        <v>45384</v>
      </c>
      <c r="H512" s="75" t="s">
        <v>53</v>
      </c>
      <c r="I512" s="75" t="s">
        <v>54</v>
      </c>
      <c r="J512" s="75" t="s">
        <v>1511</v>
      </c>
      <c r="K512" s="75" t="str">
        <f t="shared" si="7"/>
        <v>04-2024</v>
      </c>
      <c r="L512" s="10" t="s">
        <v>2599</v>
      </c>
    </row>
    <row r="513" spans="1:12" s="10" customFormat="1" ht="12" hidden="1" x14ac:dyDescent="0.3">
      <c r="A513" s="75">
        <v>6723</v>
      </c>
      <c r="B513" s="75" t="s">
        <v>624</v>
      </c>
      <c r="C513" s="75">
        <v>7445</v>
      </c>
      <c r="D513" s="75" t="s">
        <v>118</v>
      </c>
      <c r="E513" s="75" t="s">
        <v>1364</v>
      </c>
      <c r="F513" s="75" t="s">
        <v>1509</v>
      </c>
      <c r="G513" s="76">
        <v>45383</v>
      </c>
      <c r="H513" s="75" t="s">
        <v>73</v>
      </c>
      <c r="I513" s="75" t="s">
        <v>74</v>
      </c>
      <c r="J513" s="75" t="s">
        <v>1511</v>
      </c>
      <c r="K513" s="75" t="str">
        <f t="shared" si="7"/>
        <v>04-2024</v>
      </c>
      <c r="L513" s="10" t="s">
        <v>2599</v>
      </c>
    </row>
    <row r="514" spans="1:12" s="10" customFormat="1" ht="12" hidden="1" x14ac:dyDescent="0.3">
      <c r="A514" s="75">
        <v>7634</v>
      </c>
      <c r="B514" s="75" t="s">
        <v>117</v>
      </c>
      <c r="C514" s="75">
        <v>296</v>
      </c>
      <c r="D514" s="75" t="s">
        <v>474</v>
      </c>
      <c r="E514" s="75" t="s">
        <v>1365</v>
      </c>
      <c r="F514" s="75" t="s">
        <v>1510</v>
      </c>
      <c r="G514" s="76">
        <v>45383</v>
      </c>
      <c r="H514" s="75" t="s">
        <v>168</v>
      </c>
      <c r="I514" s="75" t="s">
        <v>10</v>
      </c>
      <c r="J514" s="75" t="s">
        <v>1512</v>
      </c>
      <c r="K514" s="75" t="str">
        <f t="shared" si="7"/>
        <v>04-2024</v>
      </c>
      <c r="L514" s="10" t="s">
        <v>2599</v>
      </c>
    </row>
    <row r="515" spans="1:12" s="10" customFormat="1" ht="12" hidden="1" x14ac:dyDescent="0.3">
      <c r="A515" s="75">
        <v>7207</v>
      </c>
      <c r="B515" s="75" t="s">
        <v>848</v>
      </c>
      <c r="C515" s="75">
        <v>7652</v>
      </c>
      <c r="D515" s="75" t="s">
        <v>906</v>
      </c>
      <c r="E515" s="75" t="s">
        <v>1366</v>
      </c>
      <c r="F515" s="75" t="s">
        <v>1509</v>
      </c>
      <c r="G515" s="76">
        <v>45383</v>
      </c>
      <c r="H515" s="75" t="s">
        <v>168</v>
      </c>
      <c r="I515" s="75" t="s">
        <v>10</v>
      </c>
      <c r="J515" s="75" t="s">
        <v>1511</v>
      </c>
      <c r="K515" s="75" t="str">
        <f t="shared" ref="K515:K578" si="8">TEXT(G515,"mm-yyyy")</f>
        <v>04-2024</v>
      </c>
      <c r="L515" s="10" t="s">
        <v>2599</v>
      </c>
    </row>
    <row r="516" spans="1:12" s="10" customFormat="1" ht="12" x14ac:dyDescent="0.3">
      <c r="A516" s="75">
        <v>3883</v>
      </c>
      <c r="B516" s="75" t="s">
        <v>847</v>
      </c>
      <c r="C516" s="75">
        <v>7445</v>
      </c>
      <c r="D516" s="75" t="s">
        <v>118</v>
      </c>
      <c r="E516" s="75" t="s">
        <v>1367</v>
      </c>
      <c r="F516" s="75" t="s">
        <v>1510</v>
      </c>
      <c r="G516" s="76">
        <v>45382</v>
      </c>
      <c r="H516" s="75" t="s">
        <v>24</v>
      </c>
      <c r="I516" s="75" t="s">
        <v>10</v>
      </c>
      <c r="J516" s="75" t="s">
        <v>1512</v>
      </c>
      <c r="K516" s="75" t="str">
        <f t="shared" si="8"/>
        <v>03-2024</v>
      </c>
      <c r="L516" s="10" t="s">
        <v>2599</v>
      </c>
    </row>
    <row r="517" spans="1:12" s="10" customFormat="1" ht="12" x14ac:dyDescent="0.3">
      <c r="A517" s="75">
        <v>6437</v>
      </c>
      <c r="B517" s="75" t="s">
        <v>626</v>
      </c>
      <c r="C517" s="75">
        <v>2815</v>
      </c>
      <c r="D517" s="75" t="s">
        <v>123</v>
      </c>
      <c r="E517" s="75" t="s">
        <v>1368</v>
      </c>
      <c r="F517" s="75" t="s">
        <v>1509</v>
      </c>
      <c r="G517" s="76">
        <v>45382</v>
      </c>
      <c r="H517" s="75" t="s">
        <v>73</v>
      </c>
      <c r="I517" s="75" t="s">
        <v>74</v>
      </c>
      <c r="J517" s="75" t="s">
        <v>1511</v>
      </c>
      <c r="K517" s="75" t="str">
        <f t="shared" si="8"/>
        <v>03-2024</v>
      </c>
      <c r="L517" s="10" t="s">
        <v>2599</v>
      </c>
    </row>
    <row r="518" spans="1:12" s="10" customFormat="1" ht="12" x14ac:dyDescent="0.3">
      <c r="A518" s="75">
        <v>6918</v>
      </c>
      <c r="B518" s="75" t="s">
        <v>119</v>
      </c>
      <c r="C518" s="75">
        <v>2815</v>
      </c>
      <c r="D518" s="75" t="s">
        <v>123</v>
      </c>
      <c r="E518" s="75" t="s">
        <v>1369</v>
      </c>
      <c r="F518" s="75" t="s">
        <v>1510</v>
      </c>
      <c r="G518" s="76">
        <v>45382</v>
      </c>
      <c r="H518" s="75" t="s">
        <v>73</v>
      </c>
      <c r="I518" s="75" t="s">
        <v>74</v>
      </c>
      <c r="J518" s="75" t="s">
        <v>1512</v>
      </c>
      <c r="K518" s="75" t="str">
        <f t="shared" si="8"/>
        <v>03-2024</v>
      </c>
      <c r="L518" s="10" t="s">
        <v>2599</v>
      </c>
    </row>
    <row r="519" spans="1:12" s="10" customFormat="1" ht="12" x14ac:dyDescent="0.3">
      <c r="A519" s="75">
        <v>7637</v>
      </c>
      <c r="B519" s="75" t="s">
        <v>129</v>
      </c>
      <c r="C519" s="75">
        <v>2815</v>
      </c>
      <c r="D519" s="75" t="s">
        <v>123</v>
      </c>
      <c r="E519" s="75" t="s">
        <v>1370</v>
      </c>
      <c r="F519" s="75" t="s">
        <v>1510</v>
      </c>
      <c r="G519" s="76">
        <v>45382</v>
      </c>
      <c r="H519" s="75" t="s">
        <v>73</v>
      </c>
      <c r="I519" s="75" t="s">
        <v>74</v>
      </c>
      <c r="J519" s="75" t="s">
        <v>1512</v>
      </c>
      <c r="K519" s="75" t="str">
        <f t="shared" si="8"/>
        <v>03-2024</v>
      </c>
      <c r="L519" s="10" t="s">
        <v>2599</v>
      </c>
    </row>
    <row r="520" spans="1:12" s="10" customFormat="1" ht="12" x14ac:dyDescent="0.3">
      <c r="A520" s="75">
        <v>7352</v>
      </c>
      <c r="B520" s="75" t="s">
        <v>431</v>
      </c>
      <c r="C520" s="75">
        <v>2815</v>
      </c>
      <c r="D520" s="75" t="s">
        <v>123</v>
      </c>
      <c r="E520" s="75" t="s">
        <v>1371</v>
      </c>
      <c r="F520" s="75" t="s">
        <v>1509</v>
      </c>
      <c r="G520" s="76">
        <v>45382</v>
      </c>
      <c r="H520" s="75" t="s">
        <v>73</v>
      </c>
      <c r="I520" s="75" t="s">
        <v>74</v>
      </c>
      <c r="J520" s="75" t="s">
        <v>1511</v>
      </c>
      <c r="K520" s="75" t="str">
        <f t="shared" si="8"/>
        <v>03-2024</v>
      </c>
      <c r="L520" s="10" t="s">
        <v>2599</v>
      </c>
    </row>
    <row r="521" spans="1:12" s="10" customFormat="1" ht="12" x14ac:dyDescent="0.3">
      <c r="A521" s="75">
        <v>7399</v>
      </c>
      <c r="B521" s="75" t="s">
        <v>71</v>
      </c>
      <c r="C521" s="75">
        <v>7445</v>
      </c>
      <c r="D521" s="75" t="s">
        <v>118</v>
      </c>
      <c r="E521" s="75" t="s">
        <v>93</v>
      </c>
      <c r="F521" s="75" t="s">
        <v>1509</v>
      </c>
      <c r="G521" s="76">
        <v>45382</v>
      </c>
      <c r="H521" s="75" t="s">
        <v>73</v>
      </c>
      <c r="I521" s="75" t="s">
        <v>74</v>
      </c>
      <c r="J521" s="75" t="s">
        <v>1511</v>
      </c>
      <c r="K521" s="75" t="str">
        <f t="shared" si="8"/>
        <v>03-2024</v>
      </c>
      <c r="L521" s="10" t="s">
        <v>2599</v>
      </c>
    </row>
    <row r="522" spans="1:12" s="10" customFormat="1" ht="12" x14ac:dyDescent="0.3">
      <c r="A522" s="75">
        <v>6745</v>
      </c>
      <c r="B522" s="75" t="s">
        <v>75</v>
      </c>
      <c r="C522" s="75">
        <v>7445</v>
      </c>
      <c r="D522" s="75" t="s">
        <v>118</v>
      </c>
      <c r="E522" s="75" t="s">
        <v>86</v>
      </c>
      <c r="F522" s="75" t="s">
        <v>1509</v>
      </c>
      <c r="G522" s="76">
        <v>45382</v>
      </c>
      <c r="H522" s="75" t="s">
        <v>73</v>
      </c>
      <c r="I522" s="75" t="s">
        <v>74</v>
      </c>
      <c r="J522" s="75" t="s">
        <v>1511</v>
      </c>
      <c r="K522" s="75" t="str">
        <f t="shared" si="8"/>
        <v>03-2024</v>
      </c>
      <c r="L522" s="10" t="s">
        <v>2599</v>
      </c>
    </row>
    <row r="523" spans="1:12" s="10" customFormat="1" ht="12" x14ac:dyDescent="0.3">
      <c r="A523" s="75">
        <v>2799</v>
      </c>
      <c r="B523" s="75" t="s">
        <v>823</v>
      </c>
      <c r="C523" s="75">
        <v>7445</v>
      </c>
      <c r="D523" s="75" t="s">
        <v>118</v>
      </c>
      <c r="E523" s="75" t="s">
        <v>1372</v>
      </c>
      <c r="F523" s="75" t="s">
        <v>1509</v>
      </c>
      <c r="G523" s="76">
        <v>45382</v>
      </c>
      <c r="H523" s="75" t="s">
        <v>73</v>
      </c>
      <c r="I523" s="75" t="s">
        <v>32</v>
      </c>
      <c r="J523" s="75" t="s">
        <v>1511</v>
      </c>
      <c r="K523" s="75" t="str">
        <f t="shared" si="8"/>
        <v>03-2024</v>
      </c>
      <c r="L523" s="10" t="s">
        <v>2599</v>
      </c>
    </row>
    <row r="524" spans="1:12" s="10" customFormat="1" ht="12" x14ac:dyDescent="0.3">
      <c r="A524" s="75">
        <v>7369</v>
      </c>
      <c r="B524" s="75" t="s">
        <v>432</v>
      </c>
      <c r="C524" s="75">
        <v>7445</v>
      </c>
      <c r="D524" s="75" t="s">
        <v>118</v>
      </c>
      <c r="E524" s="75" t="s">
        <v>1373</v>
      </c>
      <c r="F524" s="75" t="s">
        <v>1510</v>
      </c>
      <c r="G524" s="76">
        <v>45382</v>
      </c>
      <c r="H524" s="75" t="s">
        <v>73</v>
      </c>
      <c r="I524" s="75" t="s">
        <v>74</v>
      </c>
      <c r="J524" s="75" t="s">
        <v>1512</v>
      </c>
      <c r="K524" s="75" t="str">
        <f t="shared" si="8"/>
        <v>03-2024</v>
      </c>
      <c r="L524" s="10" t="s">
        <v>2599</v>
      </c>
    </row>
    <row r="525" spans="1:12" s="10" customFormat="1" ht="12" x14ac:dyDescent="0.3">
      <c r="A525" s="75">
        <v>7635</v>
      </c>
      <c r="B525" s="75" t="s">
        <v>76</v>
      </c>
      <c r="C525" s="75">
        <v>7445</v>
      </c>
      <c r="D525" s="75" t="s">
        <v>118</v>
      </c>
      <c r="E525" s="75" t="s">
        <v>1374</v>
      </c>
      <c r="F525" s="75" t="s">
        <v>1509</v>
      </c>
      <c r="G525" s="76">
        <v>45382</v>
      </c>
      <c r="H525" s="75" t="s">
        <v>73</v>
      </c>
      <c r="I525" s="75" t="s">
        <v>74</v>
      </c>
      <c r="J525" s="75" t="s">
        <v>1511</v>
      </c>
      <c r="K525" s="75" t="str">
        <f t="shared" si="8"/>
        <v>03-2024</v>
      </c>
      <c r="L525" s="10" t="s">
        <v>2599</v>
      </c>
    </row>
    <row r="526" spans="1:12" s="10" customFormat="1" ht="12" x14ac:dyDescent="0.3">
      <c r="A526" s="75">
        <v>3588</v>
      </c>
      <c r="B526" s="75" t="s">
        <v>844</v>
      </c>
      <c r="C526" s="75">
        <v>7445</v>
      </c>
      <c r="D526" s="75" t="s">
        <v>118</v>
      </c>
      <c r="E526" s="75" t="s">
        <v>1375</v>
      </c>
      <c r="F526" s="75" t="s">
        <v>1510</v>
      </c>
      <c r="G526" s="76">
        <v>45382</v>
      </c>
      <c r="H526" s="75" t="s">
        <v>73</v>
      </c>
      <c r="I526" s="75" t="s">
        <v>74</v>
      </c>
      <c r="J526" s="75" t="s">
        <v>1512</v>
      </c>
      <c r="K526" s="75" t="str">
        <f t="shared" si="8"/>
        <v>03-2024</v>
      </c>
      <c r="L526" s="10" t="s">
        <v>2599</v>
      </c>
    </row>
    <row r="527" spans="1:12" s="10" customFormat="1" ht="12" x14ac:dyDescent="0.3">
      <c r="A527" s="75">
        <v>2799</v>
      </c>
      <c r="B527" s="75" t="s">
        <v>823</v>
      </c>
      <c r="C527" s="75">
        <v>7445</v>
      </c>
      <c r="D527" s="75" t="s">
        <v>118</v>
      </c>
      <c r="E527" s="75" t="s">
        <v>1376</v>
      </c>
      <c r="F527" s="75" t="s">
        <v>1510</v>
      </c>
      <c r="G527" s="76">
        <v>45382</v>
      </c>
      <c r="H527" s="75" t="s">
        <v>73</v>
      </c>
      <c r="I527" s="75" t="s">
        <v>32</v>
      </c>
      <c r="J527" s="75" t="s">
        <v>1512</v>
      </c>
      <c r="K527" s="75" t="str">
        <f t="shared" si="8"/>
        <v>03-2024</v>
      </c>
      <c r="L527" s="10" t="s">
        <v>2599</v>
      </c>
    </row>
    <row r="528" spans="1:12" s="10" customFormat="1" ht="12" x14ac:dyDescent="0.3">
      <c r="A528" s="75">
        <v>7569</v>
      </c>
      <c r="B528" s="75" t="s">
        <v>124</v>
      </c>
      <c r="C528" s="75">
        <v>3588</v>
      </c>
      <c r="D528" s="75" t="s">
        <v>844</v>
      </c>
      <c r="E528" s="75" t="s">
        <v>1377</v>
      </c>
      <c r="F528" s="75" t="s">
        <v>1510</v>
      </c>
      <c r="G528" s="76">
        <v>45382</v>
      </c>
      <c r="H528" s="75" t="s">
        <v>73</v>
      </c>
      <c r="I528" s="75" t="s">
        <v>74</v>
      </c>
      <c r="J528" s="75" t="s">
        <v>1512</v>
      </c>
      <c r="K528" s="75" t="str">
        <f t="shared" si="8"/>
        <v>03-2024</v>
      </c>
      <c r="L528" s="10" t="s">
        <v>2599</v>
      </c>
    </row>
    <row r="529" spans="1:12" s="10" customFormat="1" ht="12" x14ac:dyDescent="0.3">
      <c r="A529" s="75">
        <v>2799</v>
      </c>
      <c r="B529" s="75" t="s">
        <v>823</v>
      </c>
      <c r="C529" s="75">
        <v>2815</v>
      </c>
      <c r="D529" s="75" t="s">
        <v>123</v>
      </c>
      <c r="E529" s="75" t="s">
        <v>1378</v>
      </c>
      <c r="F529" s="75" t="s">
        <v>1509</v>
      </c>
      <c r="G529" s="76">
        <v>45382</v>
      </c>
      <c r="H529" s="75" t="s">
        <v>73</v>
      </c>
      <c r="I529" s="75" t="s">
        <v>32</v>
      </c>
      <c r="J529" s="75" t="s">
        <v>1511</v>
      </c>
      <c r="K529" s="75" t="str">
        <f t="shared" si="8"/>
        <v>03-2024</v>
      </c>
      <c r="L529" s="10" t="s">
        <v>2599</v>
      </c>
    </row>
    <row r="530" spans="1:12" s="10" customFormat="1" ht="12" x14ac:dyDescent="0.3">
      <c r="A530" s="75">
        <v>3131</v>
      </c>
      <c r="B530" s="75" t="s">
        <v>845</v>
      </c>
      <c r="C530" s="75">
        <v>2799</v>
      </c>
      <c r="D530" s="75" t="s">
        <v>823</v>
      </c>
      <c r="E530" s="75" t="s">
        <v>1379</v>
      </c>
      <c r="F530" s="75" t="s">
        <v>1510</v>
      </c>
      <c r="G530" s="76">
        <v>45382</v>
      </c>
      <c r="H530" s="75" t="s">
        <v>73</v>
      </c>
      <c r="I530" s="75" t="s">
        <v>54</v>
      </c>
      <c r="J530" s="75" t="s">
        <v>1512</v>
      </c>
      <c r="K530" s="75" t="str">
        <f t="shared" si="8"/>
        <v>03-2024</v>
      </c>
      <c r="L530" s="10" t="s">
        <v>2599</v>
      </c>
    </row>
    <row r="531" spans="1:12" s="10" customFormat="1" ht="12" x14ac:dyDescent="0.3">
      <c r="A531" s="75">
        <v>3921</v>
      </c>
      <c r="B531" s="75" t="s">
        <v>841</v>
      </c>
      <c r="C531" s="75">
        <v>2799</v>
      </c>
      <c r="D531" s="75" t="s">
        <v>823</v>
      </c>
      <c r="E531" s="75" t="s">
        <v>1380</v>
      </c>
      <c r="F531" s="75" t="s">
        <v>1510</v>
      </c>
      <c r="G531" s="76">
        <v>45382</v>
      </c>
      <c r="H531" s="75" t="s">
        <v>73</v>
      </c>
      <c r="I531" s="75" t="s">
        <v>54</v>
      </c>
      <c r="J531" s="75" t="s">
        <v>1512</v>
      </c>
      <c r="K531" s="75" t="str">
        <f t="shared" si="8"/>
        <v>03-2024</v>
      </c>
      <c r="L531" s="10" t="s">
        <v>2599</v>
      </c>
    </row>
    <row r="532" spans="1:12" s="10" customFormat="1" ht="12" x14ac:dyDescent="0.3">
      <c r="A532" s="75">
        <v>7445</v>
      </c>
      <c r="B532" s="75" t="s">
        <v>118</v>
      </c>
      <c r="C532" s="75">
        <v>3588</v>
      </c>
      <c r="D532" s="75" t="s">
        <v>844</v>
      </c>
      <c r="E532" s="75" t="s">
        <v>1381</v>
      </c>
      <c r="F532" s="75" t="s">
        <v>1510</v>
      </c>
      <c r="G532" s="76">
        <v>45382</v>
      </c>
      <c r="H532" s="75" t="s">
        <v>73</v>
      </c>
      <c r="I532" s="75" t="s">
        <v>74</v>
      </c>
      <c r="J532" s="75" t="s">
        <v>1512</v>
      </c>
      <c r="K532" s="75" t="str">
        <f t="shared" si="8"/>
        <v>03-2024</v>
      </c>
      <c r="L532" s="10" t="s">
        <v>2599</v>
      </c>
    </row>
    <row r="533" spans="1:12" s="10" customFormat="1" ht="12" x14ac:dyDescent="0.3">
      <c r="A533" s="75">
        <v>3777</v>
      </c>
      <c r="B533" s="75" t="s">
        <v>842</v>
      </c>
      <c r="C533" s="75">
        <v>2799</v>
      </c>
      <c r="D533" s="75" t="s">
        <v>823</v>
      </c>
      <c r="E533" s="75" t="s">
        <v>1382</v>
      </c>
      <c r="F533" s="75" t="s">
        <v>1510</v>
      </c>
      <c r="G533" s="76">
        <v>45382</v>
      </c>
      <c r="H533" s="75" t="s">
        <v>73</v>
      </c>
      <c r="I533" s="75" t="s">
        <v>74</v>
      </c>
      <c r="J533" s="75" t="s">
        <v>1512</v>
      </c>
      <c r="K533" s="75" t="str">
        <f t="shared" si="8"/>
        <v>03-2024</v>
      </c>
      <c r="L533" s="10" t="s">
        <v>2599</v>
      </c>
    </row>
    <row r="534" spans="1:12" s="10" customFormat="1" ht="12" x14ac:dyDescent="0.3">
      <c r="A534" s="75">
        <v>7445</v>
      </c>
      <c r="B534" s="75" t="s">
        <v>118</v>
      </c>
      <c r="C534" s="75">
        <v>2799</v>
      </c>
      <c r="D534" s="75" t="s">
        <v>823</v>
      </c>
      <c r="E534" s="75" t="s">
        <v>1383</v>
      </c>
      <c r="F534" s="75" t="s">
        <v>1510</v>
      </c>
      <c r="G534" s="76">
        <v>45382</v>
      </c>
      <c r="H534" s="75" t="s">
        <v>73</v>
      </c>
      <c r="I534" s="75" t="s">
        <v>74</v>
      </c>
      <c r="J534" s="75" t="s">
        <v>1512</v>
      </c>
      <c r="K534" s="75" t="str">
        <f t="shared" si="8"/>
        <v>03-2024</v>
      </c>
      <c r="L534" s="10" t="s">
        <v>2599</v>
      </c>
    </row>
    <row r="535" spans="1:12" s="10" customFormat="1" ht="12" x14ac:dyDescent="0.3">
      <c r="A535" s="75">
        <v>2815</v>
      </c>
      <c r="B535" s="75" t="s">
        <v>123</v>
      </c>
      <c r="C535" s="75">
        <v>2799</v>
      </c>
      <c r="D535" s="75" t="s">
        <v>823</v>
      </c>
      <c r="E535" s="75" t="s">
        <v>1384</v>
      </c>
      <c r="F535" s="75" t="s">
        <v>1510</v>
      </c>
      <c r="G535" s="76">
        <v>45382</v>
      </c>
      <c r="H535" s="75" t="s">
        <v>73</v>
      </c>
      <c r="I535" s="75" t="s">
        <v>74</v>
      </c>
      <c r="J535" s="75" t="s">
        <v>1512</v>
      </c>
      <c r="K535" s="75" t="str">
        <f t="shared" si="8"/>
        <v>03-2024</v>
      </c>
      <c r="L535" s="10" t="s">
        <v>2599</v>
      </c>
    </row>
    <row r="536" spans="1:12" s="10" customFormat="1" ht="12" x14ac:dyDescent="0.3">
      <c r="A536" s="75">
        <v>2734</v>
      </c>
      <c r="B536" s="75" t="s">
        <v>112</v>
      </c>
      <c r="C536" s="75">
        <v>4004</v>
      </c>
      <c r="D536" s="75" t="s">
        <v>172</v>
      </c>
      <c r="E536" s="75" t="s">
        <v>1385</v>
      </c>
      <c r="F536" s="75" t="s">
        <v>1510</v>
      </c>
      <c r="G536" s="76">
        <v>45381</v>
      </c>
      <c r="H536" s="75" t="s">
        <v>16</v>
      </c>
      <c r="I536" s="75" t="s">
        <v>54</v>
      </c>
      <c r="J536" s="75" t="s">
        <v>1512</v>
      </c>
      <c r="K536" s="75" t="str">
        <f t="shared" si="8"/>
        <v>03-2024</v>
      </c>
      <c r="L536" s="10" t="s">
        <v>2599</v>
      </c>
    </row>
    <row r="537" spans="1:12" s="10" customFormat="1" ht="12" x14ac:dyDescent="0.3">
      <c r="A537" s="75">
        <v>7667</v>
      </c>
      <c r="B537" s="75" t="s">
        <v>57</v>
      </c>
      <c r="C537" s="75">
        <v>4004</v>
      </c>
      <c r="D537" s="75" t="s">
        <v>172</v>
      </c>
      <c r="E537" s="75" t="s">
        <v>1386</v>
      </c>
      <c r="F537" s="75" t="s">
        <v>1510</v>
      </c>
      <c r="G537" s="76">
        <v>45381</v>
      </c>
      <c r="H537" s="75" t="s">
        <v>16</v>
      </c>
      <c r="I537" s="75" t="s">
        <v>54</v>
      </c>
      <c r="J537" s="75" t="s">
        <v>1512</v>
      </c>
      <c r="K537" s="75" t="str">
        <f t="shared" si="8"/>
        <v>03-2024</v>
      </c>
      <c r="L537" s="10" t="s">
        <v>2599</v>
      </c>
    </row>
    <row r="538" spans="1:12" s="10" customFormat="1" ht="12" x14ac:dyDescent="0.3">
      <c r="A538" s="75">
        <v>7479</v>
      </c>
      <c r="B538" s="75" t="s">
        <v>814</v>
      </c>
      <c r="C538" s="75">
        <v>4004</v>
      </c>
      <c r="D538" s="75" t="s">
        <v>172</v>
      </c>
      <c r="E538" s="75" t="s">
        <v>1387</v>
      </c>
      <c r="F538" s="75" t="s">
        <v>1510</v>
      </c>
      <c r="G538" s="76">
        <v>45381</v>
      </c>
      <c r="H538" s="75" t="s">
        <v>16</v>
      </c>
      <c r="I538" s="75" t="s">
        <v>54</v>
      </c>
      <c r="J538" s="75" t="s">
        <v>1512</v>
      </c>
      <c r="K538" s="75" t="str">
        <f t="shared" si="8"/>
        <v>03-2024</v>
      </c>
      <c r="L538" s="10" t="s">
        <v>2599</v>
      </c>
    </row>
    <row r="539" spans="1:12" s="10" customFormat="1" ht="12" x14ac:dyDescent="0.3">
      <c r="A539" s="75">
        <v>7426</v>
      </c>
      <c r="B539" s="75" t="s">
        <v>19</v>
      </c>
      <c r="C539" s="75">
        <v>7024</v>
      </c>
      <c r="D539" s="75" t="s">
        <v>362</v>
      </c>
      <c r="E539" s="75" t="s">
        <v>1388</v>
      </c>
      <c r="F539" s="75" t="s">
        <v>1510</v>
      </c>
      <c r="G539" s="76">
        <v>45380</v>
      </c>
      <c r="H539" s="75" t="s">
        <v>21</v>
      </c>
      <c r="I539" s="75" t="s">
        <v>10</v>
      </c>
      <c r="J539" s="75" t="s">
        <v>1512</v>
      </c>
      <c r="K539" s="75" t="str">
        <f t="shared" si="8"/>
        <v>03-2024</v>
      </c>
      <c r="L539" s="10" t="s">
        <v>2599</v>
      </c>
    </row>
    <row r="540" spans="1:12" s="10" customFormat="1" ht="12" x14ac:dyDescent="0.3">
      <c r="A540" s="75">
        <v>7517</v>
      </c>
      <c r="B540" s="75" t="s">
        <v>108</v>
      </c>
      <c r="C540" s="75">
        <v>7024</v>
      </c>
      <c r="D540" s="75" t="s">
        <v>362</v>
      </c>
      <c r="E540" s="75" t="s">
        <v>1389</v>
      </c>
      <c r="F540" s="75" t="s">
        <v>1510</v>
      </c>
      <c r="G540" s="76">
        <v>45380</v>
      </c>
      <c r="H540" s="75" t="s">
        <v>9</v>
      </c>
      <c r="I540" s="75" t="s">
        <v>10</v>
      </c>
      <c r="J540" s="75" t="s">
        <v>1512</v>
      </c>
      <c r="K540" s="75" t="str">
        <f t="shared" si="8"/>
        <v>03-2024</v>
      </c>
      <c r="L540" s="10" t="s">
        <v>2599</v>
      </c>
    </row>
    <row r="541" spans="1:12" s="10" customFormat="1" ht="12" x14ac:dyDescent="0.3">
      <c r="A541" s="75">
        <v>3447</v>
      </c>
      <c r="B541" s="75" t="s">
        <v>179</v>
      </c>
      <c r="C541" s="75">
        <v>7024</v>
      </c>
      <c r="D541" s="75" t="s">
        <v>362</v>
      </c>
      <c r="E541" s="75" t="s">
        <v>1390</v>
      </c>
      <c r="F541" s="75" t="s">
        <v>1510</v>
      </c>
      <c r="G541" s="76">
        <v>45380</v>
      </c>
      <c r="H541" s="75" t="s">
        <v>9</v>
      </c>
      <c r="I541" s="75" t="s">
        <v>54</v>
      </c>
      <c r="J541" s="75" t="s">
        <v>1512</v>
      </c>
      <c r="K541" s="75" t="str">
        <f t="shared" si="8"/>
        <v>03-2024</v>
      </c>
      <c r="L541" s="10" t="s">
        <v>2599</v>
      </c>
    </row>
    <row r="542" spans="1:12" s="10" customFormat="1" ht="12" x14ac:dyDescent="0.3">
      <c r="A542" s="75">
        <v>4068</v>
      </c>
      <c r="B542" s="75" t="s">
        <v>178</v>
      </c>
      <c r="C542" s="75">
        <v>7024</v>
      </c>
      <c r="D542" s="75" t="s">
        <v>362</v>
      </c>
      <c r="E542" s="75" t="s">
        <v>1391</v>
      </c>
      <c r="F542" s="75" t="s">
        <v>1510</v>
      </c>
      <c r="G542" s="76">
        <v>45380</v>
      </c>
      <c r="H542" s="75" t="s">
        <v>9</v>
      </c>
      <c r="I542" s="75" t="s">
        <v>54</v>
      </c>
      <c r="J542" s="75" t="s">
        <v>1512</v>
      </c>
      <c r="K542" s="75" t="str">
        <f t="shared" si="8"/>
        <v>03-2024</v>
      </c>
      <c r="L542" s="10" t="s">
        <v>2599</v>
      </c>
    </row>
    <row r="543" spans="1:12" s="10" customFormat="1" ht="12" x14ac:dyDescent="0.3">
      <c r="A543" s="75">
        <v>5714</v>
      </c>
      <c r="B543" s="75" t="s">
        <v>116</v>
      </c>
      <c r="C543" s="75">
        <v>7024</v>
      </c>
      <c r="D543" s="75" t="s">
        <v>362</v>
      </c>
      <c r="E543" s="75" t="s">
        <v>1392</v>
      </c>
      <c r="F543" s="75" t="s">
        <v>1510</v>
      </c>
      <c r="G543" s="76">
        <v>45380</v>
      </c>
      <c r="H543" s="75" t="s">
        <v>9</v>
      </c>
      <c r="I543" s="75" t="s">
        <v>54</v>
      </c>
      <c r="J543" s="75" t="s">
        <v>1512</v>
      </c>
      <c r="K543" s="75" t="str">
        <f t="shared" si="8"/>
        <v>03-2024</v>
      </c>
      <c r="L543" s="10" t="s">
        <v>2599</v>
      </c>
    </row>
    <row r="544" spans="1:12" s="10" customFormat="1" ht="12" x14ac:dyDescent="0.3">
      <c r="A544" s="75">
        <v>7808</v>
      </c>
      <c r="B544" s="75" t="s">
        <v>177</v>
      </c>
      <c r="C544" s="75">
        <v>6623</v>
      </c>
      <c r="D544" s="75" t="s">
        <v>492</v>
      </c>
      <c r="E544" s="75" t="s">
        <v>1393</v>
      </c>
      <c r="F544" s="75" t="s">
        <v>1510</v>
      </c>
      <c r="G544" s="76">
        <v>45379</v>
      </c>
      <c r="H544" s="75" t="s">
        <v>21</v>
      </c>
      <c r="I544" s="75" t="s">
        <v>10</v>
      </c>
      <c r="J544" s="75" t="s">
        <v>1512</v>
      </c>
      <c r="K544" s="75" t="str">
        <f t="shared" si="8"/>
        <v>03-2024</v>
      </c>
      <c r="L544" s="10" t="s">
        <v>2599</v>
      </c>
    </row>
    <row r="545" spans="1:12" s="10" customFormat="1" ht="12" x14ac:dyDescent="0.3">
      <c r="A545" s="75">
        <v>2826</v>
      </c>
      <c r="B545" s="75" t="s">
        <v>169</v>
      </c>
      <c r="C545" s="75">
        <v>7024</v>
      </c>
      <c r="D545" s="75" t="s">
        <v>362</v>
      </c>
      <c r="E545" s="75" t="s">
        <v>1394</v>
      </c>
      <c r="F545" s="75" t="s">
        <v>1510</v>
      </c>
      <c r="G545" s="76">
        <v>45379</v>
      </c>
      <c r="H545" s="75" t="s">
        <v>9</v>
      </c>
      <c r="I545" s="75" t="s">
        <v>54</v>
      </c>
      <c r="J545" s="75" t="s">
        <v>1512</v>
      </c>
      <c r="K545" s="75" t="str">
        <f t="shared" si="8"/>
        <v>03-2024</v>
      </c>
      <c r="L545" s="10" t="s">
        <v>2599</v>
      </c>
    </row>
    <row r="546" spans="1:12" s="10" customFormat="1" ht="12" x14ac:dyDescent="0.3">
      <c r="A546" s="75">
        <v>7292</v>
      </c>
      <c r="B546" s="75" t="s">
        <v>259</v>
      </c>
      <c r="C546" s="75">
        <v>5580</v>
      </c>
      <c r="D546" s="75" t="s">
        <v>693</v>
      </c>
      <c r="E546" s="75" t="s">
        <v>1395</v>
      </c>
      <c r="F546" s="75" t="s">
        <v>1510</v>
      </c>
      <c r="G546" s="76">
        <v>45378</v>
      </c>
      <c r="H546" s="75" t="s">
        <v>35</v>
      </c>
      <c r="I546" s="75" t="s">
        <v>32</v>
      </c>
      <c r="J546" s="75" t="s">
        <v>1512</v>
      </c>
      <c r="K546" s="75" t="str">
        <f t="shared" si="8"/>
        <v>03-2024</v>
      </c>
      <c r="L546" s="10" t="s">
        <v>2599</v>
      </c>
    </row>
    <row r="547" spans="1:12" s="10" customFormat="1" ht="12" x14ac:dyDescent="0.3">
      <c r="A547" s="75">
        <v>7253</v>
      </c>
      <c r="B547" s="75" t="s">
        <v>689</v>
      </c>
      <c r="C547" s="75">
        <v>5580</v>
      </c>
      <c r="D547" s="75" t="s">
        <v>693</v>
      </c>
      <c r="E547" s="75" t="s">
        <v>1396</v>
      </c>
      <c r="F547" s="75" t="s">
        <v>1510</v>
      </c>
      <c r="G547" s="76">
        <v>45378</v>
      </c>
      <c r="H547" s="75" t="s">
        <v>35</v>
      </c>
      <c r="I547" s="75" t="s">
        <v>32</v>
      </c>
      <c r="J547" s="75" t="s">
        <v>1512</v>
      </c>
      <c r="K547" s="75" t="str">
        <f t="shared" si="8"/>
        <v>03-2024</v>
      </c>
      <c r="L547" s="10" t="s">
        <v>2599</v>
      </c>
    </row>
    <row r="548" spans="1:12" s="10" customFormat="1" ht="12" x14ac:dyDescent="0.3">
      <c r="A548" s="75">
        <v>5714</v>
      </c>
      <c r="B548" s="75" t="s">
        <v>116</v>
      </c>
      <c r="C548" s="75">
        <v>5428</v>
      </c>
      <c r="D548" s="75" t="s">
        <v>647</v>
      </c>
      <c r="E548" s="75" t="s">
        <v>1397</v>
      </c>
      <c r="F548" s="75" t="s">
        <v>1510</v>
      </c>
      <c r="G548" s="76">
        <v>45377</v>
      </c>
      <c r="H548" s="75" t="s">
        <v>9</v>
      </c>
      <c r="I548" s="75" t="s">
        <v>54</v>
      </c>
      <c r="J548" s="75" t="s">
        <v>1512</v>
      </c>
      <c r="K548" s="75" t="str">
        <f t="shared" si="8"/>
        <v>03-2024</v>
      </c>
      <c r="L548" s="10" t="s">
        <v>2599</v>
      </c>
    </row>
    <row r="549" spans="1:12" s="10" customFormat="1" ht="12" x14ac:dyDescent="0.3">
      <c r="A549" s="75">
        <v>4068</v>
      </c>
      <c r="B549" s="75" t="s">
        <v>178</v>
      </c>
      <c r="C549" s="75">
        <v>5428</v>
      </c>
      <c r="D549" s="75" t="s">
        <v>647</v>
      </c>
      <c r="E549" s="75" t="s">
        <v>1398</v>
      </c>
      <c r="F549" s="75" t="s">
        <v>1510</v>
      </c>
      <c r="G549" s="76">
        <v>45377</v>
      </c>
      <c r="H549" s="75" t="s">
        <v>9</v>
      </c>
      <c r="I549" s="75" t="s">
        <v>54</v>
      </c>
      <c r="J549" s="75" t="s">
        <v>1512</v>
      </c>
      <c r="K549" s="75" t="str">
        <f t="shared" si="8"/>
        <v>03-2024</v>
      </c>
      <c r="L549" s="10" t="s">
        <v>2599</v>
      </c>
    </row>
    <row r="550" spans="1:12" s="10" customFormat="1" ht="12" x14ac:dyDescent="0.3">
      <c r="A550" s="75">
        <v>4068</v>
      </c>
      <c r="B550" s="75" t="s">
        <v>178</v>
      </c>
      <c r="C550" s="75">
        <v>5428</v>
      </c>
      <c r="D550" s="75" t="s">
        <v>647</v>
      </c>
      <c r="E550" s="75" t="s">
        <v>1399</v>
      </c>
      <c r="F550" s="75" t="s">
        <v>1510</v>
      </c>
      <c r="G550" s="76">
        <v>45377</v>
      </c>
      <c r="H550" s="75" t="s">
        <v>9</v>
      </c>
      <c r="I550" s="75" t="s">
        <v>54</v>
      </c>
      <c r="J550" s="75" t="s">
        <v>1512</v>
      </c>
      <c r="K550" s="75" t="str">
        <f t="shared" si="8"/>
        <v>03-2024</v>
      </c>
      <c r="L550" s="10" t="s">
        <v>2599</v>
      </c>
    </row>
    <row r="551" spans="1:12" s="10" customFormat="1" ht="12" x14ac:dyDescent="0.3">
      <c r="A551" s="75">
        <v>7594</v>
      </c>
      <c r="B551" s="75" t="s">
        <v>846</v>
      </c>
      <c r="C551" s="75">
        <v>4004</v>
      </c>
      <c r="D551" s="75" t="s">
        <v>172</v>
      </c>
      <c r="E551" s="75" t="s">
        <v>1400</v>
      </c>
      <c r="F551" s="75" t="s">
        <v>1510</v>
      </c>
      <c r="G551" s="76">
        <v>45374</v>
      </c>
      <c r="H551" s="75" t="s">
        <v>53</v>
      </c>
      <c r="I551" s="75" t="s">
        <v>54</v>
      </c>
      <c r="J551" s="75" t="s">
        <v>1512</v>
      </c>
      <c r="K551" s="75" t="str">
        <f t="shared" si="8"/>
        <v>03-2024</v>
      </c>
      <c r="L551" s="10" t="s">
        <v>2599</v>
      </c>
    </row>
    <row r="552" spans="1:12" s="10" customFormat="1" ht="12" x14ac:dyDescent="0.3">
      <c r="A552" s="75">
        <v>7197</v>
      </c>
      <c r="B552" s="75" t="s">
        <v>800</v>
      </c>
      <c r="C552" s="75">
        <v>4004</v>
      </c>
      <c r="D552" s="75" t="s">
        <v>172</v>
      </c>
      <c r="E552" s="75" t="s">
        <v>1401</v>
      </c>
      <c r="F552" s="75" t="s">
        <v>1510</v>
      </c>
      <c r="G552" s="76">
        <v>45372</v>
      </c>
      <c r="H552" s="75" t="s">
        <v>24</v>
      </c>
      <c r="I552" s="75" t="s">
        <v>10</v>
      </c>
      <c r="J552" s="75" t="s">
        <v>1512</v>
      </c>
      <c r="K552" s="75" t="str">
        <f t="shared" si="8"/>
        <v>03-2024</v>
      </c>
      <c r="L552" s="10" t="s">
        <v>2599</v>
      </c>
    </row>
    <row r="553" spans="1:12" s="10" customFormat="1" ht="12" x14ac:dyDescent="0.3">
      <c r="A553" s="75">
        <v>6519</v>
      </c>
      <c r="B553" s="75" t="s">
        <v>748</v>
      </c>
      <c r="C553" s="75">
        <v>7237</v>
      </c>
      <c r="D553" s="75" t="s">
        <v>289</v>
      </c>
      <c r="E553" s="75" t="s">
        <v>1402</v>
      </c>
      <c r="F553" s="75" t="s">
        <v>1510</v>
      </c>
      <c r="G553" s="76">
        <v>45372</v>
      </c>
      <c r="H553" s="75" t="s">
        <v>395</v>
      </c>
      <c r="I553" s="75" t="s">
        <v>10</v>
      </c>
      <c r="J553" s="75" t="s">
        <v>1512</v>
      </c>
      <c r="K553" s="75" t="str">
        <f t="shared" si="8"/>
        <v>03-2024</v>
      </c>
      <c r="L553" s="10" t="s">
        <v>2599</v>
      </c>
    </row>
    <row r="554" spans="1:12" s="10" customFormat="1" ht="12" x14ac:dyDescent="0.3">
      <c r="A554" s="75">
        <v>7360</v>
      </c>
      <c r="B554" s="75" t="s">
        <v>699</v>
      </c>
      <c r="C554" s="75">
        <v>7237</v>
      </c>
      <c r="D554" s="75" t="s">
        <v>289</v>
      </c>
      <c r="E554" s="75" t="s">
        <v>1403</v>
      </c>
      <c r="F554" s="75" t="s">
        <v>1510</v>
      </c>
      <c r="G554" s="76">
        <v>45372</v>
      </c>
      <c r="H554" s="75" t="s">
        <v>395</v>
      </c>
      <c r="I554" s="75" t="s">
        <v>10</v>
      </c>
      <c r="J554" s="75" t="s">
        <v>1512</v>
      </c>
      <c r="K554" s="75" t="str">
        <f t="shared" si="8"/>
        <v>03-2024</v>
      </c>
      <c r="L554" s="10" t="s">
        <v>2599</v>
      </c>
    </row>
    <row r="555" spans="1:12" s="10" customFormat="1" ht="12" x14ac:dyDescent="0.3">
      <c r="A555" s="75">
        <v>7197</v>
      </c>
      <c r="B555" s="75" t="s">
        <v>800</v>
      </c>
      <c r="C555" s="75">
        <v>7398</v>
      </c>
      <c r="D555" s="75" t="s">
        <v>645</v>
      </c>
      <c r="E555" s="75" t="s">
        <v>1404</v>
      </c>
      <c r="F555" s="75" t="s">
        <v>1510</v>
      </c>
      <c r="G555" s="76">
        <v>45371</v>
      </c>
      <c r="H555" s="75" t="s">
        <v>24</v>
      </c>
      <c r="I555" s="75" t="s">
        <v>10</v>
      </c>
      <c r="J555" s="75" t="s">
        <v>1512</v>
      </c>
      <c r="K555" s="75" t="str">
        <f t="shared" si="8"/>
        <v>03-2024</v>
      </c>
      <c r="L555" s="10" t="s">
        <v>2599</v>
      </c>
    </row>
    <row r="556" spans="1:12" s="10" customFormat="1" ht="12" x14ac:dyDescent="0.3">
      <c r="A556" s="75">
        <v>7462</v>
      </c>
      <c r="B556" s="75" t="s">
        <v>628</v>
      </c>
      <c r="C556" s="75">
        <v>7398</v>
      </c>
      <c r="D556" s="75" t="s">
        <v>645</v>
      </c>
      <c r="E556" s="75" t="s">
        <v>1405</v>
      </c>
      <c r="F556" s="75" t="s">
        <v>1510</v>
      </c>
      <c r="G556" s="76">
        <v>45371</v>
      </c>
      <c r="H556" s="75" t="s">
        <v>53</v>
      </c>
      <c r="I556" s="75" t="s">
        <v>74</v>
      </c>
      <c r="J556" s="75" t="s">
        <v>1512</v>
      </c>
      <c r="K556" s="75" t="str">
        <f t="shared" si="8"/>
        <v>03-2024</v>
      </c>
      <c r="L556" s="10" t="s">
        <v>2599</v>
      </c>
    </row>
    <row r="557" spans="1:12" s="10" customFormat="1" ht="12" x14ac:dyDescent="0.3">
      <c r="A557" s="75">
        <v>6289</v>
      </c>
      <c r="B557" s="75" t="s">
        <v>641</v>
      </c>
      <c r="C557" s="75">
        <v>7398</v>
      </c>
      <c r="D557" s="75" t="s">
        <v>645</v>
      </c>
      <c r="E557" s="75" t="s">
        <v>1406</v>
      </c>
      <c r="F557" s="75" t="s">
        <v>1510</v>
      </c>
      <c r="G557" s="76">
        <v>45371</v>
      </c>
      <c r="H557" s="75" t="s">
        <v>9</v>
      </c>
      <c r="I557" s="75" t="s">
        <v>10</v>
      </c>
      <c r="J557" s="75" t="s">
        <v>1512</v>
      </c>
      <c r="K557" s="75" t="str">
        <f t="shared" si="8"/>
        <v>03-2024</v>
      </c>
      <c r="L557" s="10" t="s">
        <v>2599</v>
      </c>
    </row>
    <row r="558" spans="1:12" s="10" customFormat="1" ht="12" x14ac:dyDescent="0.3">
      <c r="A558" s="75">
        <v>7756</v>
      </c>
      <c r="B558" s="75" t="s">
        <v>65</v>
      </c>
      <c r="C558" s="75">
        <v>6623</v>
      </c>
      <c r="D558" s="75" t="s">
        <v>492</v>
      </c>
      <c r="E558" s="75" t="s">
        <v>1407</v>
      </c>
      <c r="F558" s="75" t="s">
        <v>1510</v>
      </c>
      <c r="G558" s="76">
        <v>45371</v>
      </c>
      <c r="H558" s="75" t="s">
        <v>9</v>
      </c>
      <c r="I558" s="75" t="s">
        <v>54</v>
      </c>
      <c r="J558" s="75" t="s">
        <v>1512</v>
      </c>
      <c r="K558" s="75" t="str">
        <f t="shared" si="8"/>
        <v>03-2024</v>
      </c>
      <c r="L558" s="10" t="s">
        <v>2599</v>
      </c>
    </row>
    <row r="559" spans="1:12" s="10" customFormat="1" ht="12" x14ac:dyDescent="0.3">
      <c r="A559" s="75">
        <v>4004</v>
      </c>
      <c r="B559" s="75" t="s">
        <v>172</v>
      </c>
      <c r="C559" s="75">
        <v>6623</v>
      </c>
      <c r="D559" s="75" t="s">
        <v>492</v>
      </c>
      <c r="E559" s="75" t="s">
        <v>1408</v>
      </c>
      <c r="F559" s="75" t="s">
        <v>1510</v>
      </c>
      <c r="G559" s="76">
        <v>45371</v>
      </c>
      <c r="H559" s="75" t="s">
        <v>9</v>
      </c>
      <c r="I559" s="75" t="s">
        <v>54</v>
      </c>
      <c r="J559" s="75" t="s">
        <v>1512</v>
      </c>
      <c r="K559" s="75" t="str">
        <f t="shared" si="8"/>
        <v>03-2024</v>
      </c>
      <c r="L559" s="10" t="s">
        <v>2599</v>
      </c>
    </row>
    <row r="560" spans="1:12" s="10" customFormat="1" ht="12" x14ac:dyDescent="0.3">
      <c r="A560" s="75">
        <v>5323</v>
      </c>
      <c r="B560" s="75" t="s">
        <v>707</v>
      </c>
      <c r="C560" s="75">
        <v>5252</v>
      </c>
      <c r="D560" s="75" t="s">
        <v>476</v>
      </c>
      <c r="E560" s="75" t="s">
        <v>1409</v>
      </c>
      <c r="F560" s="75" t="s">
        <v>1510</v>
      </c>
      <c r="G560" s="76">
        <v>45371</v>
      </c>
      <c r="H560" s="75" t="s">
        <v>53</v>
      </c>
      <c r="I560" s="75" t="s">
        <v>54</v>
      </c>
      <c r="J560" s="75" t="s">
        <v>1512</v>
      </c>
      <c r="K560" s="75" t="str">
        <f t="shared" si="8"/>
        <v>03-2024</v>
      </c>
      <c r="L560" s="10" t="s">
        <v>2599</v>
      </c>
    </row>
    <row r="561" spans="1:12" s="10" customFormat="1" ht="12" x14ac:dyDescent="0.3">
      <c r="A561" s="75">
        <v>4935</v>
      </c>
      <c r="B561" s="75" t="s">
        <v>753</v>
      </c>
      <c r="C561" s="75">
        <v>1795</v>
      </c>
      <c r="D561" s="75" t="s">
        <v>907</v>
      </c>
      <c r="E561" s="75" t="s">
        <v>1410</v>
      </c>
      <c r="F561" s="75" t="s">
        <v>1510</v>
      </c>
      <c r="G561" s="76">
        <v>45370</v>
      </c>
      <c r="H561" s="75" t="s">
        <v>35</v>
      </c>
      <c r="I561" s="75" t="s">
        <v>54</v>
      </c>
      <c r="J561" s="75" t="s">
        <v>1512</v>
      </c>
      <c r="K561" s="75" t="str">
        <f t="shared" si="8"/>
        <v>03-2024</v>
      </c>
      <c r="L561" s="10" t="s">
        <v>2599</v>
      </c>
    </row>
    <row r="562" spans="1:12" s="10" customFormat="1" ht="12" x14ac:dyDescent="0.3">
      <c r="A562" s="75">
        <v>6386</v>
      </c>
      <c r="B562" s="75" t="s">
        <v>830</v>
      </c>
      <c r="C562" s="75">
        <v>7400</v>
      </c>
      <c r="D562" s="75" t="s">
        <v>487</v>
      </c>
      <c r="E562" s="75" t="s">
        <v>1411</v>
      </c>
      <c r="F562" s="75" t="s">
        <v>1510</v>
      </c>
      <c r="G562" s="76">
        <v>45370</v>
      </c>
      <c r="H562" s="75" t="s">
        <v>53</v>
      </c>
      <c r="I562" s="75" t="s">
        <v>54</v>
      </c>
      <c r="J562" s="75" t="s">
        <v>1512</v>
      </c>
      <c r="K562" s="75" t="str">
        <f t="shared" si="8"/>
        <v>03-2024</v>
      </c>
      <c r="L562" s="10" t="s">
        <v>2599</v>
      </c>
    </row>
    <row r="563" spans="1:12" s="10" customFormat="1" ht="12" x14ac:dyDescent="0.3">
      <c r="A563" s="75">
        <v>1313</v>
      </c>
      <c r="B563" s="75" t="s">
        <v>61</v>
      </c>
      <c r="C563" s="75">
        <v>7400</v>
      </c>
      <c r="D563" s="75" t="s">
        <v>487</v>
      </c>
      <c r="E563" s="75" t="s">
        <v>1412</v>
      </c>
      <c r="F563" s="75" t="s">
        <v>1510</v>
      </c>
      <c r="G563" s="76">
        <v>45370</v>
      </c>
      <c r="H563" s="75" t="s">
        <v>53</v>
      </c>
      <c r="I563" s="75" t="s">
        <v>54</v>
      </c>
      <c r="J563" s="75" t="s">
        <v>1512</v>
      </c>
      <c r="K563" s="75" t="str">
        <f t="shared" si="8"/>
        <v>03-2024</v>
      </c>
      <c r="L563" s="10" t="s">
        <v>2599</v>
      </c>
    </row>
    <row r="564" spans="1:12" s="10" customFormat="1" ht="12" x14ac:dyDescent="0.3">
      <c r="A564" s="75">
        <v>4922</v>
      </c>
      <c r="B564" s="75" t="s">
        <v>849</v>
      </c>
      <c r="C564" s="75">
        <v>2166</v>
      </c>
      <c r="D564" s="75" t="s">
        <v>897</v>
      </c>
      <c r="E564" s="75" t="s">
        <v>1413</v>
      </c>
      <c r="F564" s="75" t="s">
        <v>1510</v>
      </c>
      <c r="G564" s="76">
        <v>45370</v>
      </c>
      <c r="H564" s="75" t="s">
        <v>40</v>
      </c>
      <c r="I564" s="75" t="s">
        <v>251</v>
      </c>
      <c r="J564" s="75" t="s">
        <v>1512</v>
      </c>
      <c r="K564" s="75" t="str">
        <f t="shared" si="8"/>
        <v>03-2024</v>
      </c>
      <c r="L564" s="10" t="s">
        <v>2599</v>
      </c>
    </row>
    <row r="565" spans="1:12" s="10" customFormat="1" ht="12" x14ac:dyDescent="0.3">
      <c r="A565" s="75">
        <v>4369</v>
      </c>
      <c r="B565" s="75" t="s">
        <v>850</v>
      </c>
      <c r="C565" s="75">
        <v>2166</v>
      </c>
      <c r="D565" s="75" t="s">
        <v>897</v>
      </c>
      <c r="E565" s="75" t="s">
        <v>1413</v>
      </c>
      <c r="F565" s="75" t="s">
        <v>1510</v>
      </c>
      <c r="G565" s="76">
        <v>45370</v>
      </c>
      <c r="H565" s="75" t="s">
        <v>40</v>
      </c>
      <c r="I565" s="75" t="s">
        <v>251</v>
      </c>
      <c r="J565" s="75" t="s">
        <v>1512</v>
      </c>
      <c r="K565" s="75" t="str">
        <f t="shared" si="8"/>
        <v>03-2024</v>
      </c>
      <c r="L565" s="10" t="s">
        <v>2599</v>
      </c>
    </row>
    <row r="566" spans="1:12" s="10" customFormat="1" ht="12" x14ac:dyDescent="0.3">
      <c r="A566" s="75">
        <v>7576</v>
      </c>
      <c r="B566" s="75" t="s">
        <v>422</v>
      </c>
      <c r="C566" s="75">
        <v>7655</v>
      </c>
      <c r="D566" s="75" t="s">
        <v>402</v>
      </c>
      <c r="E566" s="75" t="s">
        <v>1414</v>
      </c>
      <c r="F566" s="75" t="s">
        <v>1510</v>
      </c>
      <c r="G566" s="76">
        <v>45369</v>
      </c>
      <c r="H566" s="75" t="s">
        <v>73</v>
      </c>
      <c r="I566" s="75" t="s">
        <v>32</v>
      </c>
      <c r="J566" s="75" t="s">
        <v>1512</v>
      </c>
      <c r="K566" s="75" t="str">
        <f t="shared" si="8"/>
        <v>03-2024</v>
      </c>
      <c r="L566" s="10" t="s">
        <v>2599</v>
      </c>
    </row>
    <row r="567" spans="1:12" s="10" customFormat="1" ht="12" x14ac:dyDescent="0.3">
      <c r="A567" s="75">
        <v>5387</v>
      </c>
      <c r="B567" s="75" t="s">
        <v>807</v>
      </c>
      <c r="C567" s="75">
        <v>4004</v>
      </c>
      <c r="D567" s="75" t="s">
        <v>172</v>
      </c>
      <c r="E567" s="75" t="s">
        <v>1415</v>
      </c>
      <c r="F567" s="75" t="s">
        <v>1510</v>
      </c>
      <c r="G567" s="76">
        <v>45369</v>
      </c>
      <c r="H567" s="75" t="s">
        <v>73</v>
      </c>
      <c r="I567" s="75" t="s">
        <v>54</v>
      </c>
      <c r="J567" s="75" t="s">
        <v>1512</v>
      </c>
      <c r="K567" s="75" t="str">
        <f t="shared" si="8"/>
        <v>03-2024</v>
      </c>
      <c r="L567" s="10" t="s">
        <v>2599</v>
      </c>
    </row>
    <row r="568" spans="1:12" s="10" customFormat="1" ht="12" x14ac:dyDescent="0.3">
      <c r="A568" s="75">
        <v>4937</v>
      </c>
      <c r="B568" s="75" t="s">
        <v>127</v>
      </c>
      <c r="C568" s="75">
        <v>4004</v>
      </c>
      <c r="D568" s="75" t="s">
        <v>172</v>
      </c>
      <c r="E568" s="75" t="s">
        <v>1416</v>
      </c>
      <c r="F568" s="75" t="s">
        <v>1510</v>
      </c>
      <c r="G568" s="76">
        <v>45369</v>
      </c>
      <c r="H568" s="75" t="s">
        <v>53</v>
      </c>
      <c r="I568" s="75" t="s">
        <v>54</v>
      </c>
      <c r="J568" s="75" t="s">
        <v>1512</v>
      </c>
      <c r="K568" s="75" t="str">
        <f t="shared" si="8"/>
        <v>03-2024</v>
      </c>
      <c r="L568" s="10" t="s">
        <v>2599</v>
      </c>
    </row>
    <row r="569" spans="1:12" s="10" customFormat="1" ht="12" x14ac:dyDescent="0.3">
      <c r="A569" s="75">
        <v>3991</v>
      </c>
      <c r="B569" s="75" t="s">
        <v>851</v>
      </c>
      <c r="C569" s="75">
        <v>2898</v>
      </c>
      <c r="D569" s="75" t="s">
        <v>838</v>
      </c>
      <c r="E569" s="75" t="s">
        <v>1417</v>
      </c>
      <c r="F569" s="75" t="s">
        <v>1510</v>
      </c>
      <c r="G569" s="76">
        <v>45369</v>
      </c>
      <c r="H569" s="75" t="s">
        <v>40</v>
      </c>
      <c r="I569" s="75" t="s">
        <v>32</v>
      </c>
      <c r="J569" s="75" t="s">
        <v>1512</v>
      </c>
      <c r="K569" s="75" t="str">
        <f t="shared" si="8"/>
        <v>03-2024</v>
      </c>
      <c r="L569" s="10" t="s">
        <v>2599</v>
      </c>
    </row>
    <row r="570" spans="1:12" s="10" customFormat="1" ht="12" x14ac:dyDescent="0.3">
      <c r="A570" s="75">
        <v>3926</v>
      </c>
      <c r="B570" s="75" t="s">
        <v>852</v>
      </c>
      <c r="C570" s="75">
        <v>2898</v>
      </c>
      <c r="D570" s="75" t="s">
        <v>838</v>
      </c>
      <c r="E570" s="75" t="s">
        <v>1418</v>
      </c>
      <c r="F570" s="75" t="s">
        <v>1510</v>
      </c>
      <c r="G570" s="76">
        <v>45369</v>
      </c>
      <c r="H570" s="75" t="s">
        <v>40</v>
      </c>
      <c r="I570" s="75" t="s">
        <v>32</v>
      </c>
      <c r="J570" s="75" t="s">
        <v>1512</v>
      </c>
      <c r="K570" s="75" t="str">
        <f t="shared" si="8"/>
        <v>03-2024</v>
      </c>
      <c r="L570" s="10" t="s">
        <v>2599</v>
      </c>
    </row>
    <row r="571" spans="1:12" s="10" customFormat="1" ht="12" x14ac:dyDescent="0.3">
      <c r="A571" s="75">
        <v>5782</v>
      </c>
      <c r="B571" s="75" t="s">
        <v>442</v>
      </c>
      <c r="C571" s="75">
        <v>2898</v>
      </c>
      <c r="D571" s="75" t="s">
        <v>838</v>
      </c>
      <c r="E571" s="75" t="s">
        <v>1419</v>
      </c>
      <c r="F571" s="75" t="s">
        <v>1510</v>
      </c>
      <c r="G571" s="76">
        <v>45369</v>
      </c>
      <c r="H571" s="75" t="s">
        <v>40</v>
      </c>
      <c r="I571" s="75" t="s">
        <v>54</v>
      </c>
      <c r="J571" s="75" t="s">
        <v>1512</v>
      </c>
      <c r="K571" s="75" t="str">
        <f t="shared" si="8"/>
        <v>03-2024</v>
      </c>
      <c r="L571" s="10" t="s">
        <v>2599</v>
      </c>
    </row>
    <row r="572" spans="1:12" s="10" customFormat="1" ht="12" x14ac:dyDescent="0.3">
      <c r="A572" s="75">
        <v>7576</v>
      </c>
      <c r="B572" s="75" t="s">
        <v>422</v>
      </c>
      <c r="C572" s="75">
        <v>6511</v>
      </c>
      <c r="D572" s="75" t="s">
        <v>876</v>
      </c>
      <c r="E572" s="75" t="s">
        <v>1420</v>
      </c>
      <c r="F572" s="75" t="s">
        <v>1510</v>
      </c>
      <c r="G572" s="76">
        <v>45369</v>
      </c>
      <c r="H572" s="75" t="s">
        <v>73</v>
      </c>
      <c r="I572" s="75" t="s">
        <v>32</v>
      </c>
      <c r="J572" s="75" t="s">
        <v>1512</v>
      </c>
      <c r="K572" s="75" t="str">
        <f t="shared" si="8"/>
        <v>03-2024</v>
      </c>
      <c r="L572" s="10" t="s">
        <v>2599</v>
      </c>
    </row>
    <row r="573" spans="1:12" s="10" customFormat="1" ht="12" x14ac:dyDescent="0.3">
      <c r="A573" s="75">
        <v>3883</v>
      </c>
      <c r="B573" s="75" t="s">
        <v>847</v>
      </c>
      <c r="C573" s="75">
        <v>17</v>
      </c>
      <c r="D573" s="75" t="s">
        <v>751</v>
      </c>
      <c r="E573" s="75" t="s">
        <v>1421</v>
      </c>
      <c r="F573" s="75" t="s">
        <v>1510</v>
      </c>
      <c r="G573" s="76">
        <v>45369</v>
      </c>
      <c r="H573" s="75" t="s">
        <v>24</v>
      </c>
      <c r="I573" s="75" t="s">
        <v>10</v>
      </c>
      <c r="J573" s="75" t="s">
        <v>1512</v>
      </c>
      <c r="K573" s="75" t="str">
        <f t="shared" si="8"/>
        <v>03-2024</v>
      </c>
      <c r="L573" s="10" t="s">
        <v>2599</v>
      </c>
    </row>
    <row r="574" spans="1:12" s="10" customFormat="1" ht="12" x14ac:dyDescent="0.3">
      <c r="A574" s="75">
        <v>1583</v>
      </c>
      <c r="B574" s="75" t="s">
        <v>788</v>
      </c>
      <c r="C574" s="75">
        <v>6596</v>
      </c>
      <c r="D574" s="75" t="s">
        <v>843</v>
      </c>
      <c r="E574" s="75" t="s">
        <v>1422</v>
      </c>
      <c r="F574" s="75" t="s">
        <v>1510</v>
      </c>
      <c r="G574" s="76">
        <v>45366</v>
      </c>
      <c r="H574" s="75" t="s">
        <v>53</v>
      </c>
      <c r="I574" s="75" t="s">
        <v>54</v>
      </c>
      <c r="J574" s="75" t="s">
        <v>1512</v>
      </c>
      <c r="K574" s="75" t="str">
        <f t="shared" si="8"/>
        <v>03-2024</v>
      </c>
      <c r="L574" s="10" t="s">
        <v>2599</v>
      </c>
    </row>
    <row r="575" spans="1:12" s="10" customFormat="1" ht="12" x14ac:dyDescent="0.3">
      <c r="A575" s="75">
        <v>6596</v>
      </c>
      <c r="B575" s="75" t="s">
        <v>843</v>
      </c>
      <c r="C575" s="75">
        <v>6386</v>
      </c>
      <c r="D575" s="75" t="s">
        <v>830</v>
      </c>
      <c r="E575" s="75" t="s">
        <v>1423</v>
      </c>
      <c r="F575" s="75" t="s">
        <v>1510</v>
      </c>
      <c r="G575" s="76">
        <v>45366</v>
      </c>
      <c r="H575" s="75" t="s">
        <v>53</v>
      </c>
      <c r="I575" s="75" t="s">
        <v>54</v>
      </c>
      <c r="J575" s="75" t="s">
        <v>1512</v>
      </c>
      <c r="K575" s="75" t="str">
        <f t="shared" si="8"/>
        <v>03-2024</v>
      </c>
      <c r="L575" s="10" t="s">
        <v>2599</v>
      </c>
    </row>
    <row r="576" spans="1:12" s="10" customFormat="1" ht="12" x14ac:dyDescent="0.3">
      <c r="A576" s="75">
        <v>7576</v>
      </c>
      <c r="B576" s="75" t="s">
        <v>422</v>
      </c>
      <c r="C576" s="75">
        <v>7663</v>
      </c>
      <c r="D576" s="75" t="s">
        <v>908</v>
      </c>
      <c r="E576" s="75" t="s">
        <v>1424</v>
      </c>
      <c r="F576" s="75" t="s">
        <v>1510</v>
      </c>
      <c r="G576" s="76">
        <v>45365</v>
      </c>
      <c r="H576" s="75" t="s">
        <v>73</v>
      </c>
      <c r="I576" s="75" t="s">
        <v>32</v>
      </c>
      <c r="J576" s="75" t="s">
        <v>1512</v>
      </c>
      <c r="K576" s="75" t="str">
        <f t="shared" si="8"/>
        <v>03-2024</v>
      </c>
      <c r="L576" s="10" t="s">
        <v>2599</v>
      </c>
    </row>
    <row r="577" spans="1:12" s="10" customFormat="1" ht="12" x14ac:dyDescent="0.3">
      <c r="A577" s="75">
        <v>5726</v>
      </c>
      <c r="B577" s="75" t="s">
        <v>853</v>
      </c>
      <c r="C577" s="75">
        <v>7687</v>
      </c>
      <c r="D577" s="75" t="s">
        <v>881</v>
      </c>
      <c r="E577" s="75" t="s">
        <v>1425</v>
      </c>
      <c r="F577" s="75" t="s">
        <v>1510</v>
      </c>
      <c r="G577" s="76">
        <v>45364</v>
      </c>
      <c r="H577" s="75" t="s">
        <v>250</v>
      </c>
      <c r="I577" s="75" t="s">
        <v>10</v>
      </c>
      <c r="J577" s="75" t="s">
        <v>1512</v>
      </c>
      <c r="K577" s="75" t="str">
        <f t="shared" si="8"/>
        <v>03-2024</v>
      </c>
      <c r="L577" s="10" t="s">
        <v>2599</v>
      </c>
    </row>
    <row r="578" spans="1:12" s="10" customFormat="1" ht="12" x14ac:dyDescent="0.3">
      <c r="A578" s="75">
        <v>6127</v>
      </c>
      <c r="B578" s="75" t="s">
        <v>277</v>
      </c>
      <c r="C578" s="75">
        <v>7687</v>
      </c>
      <c r="D578" s="75" t="s">
        <v>881</v>
      </c>
      <c r="E578" s="75" t="s">
        <v>1426</v>
      </c>
      <c r="F578" s="75" t="s">
        <v>1510</v>
      </c>
      <c r="G578" s="76">
        <v>45364</v>
      </c>
      <c r="H578" s="75" t="s">
        <v>250</v>
      </c>
      <c r="I578" s="75" t="s">
        <v>10</v>
      </c>
      <c r="J578" s="75" t="s">
        <v>1512</v>
      </c>
      <c r="K578" s="75" t="str">
        <f t="shared" si="8"/>
        <v>03-2024</v>
      </c>
      <c r="L578" s="10" t="s">
        <v>2599</v>
      </c>
    </row>
    <row r="579" spans="1:12" s="10" customFormat="1" ht="12" x14ac:dyDescent="0.3">
      <c r="A579" s="75">
        <v>5782</v>
      </c>
      <c r="B579" s="75" t="s">
        <v>442</v>
      </c>
      <c r="C579" s="75">
        <v>7528</v>
      </c>
      <c r="D579" s="75" t="s">
        <v>273</v>
      </c>
      <c r="E579" s="75" t="s">
        <v>1427</v>
      </c>
      <c r="F579" s="75" t="s">
        <v>1510</v>
      </c>
      <c r="G579" s="76">
        <v>45364</v>
      </c>
      <c r="H579" s="75" t="s">
        <v>40</v>
      </c>
      <c r="I579" s="75" t="s">
        <v>54</v>
      </c>
      <c r="J579" s="75" t="s">
        <v>1512</v>
      </c>
      <c r="K579" s="75" t="str">
        <f t="shared" ref="K579:K642" si="9">TEXT(G579,"mm-yyyy")</f>
        <v>03-2024</v>
      </c>
      <c r="L579" s="10" t="s">
        <v>2599</v>
      </c>
    </row>
    <row r="580" spans="1:12" s="10" customFormat="1" ht="12" x14ac:dyDescent="0.3">
      <c r="A580" s="75">
        <v>3941</v>
      </c>
      <c r="B580" s="75" t="s">
        <v>441</v>
      </c>
      <c r="C580" s="75">
        <v>7528</v>
      </c>
      <c r="D580" s="75" t="s">
        <v>273</v>
      </c>
      <c r="E580" s="75" t="s">
        <v>1428</v>
      </c>
      <c r="F580" s="75" t="s">
        <v>1510</v>
      </c>
      <c r="G580" s="76">
        <v>45364</v>
      </c>
      <c r="H580" s="75" t="s">
        <v>40</v>
      </c>
      <c r="I580" s="75" t="s">
        <v>32</v>
      </c>
      <c r="J580" s="75" t="s">
        <v>1512</v>
      </c>
      <c r="K580" s="75" t="str">
        <f t="shared" si="9"/>
        <v>03-2024</v>
      </c>
      <c r="L580" s="10" t="s">
        <v>2599</v>
      </c>
    </row>
    <row r="581" spans="1:12" s="10" customFormat="1" ht="12" x14ac:dyDescent="0.3">
      <c r="A581" s="75">
        <v>6620</v>
      </c>
      <c r="B581" s="75" t="s">
        <v>634</v>
      </c>
      <c r="C581" s="75">
        <v>7689</v>
      </c>
      <c r="D581" s="75" t="s">
        <v>658</v>
      </c>
      <c r="E581" s="75" t="s">
        <v>1429</v>
      </c>
      <c r="F581" s="75" t="s">
        <v>1510</v>
      </c>
      <c r="G581" s="76">
        <v>45364</v>
      </c>
      <c r="H581" s="75" t="s">
        <v>40</v>
      </c>
      <c r="I581" s="75" t="s">
        <v>251</v>
      </c>
      <c r="J581" s="75" t="s">
        <v>1512</v>
      </c>
      <c r="K581" s="75" t="str">
        <f t="shared" si="9"/>
        <v>03-2024</v>
      </c>
      <c r="L581" s="10" t="s">
        <v>2599</v>
      </c>
    </row>
    <row r="582" spans="1:12" s="10" customFormat="1" ht="12" x14ac:dyDescent="0.3">
      <c r="A582" s="75">
        <v>7791</v>
      </c>
      <c r="B582" s="75" t="s">
        <v>631</v>
      </c>
      <c r="C582" s="75">
        <v>7689</v>
      </c>
      <c r="D582" s="75" t="s">
        <v>658</v>
      </c>
      <c r="E582" s="75" t="s">
        <v>1430</v>
      </c>
      <c r="F582" s="75" t="s">
        <v>1510</v>
      </c>
      <c r="G582" s="76">
        <v>45364</v>
      </c>
      <c r="H582" s="75" t="s">
        <v>40</v>
      </c>
      <c r="I582" s="75" t="s">
        <v>251</v>
      </c>
      <c r="J582" s="75" t="s">
        <v>1512</v>
      </c>
      <c r="K582" s="75" t="str">
        <f t="shared" si="9"/>
        <v>03-2024</v>
      </c>
      <c r="L582" s="10" t="s">
        <v>2599</v>
      </c>
    </row>
    <row r="583" spans="1:12" s="10" customFormat="1" ht="12" x14ac:dyDescent="0.3">
      <c r="A583" s="75">
        <v>5694</v>
      </c>
      <c r="B583" s="75" t="s">
        <v>630</v>
      </c>
      <c r="C583" s="75">
        <v>7689</v>
      </c>
      <c r="D583" s="75" t="s">
        <v>658</v>
      </c>
      <c r="E583" s="75" t="s">
        <v>1430</v>
      </c>
      <c r="F583" s="75" t="s">
        <v>1510</v>
      </c>
      <c r="G583" s="76">
        <v>45364</v>
      </c>
      <c r="H583" s="75" t="s">
        <v>40</v>
      </c>
      <c r="I583" s="75" t="s">
        <v>251</v>
      </c>
      <c r="J583" s="75" t="s">
        <v>1512</v>
      </c>
      <c r="K583" s="75" t="str">
        <f t="shared" si="9"/>
        <v>03-2024</v>
      </c>
      <c r="L583" s="10" t="s">
        <v>2599</v>
      </c>
    </row>
    <row r="584" spans="1:12" s="10" customFormat="1" ht="12" x14ac:dyDescent="0.3">
      <c r="A584" s="75">
        <v>3941</v>
      </c>
      <c r="B584" s="75" t="s">
        <v>441</v>
      </c>
      <c r="C584" s="75">
        <v>2898</v>
      </c>
      <c r="D584" s="75" t="s">
        <v>838</v>
      </c>
      <c r="E584" s="75" t="s">
        <v>1431</v>
      </c>
      <c r="F584" s="75" t="s">
        <v>1510</v>
      </c>
      <c r="G584" s="76">
        <v>45364</v>
      </c>
      <c r="H584" s="75" t="s">
        <v>40</v>
      </c>
      <c r="I584" s="75" t="s">
        <v>32</v>
      </c>
      <c r="J584" s="75" t="s">
        <v>1512</v>
      </c>
      <c r="K584" s="75" t="str">
        <f t="shared" si="9"/>
        <v>03-2024</v>
      </c>
      <c r="L584" s="10" t="s">
        <v>2599</v>
      </c>
    </row>
    <row r="585" spans="1:12" s="10" customFormat="1" ht="12" x14ac:dyDescent="0.3">
      <c r="A585" s="75">
        <v>5194</v>
      </c>
      <c r="B585" s="75" t="s">
        <v>121</v>
      </c>
      <c r="C585" s="75">
        <v>5074</v>
      </c>
      <c r="D585" s="75" t="s">
        <v>403</v>
      </c>
      <c r="E585" s="75" t="s">
        <v>1432</v>
      </c>
      <c r="F585" s="75" t="s">
        <v>1510</v>
      </c>
      <c r="G585" s="76">
        <v>45363</v>
      </c>
      <c r="H585" s="75" t="s">
        <v>40</v>
      </c>
      <c r="I585" s="75" t="s">
        <v>32</v>
      </c>
      <c r="J585" s="75" t="s">
        <v>1512</v>
      </c>
      <c r="K585" s="75" t="str">
        <f t="shared" si="9"/>
        <v>03-2024</v>
      </c>
      <c r="L585" s="10" t="s">
        <v>2599</v>
      </c>
    </row>
    <row r="586" spans="1:12" s="10" customFormat="1" ht="12" x14ac:dyDescent="0.3">
      <c r="A586" s="75">
        <v>6805</v>
      </c>
      <c r="B586" s="75" t="s">
        <v>11</v>
      </c>
      <c r="C586" s="75">
        <v>7408</v>
      </c>
      <c r="D586" s="75" t="s">
        <v>372</v>
      </c>
      <c r="E586" s="75" t="s">
        <v>1433</v>
      </c>
      <c r="F586" s="75" t="s">
        <v>1509</v>
      </c>
      <c r="G586" s="76">
        <v>45363</v>
      </c>
      <c r="H586" s="75" t="s">
        <v>13</v>
      </c>
      <c r="I586" s="75" t="s">
        <v>10</v>
      </c>
      <c r="J586" s="75" t="s">
        <v>1511</v>
      </c>
      <c r="K586" s="75" t="str">
        <f t="shared" si="9"/>
        <v>03-2024</v>
      </c>
      <c r="L586" s="10" t="s">
        <v>2599</v>
      </c>
    </row>
    <row r="587" spans="1:12" s="10" customFormat="1" ht="12" x14ac:dyDescent="0.3">
      <c r="A587" s="75">
        <v>4937</v>
      </c>
      <c r="B587" s="75" t="s">
        <v>127</v>
      </c>
      <c r="C587" s="75">
        <v>7212</v>
      </c>
      <c r="D587" s="75" t="s">
        <v>599</v>
      </c>
      <c r="E587" s="75" t="s">
        <v>1434</v>
      </c>
      <c r="F587" s="75" t="s">
        <v>1510</v>
      </c>
      <c r="G587" s="76">
        <v>45359</v>
      </c>
      <c r="H587" s="75" t="s">
        <v>53</v>
      </c>
      <c r="I587" s="75" t="s">
        <v>54</v>
      </c>
      <c r="J587" s="75" t="s">
        <v>1512</v>
      </c>
      <c r="K587" s="75" t="str">
        <f t="shared" si="9"/>
        <v>03-2024</v>
      </c>
      <c r="L587" s="10" t="s">
        <v>2599</v>
      </c>
    </row>
    <row r="588" spans="1:12" s="10" customFormat="1" ht="12" x14ac:dyDescent="0.3">
      <c r="A588" s="75">
        <v>4149</v>
      </c>
      <c r="B588" s="75" t="s">
        <v>41</v>
      </c>
      <c r="C588" s="75" t="s">
        <v>1508</v>
      </c>
      <c r="D588" s="75" t="s">
        <v>866</v>
      </c>
      <c r="E588" s="75" t="s">
        <v>79</v>
      </c>
      <c r="F588" s="75" t="s">
        <v>1509</v>
      </c>
      <c r="G588" s="76">
        <v>45359</v>
      </c>
      <c r="H588" s="75" t="s">
        <v>43</v>
      </c>
      <c r="I588" s="75" t="s">
        <v>32</v>
      </c>
      <c r="J588" s="75" t="s">
        <v>1511</v>
      </c>
      <c r="K588" s="75" t="str">
        <f t="shared" si="9"/>
        <v>03-2024</v>
      </c>
      <c r="L588" s="10" t="s">
        <v>2599</v>
      </c>
    </row>
    <row r="589" spans="1:12" s="10" customFormat="1" ht="12" x14ac:dyDescent="0.3">
      <c r="A589" s="75">
        <v>7347</v>
      </c>
      <c r="B589" s="75" t="s">
        <v>51</v>
      </c>
      <c r="C589" s="75" t="s">
        <v>1508</v>
      </c>
      <c r="D589" s="75" t="s">
        <v>866</v>
      </c>
      <c r="E589" s="75" t="s">
        <v>78</v>
      </c>
      <c r="F589" s="75" t="s">
        <v>1509</v>
      </c>
      <c r="G589" s="76">
        <v>45359</v>
      </c>
      <c r="H589" s="75" t="s">
        <v>53</v>
      </c>
      <c r="I589" s="75" t="s">
        <v>54</v>
      </c>
      <c r="J589" s="75" t="s">
        <v>1511</v>
      </c>
      <c r="K589" s="75" t="str">
        <f t="shared" si="9"/>
        <v>03-2024</v>
      </c>
      <c r="L589" s="10" t="s">
        <v>2599</v>
      </c>
    </row>
    <row r="590" spans="1:12" s="10" customFormat="1" ht="12" x14ac:dyDescent="0.3">
      <c r="A590" s="75">
        <v>2199</v>
      </c>
      <c r="B590" s="75" t="s">
        <v>854</v>
      </c>
      <c r="C590" s="75" t="s">
        <v>1508</v>
      </c>
      <c r="D590" s="75" t="s">
        <v>866</v>
      </c>
      <c r="E590" s="75" t="s">
        <v>1435</v>
      </c>
      <c r="F590" s="75" t="s">
        <v>1509</v>
      </c>
      <c r="G590" s="76">
        <v>45359</v>
      </c>
      <c r="H590" s="75" t="s">
        <v>53</v>
      </c>
      <c r="I590" s="75" t="s">
        <v>54</v>
      </c>
      <c r="J590" s="75" t="s">
        <v>1511</v>
      </c>
      <c r="K590" s="75" t="str">
        <f t="shared" si="9"/>
        <v>03-2024</v>
      </c>
      <c r="L590" s="10" t="s">
        <v>2599</v>
      </c>
    </row>
    <row r="591" spans="1:12" s="10" customFormat="1" ht="12" x14ac:dyDescent="0.3">
      <c r="A591" s="75">
        <v>7640</v>
      </c>
      <c r="B591" s="75" t="s">
        <v>6</v>
      </c>
      <c r="C591" s="75" t="s">
        <v>1508</v>
      </c>
      <c r="D591" s="75" t="s">
        <v>866</v>
      </c>
      <c r="E591" s="75" t="s">
        <v>1436</v>
      </c>
      <c r="F591" s="75" t="s">
        <v>1509</v>
      </c>
      <c r="G591" s="76">
        <v>45359</v>
      </c>
      <c r="H591" s="75" t="s">
        <v>9</v>
      </c>
      <c r="I591" s="75" t="s">
        <v>10</v>
      </c>
      <c r="J591" s="75" t="s">
        <v>1511</v>
      </c>
      <c r="K591" s="75" t="str">
        <f t="shared" si="9"/>
        <v>03-2024</v>
      </c>
      <c r="L591" s="10" t="s">
        <v>2599</v>
      </c>
    </row>
    <row r="592" spans="1:12" s="10" customFormat="1" ht="12" x14ac:dyDescent="0.3">
      <c r="A592" s="75">
        <v>6983</v>
      </c>
      <c r="B592" s="75" t="s">
        <v>792</v>
      </c>
      <c r="C592" s="75" t="s">
        <v>1508</v>
      </c>
      <c r="D592" s="75" t="s">
        <v>866</v>
      </c>
      <c r="E592" s="75" t="s">
        <v>1437</v>
      </c>
      <c r="F592" s="75" t="s">
        <v>1509</v>
      </c>
      <c r="G592" s="76">
        <v>45359</v>
      </c>
      <c r="H592" s="75" t="s">
        <v>35</v>
      </c>
      <c r="I592" s="75" t="s">
        <v>32</v>
      </c>
      <c r="J592" s="75" t="s">
        <v>1511</v>
      </c>
      <c r="K592" s="75" t="str">
        <f t="shared" si="9"/>
        <v>03-2024</v>
      </c>
      <c r="L592" s="10" t="s">
        <v>2599</v>
      </c>
    </row>
    <row r="593" spans="1:12" s="10" customFormat="1" ht="12" x14ac:dyDescent="0.3">
      <c r="A593" s="75">
        <v>1377</v>
      </c>
      <c r="B593" s="75" t="s">
        <v>296</v>
      </c>
      <c r="C593" s="75" t="s">
        <v>1508</v>
      </c>
      <c r="D593" s="75" t="s">
        <v>866</v>
      </c>
      <c r="E593" s="75" t="s">
        <v>1438</v>
      </c>
      <c r="F593" s="75" t="s">
        <v>1509</v>
      </c>
      <c r="G593" s="76">
        <v>45359</v>
      </c>
      <c r="H593" s="75" t="s">
        <v>53</v>
      </c>
      <c r="I593" s="75" t="s">
        <v>54</v>
      </c>
      <c r="J593" s="75" t="s">
        <v>1511</v>
      </c>
      <c r="K593" s="75" t="str">
        <f t="shared" si="9"/>
        <v>03-2024</v>
      </c>
      <c r="L593" s="10" t="s">
        <v>2599</v>
      </c>
    </row>
    <row r="594" spans="1:12" s="10" customFormat="1" ht="12" x14ac:dyDescent="0.3">
      <c r="A594" s="75">
        <v>5271</v>
      </c>
      <c r="B594" s="75" t="s">
        <v>855</v>
      </c>
      <c r="C594" s="75" t="s">
        <v>1508</v>
      </c>
      <c r="D594" s="75" t="s">
        <v>866</v>
      </c>
      <c r="E594" s="75" t="s">
        <v>1439</v>
      </c>
      <c r="F594" s="75" t="s">
        <v>1509</v>
      </c>
      <c r="G594" s="76">
        <v>45359</v>
      </c>
      <c r="H594" s="75" t="s">
        <v>53</v>
      </c>
      <c r="I594" s="75" t="s">
        <v>32</v>
      </c>
      <c r="J594" s="75" t="s">
        <v>1511</v>
      </c>
      <c r="K594" s="75" t="str">
        <f t="shared" si="9"/>
        <v>03-2024</v>
      </c>
      <c r="L594" s="10" t="s">
        <v>2599</v>
      </c>
    </row>
    <row r="595" spans="1:12" s="10" customFormat="1" ht="12" x14ac:dyDescent="0.3">
      <c r="A595" s="75">
        <v>7756</v>
      </c>
      <c r="B595" s="75" t="s">
        <v>65</v>
      </c>
      <c r="C595" s="75" t="s">
        <v>1508</v>
      </c>
      <c r="D595" s="75" t="s">
        <v>866</v>
      </c>
      <c r="E595" s="75" t="s">
        <v>96</v>
      </c>
      <c r="F595" s="75" t="s">
        <v>1509</v>
      </c>
      <c r="G595" s="76">
        <v>45359</v>
      </c>
      <c r="H595" s="75" t="s">
        <v>9</v>
      </c>
      <c r="I595" s="75" t="s">
        <v>54</v>
      </c>
      <c r="J595" s="75" t="s">
        <v>1511</v>
      </c>
      <c r="K595" s="75" t="str">
        <f t="shared" si="9"/>
        <v>03-2024</v>
      </c>
      <c r="L595" s="10" t="s">
        <v>2599</v>
      </c>
    </row>
    <row r="596" spans="1:12" s="10" customFormat="1" ht="12" x14ac:dyDescent="0.3">
      <c r="A596" s="75">
        <v>3447</v>
      </c>
      <c r="B596" s="75" t="s">
        <v>179</v>
      </c>
      <c r="C596" s="75" t="s">
        <v>1508</v>
      </c>
      <c r="D596" s="75" t="s">
        <v>866</v>
      </c>
      <c r="E596" s="75" t="s">
        <v>1440</v>
      </c>
      <c r="F596" s="75" t="s">
        <v>1509</v>
      </c>
      <c r="G596" s="76">
        <v>45359</v>
      </c>
      <c r="H596" s="75" t="s">
        <v>9</v>
      </c>
      <c r="I596" s="75" t="s">
        <v>54</v>
      </c>
      <c r="J596" s="75" t="s">
        <v>1511</v>
      </c>
      <c r="K596" s="75" t="str">
        <f t="shared" si="9"/>
        <v>03-2024</v>
      </c>
      <c r="L596" s="10" t="s">
        <v>2599</v>
      </c>
    </row>
    <row r="597" spans="1:12" s="10" customFormat="1" ht="12" x14ac:dyDescent="0.3">
      <c r="A597" s="75">
        <v>2826</v>
      </c>
      <c r="B597" s="75" t="s">
        <v>169</v>
      </c>
      <c r="C597" s="75" t="s">
        <v>1508</v>
      </c>
      <c r="D597" s="75" t="s">
        <v>866</v>
      </c>
      <c r="E597" s="75" t="s">
        <v>1441</v>
      </c>
      <c r="F597" s="75" t="s">
        <v>1509</v>
      </c>
      <c r="G597" s="76">
        <v>45359</v>
      </c>
      <c r="H597" s="75" t="s">
        <v>9</v>
      </c>
      <c r="I597" s="75" t="s">
        <v>54</v>
      </c>
      <c r="J597" s="75" t="s">
        <v>1511</v>
      </c>
      <c r="K597" s="75" t="str">
        <f t="shared" si="9"/>
        <v>03-2024</v>
      </c>
      <c r="L597" s="10" t="s">
        <v>2599</v>
      </c>
    </row>
    <row r="598" spans="1:12" s="10" customFormat="1" ht="12" x14ac:dyDescent="0.3">
      <c r="A598" s="75">
        <v>7658</v>
      </c>
      <c r="B598" s="75" t="s">
        <v>59</v>
      </c>
      <c r="C598" s="75" t="s">
        <v>1508</v>
      </c>
      <c r="D598" s="75" t="s">
        <v>866</v>
      </c>
      <c r="E598" s="75" t="s">
        <v>84</v>
      </c>
      <c r="F598" s="75" t="s">
        <v>1509</v>
      </c>
      <c r="G598" s="76">
        <v>45359</v>
      </c>
      <c r="H598" s="75" t="s">
        <v>9</v>
      </c>
      <c r="I598" s="75" t="s">
        <v>54</v>
      </c>
      <c r="J598" s="75" t="s">
        <v>1511</v>
      </c>
      <c r="K598" s="75" t="str">
        <f t="shared" si="9"/>
        <v>03-2024</v>
      </c>
      <c r="L598" s="10" t="s">
        <v>2599</v>
      </c>
    </row>
    <row r="599" spans="1:12" s="10" customFormat="1" ht="12" x14ac:dyDescent="0.3">
      <c r="A599" s="75">
        <v>7654</v>
      </c>
      <c r="B599" s="75" t="s">
        <v>55</v>
      </c>
      <c r="C599" s="75" t="s">
        <v>1508</v>
      </c>
      <c r="D599" s="75" t="s">
        <v>866</v>
      </c>
      <c r="E599" s="75" t="s">
        <v>95</v>
      </c>
      <c r="F599" s="75" t="s">
        <v>1509</v>
      </c>
      <c r="G599" s="76">
        <v>45359</v>
      </c>
      <c r="H599" s="75" t="s">
        <v>16</v>
      </c>
      <c r="I599" s="75" t="s">
        <v>54</v>
      </c>
      <c r="J599" s="75" t="s">
        <v>1511</v>
      </c>
      <c r="K599" s="75" t="str">
        <f t="shared" si="9"/>
        <v>03-2024</v>
      </c>
      <c r="L599" s="10" t="s">
        <v>2599</v>
      </c>
    </row>
    <row r="600" spans="1:12" s="10" customFormat="1" ht="12" x14ac:dyDescent="0.3">
      <c r="A600" s="75">
        <v>7426</v>
      </c>
      <c r="B600" s="75" t="s">
        <v>19</v>
      </c>
      <c r="C600" s="75" t="s">
        <v>1508</v>
      </c>
      <c r="D600" s="75" t="s">
        <v>866</v>
      </c>
      <c r="E600" s="75" t="s">
        <v>94</v>
      </c>
      <c r="F600" s="75" t="s">
        <v>1509</v>
      </c>
      <c r="G600" s="76">
        <v>45359</v>
      </c>
      <c r="H600" s="75" t="s">
        <v>13</v>
      </c>
      <c r="I600" s="75" t="s">
        <v>10</v>
      </c>
      <c r="J600" s="75" t="s">
        <v>1511</v>
      </c>
      <c r="K600" s="75" t="str">
        <f t="shared" si="9"/>
        <v>03-2024</v>
      </c>
      <c r="L600" s="10" t="s">
        <v>2599</v>
      </c>
    </row>
    <row r="601" spans="1:12" s="10" customFormat="1" ht="12" x14ac:dyDescent="0.3">
      <c r="A601" s="75">
        <v>2243</v>
      </c>
      <c r="B601" s="75" t="s">
        <v>63</v>
      </c>
      <c r="C601" s="75" t="s">
        <v>1508</v>
      </c>
      <c r="D601" s="75" t="s">
        <v>866</v>
      </c>
      <c r="E601" s="75" t="s">
        <v>1442</v>
      </c>
      <c r="F601" s="75" t="s">
        <v>1509</v>
      </c>
      <c r="G601" s="76">
        <v>45359</v>
      </c>
      <c r="H601" s="75" t="s">
        <v>53</v>
      </c>
      <c r="I601" s="75" t="s">
        <v>54</v>
      </c>
      <c r="J601" s="75" t="s">
        <v>1511</v>
      </c>
      <c r="K601" s="75" t="str">
        <f t="shared" si="9"/>
        <v>03-2024</v>
      </c>
      <c r="L601" s="10" t="s">
        <v>2599</v>
      </c>
    </row>
    <row r="602" spans="1:12" s="10" customFormat="1" ht="12" x14ac:dyDescent="0.3">
      <c r="A602" s="75">
        <v>7656</v>
      </c>
      <c r="B602" s="75" t="s">
        <v>25</v>
      </c>
      <c r="C602" s="75" t="s">
        <v>1508</v>
      </c>
      <c r="D602" s="75" t="s">
        <v>866</v>
      </c>
      <c r="E602" s="75" t="s">
        <v>100</v>
      </c>
      <c r="F602" s="75" t="s">
        <v>1509</v>
      </c>
      <c r="G602" s="76">
        <v>45359</v>
      </c>
      <c r="H602" s="75" t="s">
        <v>13</v>
      </c>
      <c r="I602" s="75" t="s">
        <v>10</v>
      </c>
      <c r="J602" s="75" t="s">
        <v>1511</v>
      </c>
      <c r="K602" s="75" t="str">
        <f t="shared" si="9"/>
        <v>03-2024</v>
      </c>
      <c r="L602" s="10" t="s">
        <v>2599</v>
      </c>
    </row>
    <row r="603" spans="1:12" s="10" customFormat="1" ht="12" x14ac:dyDescent="0.3">
      <c r="A603" s="75">
        <v>3069</v>
      </c>
      <c r="B603" s="75" t="s">
        <v>856</v>
      </c>
      <c r="C603" s="75" t="s">
        <v>1508</v>
      </c>
      <c r="D603" s="75" t="s">
        <v>866</v>
      </c>
      <c r="E603" s="75" t="s">
        <v>1443</v>
      </c>
      <c r="F603" s="75" t="s">
        <v>1509</v>
      </c>
      <c r="G603" s="76">
        <v>45359</v>
      </c>
      <c r="H603" s="75" t="s">
        <v>40</v>
      </c>
      <c r="I603" s="75" t="s">
        <v>251</v>
      </c>
      <c r="J603" s="75" t="s">
        <v>1511</v>
      </c>
      <c r="K603" s="75" t="str">
        <f t="shared" si="9"/>
        <v>03-2024</v>
      </c>
      <c r="L603" s="10" t="s">
        <v>2599</v>
      </c>
    </row>
    <row r="604" spans="1:12" s="10" customFormat="1" ht="12" x14ac:dyDescent="0.3">
      <c r="A604" s="75">
        <v>3964</v>
      </c>
      <c r="B604" s="75" t="s">
        <v>734</v>
      </c>
      <c r="C604" s="75" t="s">
        <v>1508</v>
      </c>
      <c r="D604" s="75" t="s">
        <v>866</v>
      </c>
      <c r="E604" s="75" t="s">
        <v>1444</v>
      </c>
      <c r="F604" s="75" t="s">
        <v>1509</v>
      </c>
      <c r="G604" s="76">
        <v>45359</v>
      </c>
      <c r="H604" s="75" t="s">
        <v>53</v>
      </c>
      <c r="I604" s="75" t="s">
        <v>54</v>
      </c>
      <c r="J604" s="75" t="s">
        <v>1511</v>
      </c>
      <c r="K604" s="75" t="str">
        <f t="shared" si="9"/>
        <v>03-2024</v>
      </c>
      <c r="L604" s="10" t="s">
        <v>2599</v>
      </c>
    </row>
    <row r="605" spans="1:12" s="10" customFormat="1" ht="12" x14ac:dyDescent="0.3">
      <c r="A605" s="75">
        <v>7469</v>
      </c>
      <c r="B605" s="75" t="s">
        <v>175</v>
      </c>
      <c r="C605" s="75" t="s">
        <v>1508</v>
      </c>
      <c r="D605" s="75" t="s">
        <v>866</v>
      </c>
      <c r="E605" s="75" t="s">
        <v>186</v>
      </c>
      <c r="F605" s="75" t="s">
        <v>1509</v>
      </c>
      <c r="G605" s="76">
        <v>45359</v>
      </c>
      <c r="H605" s="75" t="s">
        <v>35</v>
      </c>
      <c r="I605" s="75" t="s">
        <v>32</v>
      </c>
      <c r="J605" s="75" t="s">
        <v>1511</v>
      </c>
      <c r="K605" s="75" t="str">
        <f t="shared" si="9"/>
        <v>03-2024</v>
      </c>
      <c r="L605" s="10" t="s">
        <v>2599</v>
      </c>
    </row>
    <row r="606" spans="1:12" s="10" customFormat="1" ht="12" x14ac:dyDescent="0.3">
      <c r="A606" s="75">
        <v>549</v>
      </c>
      <c r="B606" s="75" t="s">
        <v>857</v>
      </c>
      <c r="C606" s="75" t="s">
        <v>1508</v>
      </c>
      <c r="D606" s="75" t="s">
        <v>866</v>
      </c>
      <c r="E606" s="75" t="s">
        <v>1445</v>
      </c>
      <c r="F606" s="75" t="s">
        <v>1509</v>
      </c>
      <c r="G606" s="76">
        <v>45359</v>
      </c>
      <c r="H606" s="75" t="s">
        <v>40</v>
      </c>
      <c r="I606" s="75" t="s">
        <v>32</v>
      </c>
      <c r="J606" s="75" t="s">
        <v>1511</v>
      </c>
      <c r="K606" s="75" t="str">
        <f t="shared" si="9"/>
        <v>03-2024</v>
      </c>
      <c r="L606" s="10" t="s">
        <v>2599</v>
      </c>
    </row>
    <row r="607" spans="1:12" s="10" customFormat="1" ht="12" x14ac:dyDescent="0.3">
      <c r="A607" s="75">
        <v>1423</v>
      </c>
      <c r="B607" s="75" t="s">
        <v>808</v>
      </c>
      <c r="C607" s="75" t="s">
        <v>1508</v>
      </c>
      <c r="D607" s="75" t="s">
        <v>866</v>
      </c>
      <c r="E607" s="75" t="s">
        <v>1446</v>
      </c>
      <c r="F607" s="75" t="s">
        <v>1509</v>
      </c>
      <c r="G607" s="76">
        <v>45359</v>
      </c>
      <c r="H607" s="75" t="s">
        <v>24</v>
      </c>
      <c r="I607" s="75" t="s">
        <v>32</v>
      </c>
      <c r="J607" s="75" t="s">
        <v>1511</v>
      </c>
      <c r="K607" s="75" t="str">
        <f t="shared" si="9"/>
        <v>03-2024</v>
      </c>
      <c r="L607" s="10" t="s">
        <v>2599</v>
      </c>
    </row>
    <row r="608" spans="1:12" s="10" customFormat="1" ht="12" x14ac:dyDescent="0.3">
      <c r="A608" s="75">
        <v>7576</v>
      </c>
      <c r="B608" s="75" t="s">
        <v>422</v>
      </c>
      <c r="C608" s="75">
        <v>5495</v>
      </c>
      <c r="D608" s="75" t="s">
        <v>461</v>
      </c>
      <c r="E608" s="75" t="s">
        <v>1447</v>
      </c>
      <c r="F608" s="75" t="s">
        <v>1510</v>
      </c>
      <c r="G608" s="76">
        <v>45358</v>
      </c>
      <c r="H608" s="75" t="s">
        <v>73</v>
      </c>
      <c r="I608" s="75" t="s">
        <v>32</v>
      </c>
      <c r="J608" s="75" t="s">
        <v>1512</v>
      </c>
      <c r="K608" s="75" t="str">
        <f t="shared" si="9"/>
        <v>03-2024</v>
      </c>
      <c r="L608" s="10" t="s">
        <v>2599</v>
      </c>
    </row>
    <row r="609" spans="1:12" s="10" customFormat="1" ht="12" x14ac:dyDescent="0.3">
      <c r="A609" s="75">
        <v>3209</v>
      </c>
      <c r="B609" s="75" t="s">
        <v>775</v>
      </c>
      <c r="C609" s="75">
        <v>5495</v>
      </c>
      <c r="D609" s="75" t="s">
        <v>461</v>
      </c>
      <c r="E609" s="75" t="s">
        <v>1448</v>
      </c>
      <c r="F609" s="75" t="s">
        <v>1510</v>
      </c>
      <c r="G609" s="76">
        <v>45358</v>
      </c>
      <c r="H609" s="75" t="s">
        <v>73</v>
      </c>
      <c r="I609" s="75" t="s">
        <v>32</v>
      </c>
      <c r="J609" s="75" t="s">
        <v>1512</v>
      </c>
      <c r="K609" s="75" t="str">
        <f t="shared" si="9"/>
        <v>03-2024</v>
      </c>
      <c r="L609" s="10" t="s">
        <v>2599</v>
      </c>
    </row>
    <row r="610" spans="1:12" s="10" customFormat="1" ht="12" x14ac:dyDescent="0.3">
      <c r="A610" s="75">
        <v>3883</v>
      </c>
      <c r="B610" s="75" t="s">
        <v>847</v>
      </c>
      <c r="C610" s="75">
        <v>5495</v>
      </c>
      <c r="D610" s="75" t="s">
        <v>461</v>
      </c>
      <c r="E610" s="75" t="s">
        <v>1449</v>
      </c>
      <c r="F610" s="75" t="s">
        <v>1510</v>
      </c>
      <c r="G610" s="76">
        <v>45358</v>
      </c>
      <c r="H610" s="75" t="s">
        <v>24</v>
      </c>
      <c r="I610" s="75" t="s">
        <v>10</v>
      </c>
      <c r="J610" s="75" t="s">
        <v>1512</v>
      </c>
      <c r="K610" s="75" t="str">
        <f t="shared" si="9"/>
        <v>03-2024</v>
      </c>
      <c r="L610" s="10" t="s">
        <v>2599</v>
      </c>
    </row>
    <row r="611" spans="1:12" s="10" customFormat="1" ht="12" x14ac:dyDescent="0.3">
      <c r="A611" s="75">
        <v>7667</v>
      </c>
      <c r="B611" s="75" t="s">
        <v>57</v>
      </c>
      <c r="C611" s="75">
        <v>7479</v>
      </c>
      <c r="D611" s="75" t="s">
        <v>814</v>
      </c>
      <c r="E611" s="75" t="s">
        <v>1450</v>
      </c>
      <c r="F611" s="75" t="s">
        <v>1509</v>
      </c>
      <c r="G611" s="76">
        <v>45357</v>
      </c>
      <c r="H611" s="75" t="s">
        <v>16</v>
      </c>
      <c r="I611" s="75" t="s">
        <v>54</v>
      </c>
      <c r="J611" s="75" t="s">
        <v>1511</v>
      </c>
      <c r="K611" s="75" t="str">
        <f t="shared" si="9"/>
        <v>03-2024</v>
      </c>
      <c r="L611" s="10" t="s">
        <v>2599</v>
      </c>
    </row>
    <row r="612" spans="1:12" s="10" customFormat="1" ht="12" x14ac:dyDescent="0.3">
      <c r="A612" s="75">
        <v>4034</v>
      </c>
      <c r="B612" s="75" t="s">
        <v>830</v>
      </c>
      <c r="C612" s="75">
        <v>2937</v>
      </c>
      <c r="D612" s="75" t="s">
        <v>904</v>
      </c>
      <c r="E612" s="75" t="s">
        <v>1451</v>
      </c>
      <c r="F612" s="75" t="s">
        <v>1510</v>
      </c>
      <c r="G612" s="76">
        <v>45357</v>
      </c>
      <c r="H612" s="75" t="s">
        <v>35</v>
      </c>
      <c r="I612" s="75" t="s">
        <v>32</v>
      </c>
      <c r="J612" s="75" t="s">
        <v>1512</v>
      </c>
      <c r="K612" s="75" t="str">
        <f t="shared" si="9"/>
        <v>03-2024</v>
      </c>
      <c r="L612" s="10" t="s">
        <v>2599</v>
      </c>
    </row>
    <row r="613" spans="1:12" s="10" customFormat="1" ht="12" x14ac:dyDescent="0.3">
      <c r="A613" s="75">
        <v>7279</v>
      </c>
      <c r="B613" s="75" t="s">
        <v>858</v>
      </c>
      <c r="C613" s="75">
        <v>6523</v>
      </c>
      <c r="D613" s="75" t="s">
        <v>909</v>
      </c>
      <c r="E613" s="75" t="s">
        <v>1452</v>
      </c>
      <c r="F613" s="75" t="s">
        <v>1509</v>
      </c>
      <c r="G613" s="76">
        <v>45356</v>
      </c>
      <c r="H613" s="75" t="s">
        <v>73</v>
      </c>
      <c r="I613" s="75" t="s">
        <v>1666</v>
      </c>
      <c r="J613" s="75" t="s">
        <v>1511</v>
      </c>
      <c r="K613" s="75" t="str">
        <f t="shared" si="9"/>
        <v>03-2024</v>
      </c>
      <c r="L613" s="10" t="s">
        <v>2599</v>
      </c>
    </row>
    <row r="614" spans="1:12" s="10" customFormat="1" ht="12" x14ac:dyDescent="0.3">
      <c r="A614" s="75">
        <v>3883</v>
      </c>
      <c r="B614" s="75" t="s">
        <v>847</v>
      </c>
      <c r="C614" s="75">
        <v>6523</v>
      </c>
      <c r="D614" s="75" t="s">
        <v>909</v>
      </c>
      <c r="E614" s="75" t="s">
        <v>1453</v>
      </c>
      <c r="F614" s="75" t="s">
        <v>1509</v>
      </c>
      <c r="G614" s="76">
        <v>45356</v>
      </c>
      <c r="H614" s="75" t="s">
        <v>24</v>
      </c>
      <c r="I614" s="75" t="s">
        <v>10</v>
      </c>
      <c r="J614" s="75" t="s">
        <v>1511</v>
      </c>
      <c r="K614" s="75" t="str">
        <f t="shared" si="9"/>
        <v>03-2024</v>
      </c>
      <c r="L614" s="10" t="s">
        <v>2599</v>
      </c>
    </row>
    <row r="615" spans="1:12" s="10" customFormat="1" ht="12" x14ac:dyDescent="0.3">
      <c r="A615" s="75">
        <v>6585</v>
      </c>
      <c r="B615" s="75" t="s">
        <v>777</v>
      </c>
      <c r="C615" s="75">
        <v>3619</v>
      </c>
      <c r="D615" s="75" t="s">
        <v>714</v>
      </c>
      <c r="E615" s="75" t="s">
        <v>1454</v>
      </c>
      <c r="F615" s="75" t="s">
        <v>1510</v>
      </c>
      <c r="G615" s="76">
        <v>45355</v>
      </c>
      <c r="H615" s="75" t="s">
        <v>13</v>
      </c>
      <c r="I615" s="75" t="s">
        <v>10</v>
      </c>
      <c r="J615" s="75" t="s">
        <v>1512</v>
      </c>
      <c r="K615" s="75" t="str">
        <f t="shared" si="9"/>
        <v>03-2024</v>
      </c>
      <c r="L615" s="10" t="s">
        <v>2599</v>
      </c>
    </row>
    <row r="616" spans="1:12" s="10" customFormat="1" ht="12" x14ac:dyDescent="0.3">
      <c r="A616" s="75">
        <v>6801</v>
      </c>
      <c r="B616" s="75" t="s">
        <v>113</v>
      </c>
      <c r="C616" s="75">
        <v>296</v>
      </c>
      <c r="D616" s="75" t="s">
        <v>474</v>
      </c>
      <c r="E616" s="75" t="s">
        <v>1455</v>
      </c>
      <c r="F616" s="75" t="s">
        <v>1510</v>
      </c>
      <c r="G616" s="76">
        <v>45352</v>
      </c>
      <c r="H616" s="75" t="s">
        <v>24</v>
      </c>
      <c r="I616" s="75" t="s">
        <v>10</v>
      </c>
      <c r="J616" s="75" t="s">
        <v>1512</v>
      </c>
      <c r="K616" s="75" t="str">
        <f t="shared" si="9"/>
        <v>03-2024</v>
      </c>
      <c r="L616" s="10" t="s">
        <v>2599</v>
      </c>
    </row>
    <row r="617" spans="1:12" s="10" customFormat="1" ht="12" x14ac:dyDescent="0.3">
      <c r="A617" s="75">
        <v>5254</v>
      </c>
      <c r="B617" s="75" t="s">
        <v>444</v>
      </c>
      <c r="C617" s="75">
        <v>296</v>
      </c>
      <c r="D617" s="75" t="s">
        <v>474</v>
      </c>
      <c r="E617" s="75" t="s">
        <v>1456</v>
      </c>
      <c r="F617" s="75" t="s">
        <v>1510</v>
      </c>
      <c r="G617" s="76">
        <v>45352</v>
      </c>
      <c r="H617" s="75" t="s">
        <v>24</v>
      </c>
      <c r="I617" s="75" t="s">
        <v>10</v>
      </c>
      <c r="J617" s="75" t="s">
        <v>1512</v>
      </c>
      <c r="K617" s="75" t="str">
        <f t="shared" si="9"/>
        <v>03-2024</v>
      </c>
      <c r="L617" s="10" t="s">
        <v>2599</v>
      </c>
    </row>
    <row r="618" spans="1:12" s="10" customFormat="1" ht="12" x14ac:dyDescent="0.3">
      <c r="A618" s="75">
        <v>7243</v>
      </c>
      <c r="B618" s="75" t="s">
        <v>815</v>
      </c>
      <c r="C618" s="75">
        <v>296</v>
      </c>
      <c r="D618" s="75" t="s">
        <v>474</v>
      </c>
      <c r="E618" s="75" t="s">
        <v>1457</v>
      </c>
      <c r="F618" s="75" t="s">
        <v>1510</v>
      </c>
      <c r="G618" s="76">
        <v>45352</v>
      </c>
      <c r="H618" s="75" t="s">
        <v>24</v>
      </c>
      <c r="I618" s="75" t="s">
        <v>10</v>
      </c>
      <c r="J618" s="75" t="s">
        <v>1512</v>
      </c>
      <c r="K618" s="75" t="str">
        <f t="shared" si="9"/>
        <v>03-2024</v>
      </c>
      <c r="L618" s="10" t="s">
        <v>2599</v>
      </c>
    </row>
    <row r="619" spans="1:12" s="10" customFormat="1" ht="12" x14ac:dyDescent="0.3">
      <c r="A619" s="75">
        <v>6801</v>
      </c>
      <c r="B619" s="75" t="s">
        <v>113</v>
      </c>
      <c r="C619" s="75">
        <v>296</v>
      </c>
      <c r="D619" s="75" t="s">
        <v>474</v>
      </c>
      <c r="E619" s="75" t="s">
        <v>1458</v>
      </c>
      <c r="F619" s="75" t="s">
        <v>1510</v>
      </c>
      <c r="G619" s="76">
        <v>45352</v>
      </c>
      <c r="H619" s="75" t="s">
        <v>24</v>
      </c>
      <c r="I619" s="75" t="s">
        <v>10</v>
      </c>
      <c r="J619" s="75" t="s">
        <v>1512</v>
      </c>
      <c r="K619" s="75" t="str">
        <f t="shared" si="9"/>
        <v>03-2024</v>
      </c>
      <c r="L619" s="10" t="s">
        <v>2599</v>
      </c>
    </row>
    <row r="620" spans="1:12" s="10" customFormat="1" ht="12" x14ac:dyDescent="0.3">
      <c r="A620" s="75">
        <v>6593</v>
      </c>
      <c r="B620" s="75" t="s">
        <v>128</v>
      </c>
      <c r="C620" s="75">
        <v>296</v>
      </c>
      <c r="D620" s="75" t="s">
        <v>474</v>
      </c>
      <c r="E620" s="75" t="s">
        <v>1459</v>
      </c>
      <c r="F620" s="75" t="s">
        <v>1510</v>
      </c>
      <c r="G620" s="76">
        <v>45352</v>
      </c>
      <c r="H620" s="75" t="s">
        <v>24</v>
      </c>
      <c r="I620" s="75" t="s">
        <v>54</v>
      </c>
      <c r="J620" s="75" t="s">
        <v>1512</v>
      </c>
      <c r="K620" s="75" t="str">
        <f t="shared" si="9"/>
        <v>03-2024</v>
      </c>
      <c r="L620" s="10" t="s">
        <v>2599</v>
      </c>
    </row>
    <row r="621" spans="1:12" s="10" customFormat="1" ht="12" x14ac:dyDescent="0.3">
      <c r="A621" s="75">
        <v>7243</v>
      </c>
      <c r="B621" s="75" t="s">
        <v>815</v>
      </c>
      <c r="C621" s="75">
        <v>296</v>
      </c>
      <c r="D621" s="75" t="s">
        <v>474</v>
      </c>
      <c r="E621" s="75" t="s">
        <v>1460</v>
      </c>
      <c r="F621" s="75" t="s">
        <v>1510</v>
      </c>
      <c r="G621" s="76">
        <v>45352</v>
      </c>
      <c r="H621" s="75" t="s">
        <v>24</v>
      </c>
      <c r="I621" s="75" t="s">
        <v>10</v>
      </c>
      <c r="J621" s="75" t="s">
        <v>1512</v>
      </c>
      <c r="K621" s="75" t="str">
        <f t="shared" si="9"/>
        <v>03-2024</v>
      </c>
      <c r="L621" s="10" t="s">
        <v>2599</v>
      </c>
    </row>
    <row r="622" spans="1:12" s="10" customFormat="1" ht="12" x14ac:dyDescent="0.3">
      <c r="A622" s="75">
        <v>6803</v>
      </c>
      <c r="B622" s="75" t="s">
        <v>122</v>
      </c>
      <c r="C622" s="75">
        <v>296</v>
      </c>
      <c r="D622" s="75" t="s">
        <v>474</v>
      </c>
      <c r="E622" s="75" t="s">
        <v>1461</v>
      </c>
      <c r="F622" s="75" t="s">
        <v>1510</v>
      </c>
      <c r="G622" s="76">
        <v>45352</v>
      </c>
      <c r="H622" s="75" t="s">
        <v>24</v>
      </c>
      <c r="I622" s="75" t="s">
        <v>10</v>
      </c>
      <c r="J622" s="75" t="s">
        <v>1512</v>
      </c>
      <c r="K622" s="75" t="str">
        <f t="shared" si="9"/>
        <v>03-2024</v>
      </c>
      <c r="L622" s="10" t="s">
        <v>2599</v>
      </c>
    </row>
    <row r="623" spans="1:12" s="10" customFormat="1" ht="12" x14ac:dyDescent="0.3">
      <c r="A623" s="75">
        <v>1423</v>
      </c>
      <c r="B623" s="75" t="s">
        <v>808</v>
      </c>
      <c r="C623" s="75">
        <v>3719</v>
      </c>
      <c r="D623" s="75" t="s">
        <v>910</v>
      </c>
      <c r="E623" s="75" t="s">
        <v>1462</v>
      </c>
      <c r="F623" s="75" t="s">
        <v>1510</v>
      </c>
      <c r="G623" s="76">
        <v>45351</v>
      </c>
      <c r="H623" s="75" t="s">
        <v>24</v>
      </c>
      <c r="I623" s="75" t="s">
        <v>32</v>
      </c>
      <c r="J623" s="75" t="s">
        <v>1512</v>
      </c>
      <c r="K623" s="75" t="str">
        <f t="shared" si="9"/>
        <v>02-2024</v>
      </c>
      <c r="L623" s="10" t="s">
        <v>2599</v>
      </c>
    </row>
    <row r="624" spans="1:12" s="10" customFormat="1" ht="12" x14ac:dyDescent="0.3">
      <c r="A624" s="75">
        <v>7279</v>
      </c>
      <c r="B624" s="75" t="s">
        <v>858</v>
      </c>
      <c r="C624" s="75">
        <v>6523</v>
      </c>
      <c r="D624" s="75" t="s">
        <v>909</v>
      </c>
      <c r="E624" s="75" t="s">
        <v>1463</v>
      </c>
      <c r="F624" s="75" t="s">
        <v>1509</v>
      </c>
      <c r="G624" s="76">
        <v>45351</v>
      </c>
      <c r="H624" s="75" t="s">
        <v>73</v>
      </c>
      <c r="I624" s="75" t="s">
        <v>1666</v>
      </c>
      <c r="J624" s="75" t="s">
        <v>1511</v>
      </c>
      <c r="K624" s="75" t="str">
        <f t="shared" si="9"/>
        <v>02-2024</v>
      </c>
      <c r="L624" s="10" t="s">
        <v>2599</v>
      </c>
    </row>
    <row r="625" spans="1:12" s="10" customFormat="1" ht="12" x14ac:dyDescent="0.3">
      <c r="A625" s="75">
        <v>549</v>
      </c>
      <c r="B625" s="75" t="s">
        <v>857</v>
      </c>
      <c r="C625" s="75">
        <v>5378</v>
      </c>
      <c r="D625" s="75" t="s">
        <v>883</v>
      </c>
      <c r="E625" s="75" t="s">
        <v>1464</v>
      </c>
      <c r="F625" s="75" t="s">
        <v>1510</v>
      </c>
      <c r="G625" s="76">
        <v>45351</v>
      </c>
      <c r="H625" s="75" t="s">
        <v>40</v>
      </c>
      <c r="I625" s="75" t="s">
        <v>32</v>
      </c>
      <c r="J625" s="75" t="s">
        <v>1512</v>
      </c>
      <c r="K625" s="75" t="str">
        <f t="shared" si="9"/>
        <v>02-2024</v>
      </c>
      <c r="L625" s="10" t="s">
        <v>2599</v>
      </c>
    </row>
    <row r="626" spans="1:12" s="10" customFormat="1" ht="12" x14ac:dyDescent="0.3">
      <c r="A626" s="75">
        <v>7469</v>
      </c>
      <c r="B626" s="75" t="s">
        <v>175</v>
      </c>
      <c r="C626" s="75">
        <v>6822</v>
      </c>
      <c r="D626" s="75" t="s">
        <v>595</v>
      </c>
      <c r="E626" s="75" t="s">
        <v>1465</v>
      </c>
      <c r="F626" s="75" t="s">
        <v>1510</v>
      </c>
      <c r="G626" s="76">
        <v>45351</v>
      </c>
      <c r="H626" s="75" t="s">
        <v>35</v>
      </c>
      <c r="I626" s="75" t="s">
        <v>32</v>
      </c>
      <c r="J626" s="75" t="s">
        <v>1512</v>
      </c>
      <c r="K626" s="75" t="str">
        <f t="shared" si="9"/>
        <v>02-2024</v>
      </c>
      <c r="L626" s="10" t="s">
        <v>2599</v>
      </c>
    </row>
    <row r="627" spans="1:12" s="10" customFormat="1" ht="12" x14ac:dyDescent="0.3">
      <c r="A627" s="75">
        <v>3964</v>
      </c>
      <c r="B627" s="75" t="s">
        <v>734</v>
      </c>
      <c r="C627" s="75">
        <v>6596</v>
      </c>
      <c r="D627" s="75" t="s">
        <v>843</v>
      </c>
      <c r="E627" s="75" t="s">
        <v>1466</v>
      </c>
      <c r="F627" s="75" t="s">
        <v>1510</v>
      </c>
      <c r="G627" s="76">
        <v>45350</v>
      </c>
      <c r="H627" s="75" t="s">
        <v>53</v>
      </c>
      <c r="I627" s="75" t="s">
        <v>54</v>
      </c>
      <c r="J627" s="75" t="s">
        <v>1512</v>
      </c>
      <c r="K627" s="75" t="str">
        <f t="shared" si="9"/>
        <v>02-2024</v>
      </c>
      <c r="L627" s="10" t="s">
        <v>2599</v>
      </c>
    </row>
    <row r="628" spans="1:12" s="10" customFormat="1" ht="12" x14ac:dyDescent="0.3">
      <c r="A628" s="75">
        <v>2375</v>
      </c>
      <c r="B628" s="75" t="s">
        <v>859</v>
      </c>
      <c r="C628" s="75">
        <v>751</v>
      </c>
      <c r="D628" s="75" t="s">
        <v>911</v>
      </c>
      <c r="E628" s="75" t="s">
        <v>1467</v>
      </c>
      <c r="F628" s="75" t="s">
        <v>1510</v>
      </c>
      <c r="G628" s="76">
        <v>45350</v>
      </c>
      <c r="H628" s="75" t="s">
        <v>24</v>
      </c>
      <c r="I628" s="75" t="s">
        <v>10</v>
      </c>
      <c r="J628" s="75" t="s">
        <v>1512</v>
      </c>
      <c r="K628" s="75" t="str">
        <f t="shared" si="9"/>
        <v>02-2024</v>
      </c>
      <c r="L628" s="10" t="s">
        <v>2599</v>
      </c>
    </row>
    <row r="629" spans="1:12" s="10" customFormat="1" ht="12" x14ac:dyDescent="0.3">
      <c r="A629" s="75">
        <v>3069</v>
      </c>
      <c r="B629" s="75" t="s">
        <v>856</v>
      </c>
      <c r="C629" s="75">
        <v>761</v>
      </c>
      <c r="D629" s="75" t="s">
        <v>912</v>
      </c>
      <c r="E629" s="75" t="s">
        <v>1468</v>
      </c>
      <c r="F629" s="75" t="s">
        <v>1510</v>
      </c>
      <c r="G629" s="76">
        <v>45349</v>
      </c>
      <c r="H629" s="75" t="s">
        <v>40</v>
      </c>
      <c r="I629" s="75" t="s">
        <v>251</v>
      </c>
      <c r="J629" s="75" t="s">
        <v>1512</v>
      </c>
      <c r="K629" s="75" t="str">
        <f t="shared" si="9"/>
        <v>02-2024</v>
      </c>
      <c r="L629" s="10" t="s">
        <v>2599</v>
      </c>
    </row>
    <row r="630" spans="1:12" s="10" customFormat="1" ht="12" x14ac:dyDescent="0.3">
      <c r="A630" s="75">
        <v>7242</v>
      </c>
      <c r="B630" s="75" t="s">
        <v>860</v>
      </c>
      <c r="C630" s="75">
        <v>7224</v>
      </c>
      <c r="D630" s="75" t="s">
        <v>360</v>
      </c>
      <c r="E630" s="75" t="s">
        <v>1469</v>
      </c>
      <c r="F630" s="75" t="s">
        <v>1509</v>
      </c>
      <c r="G630" s="76">
        <v>45349</v>
      </c>
      <c r="H630" s="75" t="s">
        <v>13</v>
      </c>
      <c r="I630" s="75" t="s">
        <v>10</v>
      </c>
      <c r="J630" s="75" t="s">
        <v>1511</v>
      </c>
      <c r="K630" s="75" t="str">
        <f t="shared" si="9"/>
        <v>02-2024</v>
      </c>
      <c r="L630" s="10" t="s">
        <v>2599</v>
      </c>
    </row>
    <row r="631" spans="1:12" s="10" customFormat="1" ht="12" x14ac:dyDescent="0.3">
      <c r="A631" s="75">
        <v>7656</v>
      </c>
      <c r="B631" s="75" t="s">
        <v>25</v>
      </c>
      <c r="C631" s="75">
        <v>7512</v>
      </c>
      <c r="D631" s="75" t="s">
        <v>646</v>
      </c>
      <c r="E631" s="75" t="s">
        <v>1470</v>
      </c>
      <c r="F631" s="75" t="s">
        <v>1510</v>
      </c>
      <c r="G631" s="76">
        <v>45348</v>
      </c>
      <c r="H631" s="75" t="s">
        <v>13</v>
      </c>
      <c r="I631" s="75" t="s">
        <v>10</v>
      </c>
      <c r="J631" s="75" t="s">
        <v>1512</v>
      </c>
      <c r="K631" s="75" t="str">
        <f t="shared" si="9"/>
        <v>02-2024</v>
      </c>
      <c r="L631" s="10" t="s">
        <v>2599</v>
      </c>
    </row>
    <row r="632" spans="1:12" s="10" customFormat="1" ht="12" x14ac:dyDescent="0.3">
      <c r="A632" s="75">
        <v>4688</v>
      </c>
      <c r="B632" s="75" t="s">
        <v>861</v>
      </c>
      <c r="C632" s="75">
        <v>615</v>
      </c>
      <c r="D632" s="75" t="s">
        <v>898</v>
      </c>
      <c r="E632" s="75" t="s">
        <v>1471</v>
      </c>
      <c r="F632" s="75" t="s">
        <v>1510</v>
      </c>
      <c r="G632" s="76">
        <v>45346</v>
      </c>
      <c r="H632" s="75" t="s">
        <v>40</v>
      </c>
      <c r="I632" s="75" t="s">
        <v>32</v>
      </c>
      <c r="J632" s="75" t="s">
        <v>1512</v>
      </c>
      <c r="K632" s="75" t="str">
        <f t="shared" si="9"/>
        <v>02-2024</v>
      </c>
      <c r="L632" s="10" t="s">
        <v>2599</v>
      </c>
    </row>
    <row r="633" spans="1:12" s="10" customFormat="1" ht="12" x14ac:dyDescent="0.3">
      <c r="A633" s="75">
        <v>2243</v>
      </c>
      <c r="B633" s="75" t="s">
        <v>63</v>
      </c>
      <c r="C633" s="75">
        <v>615</v>
      </c>
      <c r="D633" s="75" t="s">
        <v>898</v>
      </c>
      <c r="E633" s="75" t="s">
        <v>1472</v>
      </c>
      <c r="F633" s="75" t="s">
        <v>1510</v>
      </c>
      <c r="G633" s="76">
        <v>45346</v>
      </c>
      <c r="H633" s="75" t="s">
        <v>53</v>
      </c>
      <c r="I633" s="75" t="s">
        <v>54</v>
      </c>
      <c r="J633" s="75" t="s">
        <v>1512</v>
      </c>
      <c r="K633" s="75" t="str">
        <f t="shared" si="9"/>
        <v>02-2024</v>
      </c>
      <c r="L633" s="10" t="s">
        <v>2599</v>
      </c>
    </row>
    <row r="634" spans="1:12" s="10" customFormat="1" ht="12" x14ac:dyDescent="0.3">
      <c r="A634" s="75">
        <v>7426</v>
      </c>
      <c r="B634" s="75" t="s">
        <v>19</v>
      </c>
      <c r="C634" s="75">
        <v>7250</v>
      </c>
      <c r="D634" s="75" t="s">
        <v>288</v>
      </c>
      <c r="E634" s="75" t="s">
        <v>1473</v>
      </c>
      <c r="F634" s="75" t="s">
        <v>1510</v>
      </c>
      <c r="G634" s="76">
        <v>45345</v>
      </c>
      <c r="H634" s="75" t="s">
        <v>13</v>
      </c>
      <c r="I634" s="75" t="s">
        <v>10</v>
      </c>
      <c r="J634" s="75" t="s">
        <v>1512</v>
      </c>
      <c r="K634" s="75" t="str">
        <f t="shared" si="9"/>
        <v>02-2024</v>
      </c>
      <c r="L634" s="10" t="s">
        <v>2599</v>
      </c>
    </row>
    <row r="635" spans="1:12" s="10" customFormat="1" ht="12" x14ac:dyDescent="0.3">
      <c r="A635" s="75">
        <v>7654</v>
      </c>
      <c r="B635" s="75" t="s">
        <v>55</v>
      </c>
      <c r="C635" s="75">
        <v>7250</v>
      </c>
      <c r="D635" s="75" t="s">
        <v>288</v>
      </c>
      <c r="E635" s="75" t="s">
        <v>1474</v>
      </c>
      <c r="F635" s="75" t="s">
        <v>1510</v>
      </c>
      <c r="G635" s="76">
        <v>45345</v>
      </c>
      <c r="H635" s="75" t="s">
        <v>16</v>
      </c>
      <c r="I635" s="75" t="s">
        <v>54</v>
      </c>
      <c r="J635" s="75" t="s">
        <v>1512</v>
      </c>
      <c r="K635" s="75" t="str">
        <f t="shared" si="9"/>
        <v>02-2024</v>
      </c>
      <c r="L635" s="10" t="s">
        <v>2599</v>
      </c>
    </row>
    <row r="636" spans="1:12" s="10" customFormat="1" ht="12" x14ac:dyDescent="0.3">
      <c r="A636" s="75">
        <v>7658</v>
      </c>
      <c r="B636" s="75" t="s">
        <v>59</v>
      </c>
      <c r="C636" s="75">
        <v>7290</v>
      </c>
      <c r="D636" s="75" t="s">
        <v>711</v>
      </c>
      <c r="E636" s="75" t="s">
        <v>1475</v>
      </c>
      <c r="F636" s="75" t="s">
        <v>1510</v>
      </c>
      <c r="G636" s="76">
        <v>45345</v>
      </c>
      <c r="H636" s="75" t="s">
        <v>9</v>
      </c>
      <c r="I636" s="75" t="s">
        <v>54</v>
      </c>
      <c r="J636" s="75" t="s">
        <v>1512</v>
      </c>
      <c r="K636" s="75" t="str">
        <f t="shared" si="9"/>
        <v>02-2024</v>
      </c>
      <c r="L636" s="10" t="s">
        <v>2599</v>
      </c>
    </row>
    <row r="637" spans="1:12" s="10" customFormat="1" ht="12" x14ac:dyDescent="0.3">
      <c r="A637" s="75">
        <v>7640</v>
      </c>
      <c r="B637" s="75" t="s">
        <v>6</v>
      </c>
      <c r="C637" s="75">
        <v>6110</v>
      </c>
      <c r="D637" s="75" t="s">
        <v>715</v>
      </c>
      <c r="E637" s="75" t="s">
        <v>85</v>
      </c>
      <c r="F637" s="75" t="s">
        <v>1509</v>
      </c>
      <c r="G637" s="76">
        <v>45345</v>
      </c>
      <c r="H637" s="75" t="s">
        <v>9</v>
      </c>
      <c r="I637" s="75" t="s">
        <v>10</v>
      </c>
      <c r="J637" s="75" t="s">
        <v>1511</v>
      </c>
      <c r="K637" s="75" t="str">
        <f t="shared" si="9"/>
        <v>02-2024</v>
      </c>
      <c r="L637" s="10" t="s">
        <v>2599</v>
      </c>
    </row>
    <row r="638" spans="1:12" s="10" customFormat="1" ht="12" x14ac:dyDescent="0.3">
      <c r="A638" s="75">
        <v>2826</v>
      </c>
      <c r="B638" s="75" t="s">
        <v>169</v>
      </c>
      <c r="C638" s="75">
        <v>5428</v>
      </c>
      <c r="D638" s="75" t="s">
        <v>647</v>
      </c>
      <c r="E638" s="75" t="s">
        <v>1476</v>
      </c>
      <c r="F638" s="75" t="s">
        <v>1510</v>
      </c>
      <c r="G638" s="76">
        <v>45345</v>
      </c>
      <c r="H638" s="75" t="s">
        <v>9</v>
      </c>
      <c r="I638" s="75" t="s">
        <v>54</v>
      </c>
      <c r="J638" s="75" t="s">
        <v>1512</v>
      </c>
      <c r="K638" s="75" t="str">
        <f t="shared" si="9"/>
        <v>02-2024</v>
      </c>
      <c r="L638" s="10" t="s">
        <v>2599</v>
      </c>
    </row>
    <row r="639" spans="1:12" s="10" customFormat="1" ht="12" x14ac:dyDescent="0.3">
      <c r="A639" s="75">
        <v>3447</v>
      </c>
      <c r="B639" s="75" t="s">
        <v>179</v>
      </c>
      <c r="C639" s="75">
        <v>5428</v>
      </c>
      <c r="D639" s="75" t="s">
        <v>647</v>
      </c>
      <c r="E639" s="75" t="s">
        <v>1477</v>
      </c>
      <c r="F639" s="75" t="s">
        <v>1510</v>
      </c>
      <c r="G639" s="76">
        <v>45345</v>
      </c>
      <c r="H639" s="75" t="s">
        <v>9</v>
      </c>
      <c r="I639" s="75" t="s">
        <v>54</v>
      </c>
      <c r="J639" s="75" t="s">
        <v>1512</v>
      </c>
      <c r="K639" s="75" t="str">
        <f t="shared" si="9"/>
        <v>02-2024</v>
      </c>
      <c r="L639" s="10" t="s">
        <v>2599</v>
      </c>
    </row>
    <row r="640" spans="1:12" s="10" customFormat="1" ht="12" x14ac:dyDescent="0.3">
      <c r="A640" s="75">
        <v>4037</v>
      </c>
      <c r="B640" s="75" t="s">
        <v>862</v>
      </c>
      <c r="C640" s="75">
        <v>3028</v>
      </c>
      <c r="D640" s="75" t="s">
        <v>913</v>
      </c>
      <c r="E640" s="75" t="s">
        <v>1478</v>
      </c>
      <c r="F640" s="75" t="s">
        <v>1510</v>
      </c>
      <c r="G640" s="76">
        <v>45345</v>
      </c>
      <c r="H640" s="75" t="s">
        <v>35</v>
      </c>
      <c r="I640" s="75" t="s">
        <v>32</v>
      </c>
      <c r="J640" s="75" t="s">
        <v>1512</v>
      </c>
      <c r="K640" s="75" t="str">
        <f t="shared" si="9"/>
        <v>02-2024</v>
      </c>
      <c r="L640" s="10" t="s">
        <v>2599</v>
      </c>
    </row>
    <row r="641" spans="1:12" s="10" customFormat="1" ht="12" x14ac:dyDescent="0.3">
      <c r="A641" s="75">
        <v>7756</v>
      </c>
      <c r="B641" s="75" t="s">
        <v>65</v>
      </c>
      <c r="C641" s="75">
        <v>7584</v>
      </c>
      <c r="D641" s="75" t="s">
        <v>266</v>
      </c>
      <c r="E641" s="75" t="s">
        <v>1479</v>
      </c>
      <c r="F641" s="75" t="s">
        <v>1510</v>
      </c>
      <c r="G641" s="76">
        <v>45344</v>
      </c>
      <c r="H641" s="75" t="s">
        <v>9</v>
      </c>
      <c r="I641" s="75" t="s">
        <v>54</v>
      </c>
      <c r="J641" s="75" t="s">
        <v>1512</v>
      </c>
      <c r="K641" s="75" t="str">
        <f t="shared" si="9"/>
        <v>02-2024</v>
      </c>
      <c r="L641" s="10" t="s">
        <v>2599</v>
      </c>
    </row>
    <row r="642" spans="1:12" s="10" customFormat="1" ht="12" x14ac:dyDescent="0.3">
      <c r="A642" s="75">
        <v>5271</v>
      </c>
      <c r="B642" s="75" t="s">
        <v>855</v>
      </c>
      <c r="C642" s="75">
        <v>7584</v>
      </c>
      <c r="D642" s="75" t="s">
        <v>266</v>
      </c>
      <c r="E642" s="75" t="s">
        <v>1480</v>
      </c>
      <c r="F642" s="75" t="s">
        <v>1510</v>
      </c>
      <c r="G642" s="76">
        <v>45344</v>
      </c>
      <c r="H642" s="75" t="s">
        <v>53</v>
      </c>
      <c r="I642" s="75" t="s">
        <v>32</v>
      </c>
      <c r="J642" s="75" t="s">
        <v>1512</v>
      </c>
      <c r="K642" s="75" t="str">
        <f t="shared" si="9"/>
        <v>02-2024</v>
      </c>
      <c r="L642" s="10" t="s">
        <v>2599</v>
      </c>
    </row>
    <row r="643" spans="1:12" s="10" customFormat="1" ht="12" x14ac:dyDescent="0.3">
      <c r="A643" s="75">
        <v>7275</v>
      </c>
      <c r="B643" s="75" t="s">
        <v>27</v>
      </c>
      <c r="C643" s="75">
        <v>1503</v>
      </c>
      <c r="D643" s="75" t="s">
        <v>651</v>
      </c>
      <c r="E643" s="75" t="s">
        <v>1481</v>
      </c>
      <c r="F643" s="75" t="s">
        <v>1509</v>
      </c>
      <c r="G643" s="76">
        <v>45344</v>
      </c>
      <c r="H643" s="75" t="s">
        <v>24</v>
      </c>
      <c r="I643" s="75" t="s">
        <v>10</v>
      </c>
      <c r="J643" s="75" t="s">
        <v>1511</v>
      </c>
      <c r="K643" s="75" t="str">
        <f t="shared" ref="K643:K706" si="10">TEXT(G643,"mm-yyyy")</f>
        <v>02-2024</v>
      </c>
      <c r="L643" s="10" t="s">
        <v>2599</v>
      </c>
    </row>
    <row r="644" spans="1:12" s="10" customFormat="1" ht="12" x14ac:dyDescent="0.3">
      <c r="A644" s="75">
        <v>3069</v>
      </c>
      <c r="B644" s="75" t="s">
        <v>856</v>
      </c>
      <c r="C644" s="75">
        <v>6411</v>
      </c>
      <c r="D644" s="75" t="s">
        <v>914</v>
      </c>
      <c r="E644" s="75" t="s">
        <v>1482</v>
      </c>
      <c r="F644" s="75" t="s">
        <v>1510</v>
      </c>
      <c r="G644" s="76">
        <v>45343</v>
      </c>
      <c r="H644" s="75" t="s">
        <v>40</v>
      </c>
      <c r="I644" s="75" t="s">
        <v>251</v>
      </c>
      <c r="J644" s="75" t="s">
        <v>1512</v>
      </c>
      <c r="K644" s="75" t="str">
        <f t="shared" si="10"/>
        <v>02-2024</v>
      </c>
      <c r="L644" s="10" t="s">
        <v>2599</v>
      </c>
    </row>
    <row r="645" spans="1:12" s="10" customFormat="1" ht="12" x14ac:dyDescent="0.3">
      <c r="A645" s="75">
        <v>1377</v>
      </c>
      <c r="B645" s="75" t="s">
        <v>296</v>
      </c>
      <c r="C645" s="75">
        <v>5271</v>
      </c>
      <c r="D645" s="75" t="s">
        <v>855</v>
      </c>
      <c r="E645" s="75" t="s">
        <v>1483</v>
      </c>
      <c r="F645" s="75" t="s">
        <v>1510</v>
      </c>
      <c r="G645" s="76">
        <v>45342</v>
      </c>
      <c r="H645" s="75" t="s">
        <v>53</v>
      </c>
      <c r="I645" s="75" t="s">
        <v>54</v>
      </c>
      <c r="J645" s="75" t="s">
        <v>1512</v>
      </c>
      <c r="K645" s="75" t="str">
        <f t="shared" si="10"/>
        <v>02-2024</v>
      </c>
      <c r="L645" s="10" t="s">
        <v>2599</v>
      </c>
    </row>
    <row r="646" spans="1:12" s="10" customFormat="1" ht="12" x14ac:dyDescent="0.3">
      <c r="A646" s="75">
        <v>7279</v>
      </c>
      <c r="B646" s="75" t="s">
        <v>858</v>
      </c>
      <c r="C646" s="75">
        <v>6114</v>
      </c>
      <c r="D646" s="75" t="s">
        <v>915</v>
      </c>
      <c r="E646" s="75" t="s">
        <v>1484</v>
      </c>
      <c r="F646" s="75" t="s">
        <v>1510</v>
      </c>
      <c r="G646" s="76">
        <v>45341</v>
      </c>
      <c r="H646" s="75" t="s">
        <v>73</v>
      </c>
      <c r="I646" s="75" t="s">
        <v>74</v>
      </c>
      <c r="J646" s="75" t="s">
        <v>1512</v>
      </c>
      <c r="K646" s="75" t="str">
        <f t="shared" si="10"/>
        <v>02-2024</v>
      </c>
      <c r="L646" s="10" t="s">
        <v>2599</v>
      </c>
    </row>
    <row r="647" spans="1:12" s="10" customFormat="1" ht="12" x14ac:dyDescent="0.3">
      <c r="A647" s="75">
        <v>7279</v>
      </c>
      <c r="B647" s="75" t="s">
        <v>858</v>
      </c>
      <c r="C647" s="75">
        <v>6037</v>
      </c>
      <c r="D647" s="75" t="s">
        <v>916</v>
      </c>
      <c r="E647" s="75" t="s">
        <v>1485</v>
      </c>
      <c r="F647" s="75" t="s">
        <v>1510</v>
      </c>
      <c r="G647" s="76">
        <v>45341</v>
      </c>
      <c r="H647" s="75" t="s">
        <v>73</v>
      </c>
      <c r="I647" s="75" t="s">
        <v>74</v>
      </c>
      <c r="J647" s="75" t="s">
        <v>1512</v>
      </c>
      <c r="K647" s="75" t="str">
        <f t="shared" si="10"/>
        <v>02-2024</v>
      </c>
      <c r="L647" s="10" t="s">
        <v>2599</v>
      </c>
    </row>
    <row r="648" spans="1:12" s="10" customFormat="1" ht="12" x14ac:dyDescent="0.3">
      <c r="A648" s="75">
        <v>6983</v>
      </c>
      <c r="B648" s="75" t="s">
        <v>792</v>
      </c>
      <c r="C648" s="75">
        <v>1845</v>
      </c>
      <c r="D648" s="75" t="s">
        <v>917</v>
      </c>
      <c r="E648" s="75" t="s">
        <v>1486</v>
      </c>
      <c r="F648" s="75" t="s">
        <v>1510</v>
      </c>
      <c r="G648" s="76">
        <v>45341</v>
      </c>
      <c r="H648" s="75" t="s">
        <v>35</v>
      </c>
      <c r="I648" s="75" t="s">
        <v>32</v>
      </c>
      <c r="J648" s="75" t="s">
        <v>1512</v>
      </c>
      <c r="K648" s="75" t="str">
        <f t="shared" si="10"/>
        <v>02-2024</v>
      </c>
      <c r="L648" s="10" t="s">
        <v>2599</v>
      </c>
    </row>
    <row r="649" spans="1:12" s="10" customFormat="1" ht="12" x14ac:dyDescent="0.3">
      <c r="A649" s="75">
        <v>7640</v>
      </c>
      <c r="B649" s="75" t="s">
        <v>6</v>
      </c>
      <c r="C649" s="75">
        <v>5780</v>
      </c>
      <c r="D649" s="75" t="s">
        <v>483</v>
      </c>
      <c r="E649" s="75" t="s">
        <v>1487</v>
      </c>
      <c r="F649" s="75" t="s">
        <v>1510</v>
      </c>
      <c r="G649" s="76">
        <v>45341</v>
      </c>
      <c r="H649" s="75" t="s">
        <v>9</v>
      </c>
      <c r="I649" s="75" t="s">
        <v>10</v>
      </c>
      <c r="J649" s="75" t="s">
        <v>1512</v>
      </c>
      <c r="K649" s="75" t="str">
        <f t="shared" si="10"/>
        <v>02-2024</v>
      </c>
      <c r="L649" s="10" t="s">
        <v>2599</v>
      </c>
    </row>
    <row r="650" spans="1:12" s="10" customFormat="1" ht="12" x14ac:dyDescent="0.3">
      <c r="A650" s="75">
        <v>2199</v>
      </c>
      <c r="B650" s="75" t="s">
        <v>854</v>
      </c>
      <c r="C650" s="75">
        <v>5323</v>
      </c>
      <c r="D650" s="75" t="s">
        <v>707</v>
      </c>
      <c r="E650" s="75" t="s">
        <v>1488</v>
      </c>
      <c r="F650" s="75" t="s">
        <v>1510</v>
      </c>
      <c r="G650" s="76">
        <v>45338</v>
      </c>
      <c r="H650" s="75" t="s">
        <v>53</v>
      </c>
      <c r="I650" s="75" t="s">
        <v>54</v>
      </c>
      <c r="J650" s="75" t="s">
        <v>1512</v>
      </c>
      <c r="K650" s="75" t="str">
        <f t="shared" si="10"/>
        <v>02-2024</v>
      </c>
      <c r="L650" s="10" t="s">
        <v>2599</v>
      </c>
    </row>
    <row r="651" spans="1:12" s="10" customFormat="1" ht="12" x14ac:dyDescent="0.3">
      <c r="A651" s="75">
        <v>7347</v>
      </c>
      <c r="B651" s="75" t="s">
        <v>51</v>
      </c>
      <c r="C651" s="75">
        <v>5323</v>
      </c>
      <c r="D651" s="75" t="s">
        <v>707</v>
      </c>
      <c r="E651" s="75" t="s">
        <v>1489</v>
      </c>
      <c r="F651" s="75" t="s">
        <v>1510</v>
      </c>
      <c r="G651" s="76">
        <v>45338</v>
      </c>
      <c r="H651" s="75" t="s">
        <v>53</v>
      </c>
      <c r="I651" s="75" t="s">
        <v>54</v>
      </c>
      <c r="J651" s="75" t="s">
        <v>1512</v>
      </c>
      <c r="K651" s="75" t="str">
        <f t="shared" si="10"/>
        <v>02-2024</v>
      </c>
      <c r="L651" s="10" t="s">
        <v>2599</v>
      </c>
    </row>
    <row r="652" spans="1:12" s="10" customFormat="1" ht="12" x14ac:dyDescent="0.3">
      <c r="A652" s="75">
        <v>6375</v>
      </c>
      <c r="B652" s="75" t="s">
        <v>17</v>
      </c>
      <c r="C652" s="75" t="s">
        <v>1508</v>
      </c>
      <c r="D652" s="75" t="s">
        <v>866</v>
      </c>
      <c r="E652" s="75" t="s">
        <v>81</v>
      </c>
      <c r="F652" s="75" t="s">
        <v>1509</v>
      </c>
      <c r="G652" s="76">
        <v>45334</v>
      </c>
      <c r="H652" s="75" t="s">
        <v>9</v>
      </c>
      <c r="I652" s="75" t="s">
        <v>10</v>
      </c>
      <c r="J652" s="75" t="s">
        <v>1511</v>
      </c>
      <c r="K652" s="75" t="str">
        <f t="shared" si="10"/>
        <v>02-2024</v>
      </c>
      <c r="L652" s="10" t="s">
        <v>2599</v>
      </c>
    </row>
    <row r="653" spans="1:12" s="10" customFormat="1" ht="12" x14ac:dyDescent="0.3">
      <c r="A653" s="75">
        <v>7360</v>
      </c>
      <c r="B653" s="75" t="s">
        <v>699</v>
      </c>
      <c r="C653" s="75" t="s">
        <v>1508</v>
      </c>
      <c r="D653" s="75" t="s">
        <v>866</v>
      </c>
      <c r="E653" s="75" t="s">
        <v>1490</v>
      </c>
      <c r="F653" s="75" t="s">
        <v>1509</v>
      </c>
      <c r="G653" s="76">
        <v>45334</v>
      </c>
      <c r="H653" s="75" t="s">
        <v>395</v>
      </c>
      <c r="I653" s="75" t="s">
        <v>10</v>
      </c>
      <c r="J653" s="75" t="s">
        <v>1511</v>
      </c>
      <c r="K653" s="75" t="str">
        <f t="shared" si="10"/>
        <v>02-2024</v>
      </c>
      <c r="L653" s="10" t="s">
        <v>2599</v>
      </c>
    </row>
    <row r="654" spans="1:12" s="10" customFormat="1" ht="12" x14ac:dyDescent="0.3">
      <c r="A654" s="75">
        <v>6519</v>
      </c>
      <c r="B654" s="75" t="s">
        <v>748</v>
      </c>
      <c r="C654" s="75" t="s">
        <v>1508</v>
      </c>
      <c r="D654" s="75" t="s">
        <v>866</v>
      </c>
      <c r="E654" s="75" t="s">
        <v>1491</v>
      </c>
      <c r="F654" s="75" t="s">
        <v>1509</v>
      </c>
      <c r="G654" s="76">
        <v>45334</v>
      </c>
      <c r="H654" s="75" t="s">
        <v>395</v>
      </c>
      <c r="I654" s="75" t="s">
        <v>10</v>
      </c>
      <c r="J654" s="75" t="s">
        <v>1511</v>
      </c>
      <c r="K654" s="75" t="str">
        <f t="shared" si="10"/>
        <v>02-2024</v>
      </c>
      <c r="L654" s="10" t="s">
        <v>2599</v>
      </c>
    </row>
    <row r="655" spans="1:12" s="10" customFormat="1" ht="12" x14ac:dyDescent="0.3">
      <c r="A655" s="75">
        <v>7021</v>
      </c>
      <c r="B655" s="75" t="s">
        <v>69</v>
      </c>
      <c r="C655" s="75" t="s">
        <v>1508</v>
      </c>
      <c r="D655" s="75" t="s">
        <v>866</v>
      </c>
      <c r="E655" s="75" t="s">
        <v>1492</v>
      </c>
      <c r="F655" s="75" t="s">
        <v>1509</v>
      </c>
      <c r="G655" s="76">
        <v>45334</v>
      </c>
      <c r="H655" s="75" t="s">
        <v>16</v>
      </c>
      <c r="I655" s="75" t="s">
        <v>54</v>
      </c>
      <c r="J655" s="75" t="s">
        <v>1511</v>
      </c>
      <c r="K655" s="75" t="str">
        <f t="shared" si="10"/>
        <v>02-2024</v>
      </c>
      <c r="L655" s="10" t="s">
        <v>2599</v>
      </c>
    </row>
    <row r="656" spans="1:12" s="10" customFormat="1" ht="12" x14ac:dyDescent="0.3">
      <c r="A656" s="75">
        <v>7576</v>
      </c>
      <c r="B656" s="75" t="s">
        <v>422</v>
      </c>
      <c r="C656" s="75" t="s">
        <v>1508</v>
      </c>
      <c r="D656" s="75" t="s">
        <v>866</v>
      </c>
      <c r="E656" s="75" t="s">
        <v>1493</v>
      </c>
      <c r="F656" s="75" t="s">
        <v>1509</v>
      </c>
      <c r="G656" s="76">
        <v>45334</v>
      </c>
      <c r="H656" s="75" t="s">
        <v>73</v>
      </c>
      <c r="I656" s="75" t="s">
        <v>32</v>
      </c>
      <c r="J656" s="75" t="s">
        <v>1511</v>
      </c>
      <c r="K656" s="75" t="str">
        <f t="shared" si="10"/>
        <v>02-2024</v>
      </c>
      <c r="L656" s="10" t="s">
        <v>2599</v>
      </c>
    </row>
    <row r="657" spans="1:12" s="10" customFormat="1" ht="12" x14ac:dyDescent="0.3">
      <c r="A657" s="75">
        <v>1459</v>
      </c>
      <c r="B657" s="75" t="s">
        <v>863</v>
      </c>
      <c r="C657" s="75" t="s">
        <v>1508</v>
      </c>
      <c r="D657" s="75" t="s">
        <v>866</v>
      </c>
      <c r="E657" s="75" t="s">
        <v>1494</v>
      </c>
      <c r="F657" s="75" t="s">
        <v>1509</v>
      </c>
      <c r="G657" s="76">
        <v>45334</v>
      </c>
      <c r="H657" s="75" t="s">
        <v>24</v>
      </c>
      <c r="I657" s="75" t="s">
        <v>251</v>
      </c>
      <c r="J657" s="75" t="s">
        <v>1511</v>
      </c>
      <c r="K657" s="75" t="str">
        <f t="shared" si="10"/>
        <v>02-2024</v>
      </c>
      <c r="L657" s="10" t="s">
        <v>2599</v>
      </c>
    </row>
    <row r="658" spans="1:12" s="10" customFormat="1" ht="12" x14ac:dyDescent="0.3">
      <c r="A658" s="75">
        <v>5129</v>
      </c>
      <c r="B658" s="75" t="s">
        <v>30</v>
      </c>
      <c r="C658" s="75" t="s">
        <v>1508</v>
      </c>
      <c r="D658" s="75" t="s">
        <v>866</v>
      </c>
      <c r="E658" s="75" t="s">
        <v>87</v>
      </c>
      <c r="F658" s="75" t="s">
        <v>1509</v>
      </c>
      <c r="G658" s="76">
        <v>45334</v>
      </c>
      <c r="H658" s="75" t="s">
        <v>24</v>
      </c>
      <c r="I658" s="75" t="s">
        <v>32</v>
      </c>
      <c r="J658" s="75" t="s">
        <v>1511</v>
      </c>
      <c r="K658" s="75" t="str">
        <f t="shared" si="10"/>
        <v>02-2024</v>
      </c>
      <c r="L658" s="10" t="s">
        <v>2599</v>
      </c>
    </row>
    <row r="659" spans="1:12" s="10" customFormat="1" ht="12" x14ac:dyDescent="0.3">
      <c r="A659" s="75">
        <v>7157</v>
      </c>
      <c r="B659" s="75" t="s">
        <v>46</v>
      </c>
      <c r="C659" s="75" t="s">
        <v>1508</v>
      </c>
      <c r="D659" s="75" t="s">
        <v>866</v>
      </c>
      <c r="E659" s="75" t="s">
        <v>1495</v>
      </c>
      <c r="F659" s="75" t="s">
        <v>1509</v>
      </c>
      <c r="G659" s="76">
        <v>45334</v>
      </c>
      <c r="H659" s="75" t="s">
        <v>40</v>
      </c>
      <c r="I659" s="75" t="s">
        <v>32</v>
      </c>
      <c r="J659" s="75" t="s">
        <v>1511</v>
      </c>
      <c r="K659" s="75" t="str">
        <f t="shared" si="10"/>
        <v>02-2024</v>
      </c>
      <c r="L659" s="10" t="s">
        <v>2599</v>
      </c>
    </row>
    <row r="660" spans="1:12" s="10" customFormat="1" ht="12" x14ac:dyDescent="0.3">
      <c r="A660" s="75">
        <v>4937</v>
      </c>
      <c r="B660" s="75" t="s">
        <v>127</v>
      </c>
      <c r="C660" s="75" t="s">
        <v>1508</v>
      </c>
      <c r="D660" s="75" t="s">
        <v>866</v>
      </c>
      <c r="E660" s="75" t="s">
        <v>1496</v>
      </c>
      <c r="F660" s="75" t="s">
        <v>1509</v>
      </c>
      <c r="G660" s="76">
        <v>45334</v>
      </c>
      <c r="H660" s="75" t="s">
        <v>53</v>
      </c>
      <c r="I660" s="75" t="s">
        <v>54</v>
      </c>
      <c r="J660" s="75" t="s">
        <v>1511</v>
      </c>
      <c r="K660" s="75" t="str">
        <f t="shared" si="10"/>
        <v>02-2024</v>
      </c>
      <c r="L660" s="10" t="s">
        <v>2599</v>
      </c>
    </row>
    <row r="661" spans="1:12" s="10" customFormat="1" ht="12" x14ac:dyDescent="0.3">
      <c r="A661" s="75">
        <v>2321</v>
      </c>
      <c r="B661" s="75" t="s">
        <v>795</v>
      </c>
      <c r="C661" s="75" t="s">
        <v>1508</v>
      </c>
      <c r="D661" s="75" t="s">
        <v>866</v>
      </c>
      <c r="E661" s="75" t="s">
        <v>1497</v>
      </c>
      <c r="F661" s="75" t="s">
        <v>1509</v>
      </c>
      <c r="G661" s="76">
        <v>45334</v>
      </c>
      <c r="H661" s="75" t="s">
        <v>53</v>
      </c>
      <c r="I661" s="75" t="s">
        <v>54</v>
      </c>
      <c r="J661" s="75" t="s">
        <v>1511</v>
      </c>
      <c r="K661" s="75" t="str">
        <f t="shared" si="10"/>
        <v>02-2024</v>
      </c>
      <c r="L661" s="10" t="s">
        <v>2599</v>
      </c>
    </row>
    <row r="662" spans="1:12" s="10" customFormat="1" ht="12" x14ac:dyDescent="0.3">
      <c r="A662" s="75">
        <v>2079</v>
      </c>
      <c r="B662" s="75" t="s">
        <v>864</v>
      </c>
      <c r="C662" s="75" t="s">
        <v>1508</v>
      </c>
      <c r="D662" s="75" t="s">
        <v>866</v>
      </c>
      <c r="E662" s="75" t="s">
        <v>1498</v>
      </c>
      <c r="F662" s="75" t="s">
        <v>1509</v>
      </c>
      <c r="G662" s="76">
        <v>45334</v>
      </c>
      <c r="H662" s="75" t="s">
        <v>16</v>
      </c>
      <c r="I662" s="75" t="s">
        <v>54</v>
      </c>
      <c r="J662" s="75" t="s">
        <v>1511</v>
      </c>
      <c r="K662" s="75" t="str">
        <f t="shared" si="10"/>
        <v>02-2024</v>
      </c>
      <c r="L662" s="10" t="s">
        <v>2599</v>
      </c>
    </row>
    <row r="663" spans="1:12" s="10" customFormat="1" ht="12" x14ac:dyDescent="0.3">
      <c r="A663" s="75">
        <v>2220</v>
      </c>
      <c r="B663" s="75" t="s">
        <v>33</v>
      </c>
      <c r="C663" s="75" t="s">
        <v>1508</v>
      </c>
      <c r="D663" s="75" t="s">
        <v>866</v>
      </c>
      <c r="E663" s="75" t="s">
        <v>92</v>
      </c>
      <c r="F663" s="75" t="s">
        <v>1509</v>
      </c>
      <c r="G663" s="76">
        <v>45334</v>
      </c>
      <c r="H663" s="75" t="s">
        <v>35</v>
      </c>
      <c r="I663" s="75" t="s">
        <v>32</v>
      </c>
      <c r="J663" s="75" t="s">
        <v>1511</v>
      </c>
      <c r="K663" s="75" t="str">
        <f t="shared" si="10"/>
        <v>02-2024</v>
      </c>
      <c r="L663" s="10" t="s">
        <v>2599</v>
      </c>
    </row>
    <row r="664" spans="1:12" s="10" customFormat="1" ht="12" x14ac:dyDescent="0.3">
      <c r="A664" s="75">
        <v>2065</v>
      </c>
      <c r="B664" s="75" t="s">
        <v>825</v>
      </c>
      <c r="C664" s="75" t="s">
        <v>1508</v>
      </c>
      <c r="D664" s="75" t="s">
        <v>866</v>
      </c>
      <c r="E664" s="75" t="s">
        <v>1499</v>
      </c>
      <c r="F664" s="75" t="s">
        <v>1509</v>
      </c>
      <c r="G664" s="76">
        <v>45334</v>
      </c>
      <c r="H664" s="75" t="s">
        <v>35</v>
      </c>
      <c r="I664" s="75" t="s">
        <v>32</v>
      </c>
      <c r="J664" s="75" t="s">
        <v>1511</v>
      </c>
      <c r="K664" s="75" t="str">
        <f t="shared" si="10"/>
        <v>02-2024</v>
      </c>
      <c r="L664" s="10" t="s">
        <v>2599</v>
      </c>
    </row>
    <row r="665" spans="1:12" s="10" customFormat="1" ht="12" x14ac:dyDescent="0.3">
      <c r="A665" s="75">
        <v>1847</v>
      </c>
      <c r="B665" s="75" t="s">
        <v>44</v>
      </c>
      <c r="C665" s="75" t="s">
        <v>1508</v>
      </c>
      <c r="D665" s="75" t="s">
        <v>866</v>
      </c>
      <c r="E665" s="75" t="s">
        <v>91</v>
      </c>
      <c r="F665" s="75" t="s">
        <v>1509</v>
      </c>
      <c r="G665" s="76">
        <v>45334</v>
      </c>
      <c r="H665" s="75" t="s">
        <v>35</v>
      </c>
      <c r="I665" s="75" t="s">
        <v>32</v>
      </c>
      <c r="J665" s="75" t="s">
        <v>1511</v>
      </c>
      <c r="K665" s="75" t="str">
        <f t="shared" si="10"/>
        <v>02-2024</v>
      </c>
      <c r="L665" s="10" t="s">
        <v>2599</v>
      </c>
    </row>
    <row r="666" spans="1:12" s="10" customFormat="1" ht="12" x14ac:dyDescent="0.3">
      <c r="A666" s="75">
        <v>6356</v>
      </c>
      <c r="B666" s="75" t="s">
        <v>49</v>
      </c>
      <c r="C666" s="75" t="s">
        <v>1508</v>
      </c>
      <c r="D666" s="75" t="s">
        <v>866</v>
      </c>
      <c r="E666" s="75" t="s">
        <v>83</v>
      </c>
      <c r="F666" s="75" t="s">
        <v>1509</v>
      </c>
      <c r="G666" s="76">
        <v>45334</v>
      </c>
      <c r="H666" s="75" t="s">
        <v>35</v>
      </c>
      <c r="I666" s="75" t="s">
        <v>32</v>
      </c>
      <c r="J666" s="75" t="s">
        <v>1511</v>
      </c>
      <c r="K666" s="75" t="str">
        <f t="shared" si="10"/>
        <v>02-2024</v>
      </c>
      <c r="L666" s="10" t="s">
        <v>2599</v>
      </c>
    </row>
    <row r="667" spans="1:12" s="10" customFormat="1" ht="12" x14ac:dyDescent="0.3">
      <c r="A667" s="75">
        <v>6320</v>
      </c>
      <c r="B667" s="75" t="s">
        <v>638</v>
      </c>
      <c r="C667" s="75" t="s">
        <v>1508</v>
      </c>
      <c r="D667" s="75" t="s">
        <v>866</v>
      </c>
      <c r="E667" s="75" t="s">
        <v>1500</v>
      </c>
      <c r="F667" s="75" t="s">
        <v>1509</v>
      </c>
      <c r="G667" s="76">
        <v>45334</v>
      </c>
      <c r="H667" s="75" t="s">
        <v>40</v>
      </c>
      <c r="I667" s="75" t="s">
        <v>54</v>
      </c>
      <c r="J667" s="75" t="s">
        <v>1511</v>
      </c>
      <c r="K667" s="75" t="str">
        <f t="shared" si="10"/>
        <v>02-2024</v>
      </c>
      <c r="L667" s="10" t="s">
        <v>2599</v>
      </c>
    </row>
    <row r="668" spans="1:12" s="10" customFormat="1" ht="12" x14ac:dyDescent="0.3">
      <c r="A668" s="75">
        <v>7496</v>
      </c>
      <c r="B668" s="75" t="s">
        <v>865</v>
      </c>
      <c r="C668" s="75" t="s">
        <v>1508</v>
      </c>
      <c r="D668" s="75" t="s">
        <v>866</v>
      </c>
      <c r="E668" s="75" t="s">
        <v>1501</v>
      </c>
      <c r="F668" s="75" t="s">
        <v>1509</v>
      </c>
      <c r="G668" s="76">
        <v>45334</v>
      </c>
      <c r="H668" s="75" t="s">
        <v>73</v>
      </c>
      <c r="I668" s="75" t="s">
        <v>32</v>
      </c>
      <c r="J668" s="75" t="s">
        <v>1511</v>
      </c>
      <c r="K668" s="75" t="str">
        <f t="shared" si="10"/>
        <v>02-2024</v>
      </c>
      <c r="L668" s="10" t="s">
        <v>2599</v>
      </c>
    </row>
    <row r="669" spans="1:12" s="10" customFormat="1" ht="12" x14ac:dyDescent="0.3">
      <c r="A669" s="75">
        <v>549</v>
      </c>
      <c r="B669" s="75" t="s">
        <v>857</v>
      </c>
      <c r="C669" s="75" t="s">
        <v>1508</v>
      </c>
      <c r="D669" s="75" t="s">
        <v>866</v>
      </c>
      <c r="E669" s="75" t="s">
        <v>1502</v>
      </c>
      <c r="F669" s="75" t="s">
        <v>1509</v>
      </c>
      <c r="G669" s="76">
        <v>45334</v>
      </c>
      <c r="H669" s="75" t="s">
        <v>40</v>
      </c>
      <c r="I669" s="75" t="s">
        <v>32</v>
      </c>
      <c r="J669" s="75" t="s">
        <v>1511</v>
      </c>
      <c r="K669" s="75" t="str">
        <f t="shared" si="10"/>
        <v>02-2024</v>
      </c>
      <c r="L669" s="10" t="s">
        <v>2599</v>
      </c>
    </row>
    <row r="670" spans="1:12" s="10" customFormat="1" ht="12" x14ac:dyDescent="0.3">
      <c r="A670" s="75">
        <v>1313</v>
      </c>
      <c r="B670" s="75" t="s">
        <v>61</v>
      </c>
      <c r="C670" s="75" t="s">
        <v>1508</v>
      </c>
      <c r="D670" s="75" t="s">
        <v>866</v>
      </c>
      <c r="E670" s="75" t="s">
        <v>1503</v>
      </c>
      <c r="F670" s="75" t="s">
        <v>1509</v>
      </c>
      <c r="G670" s="76">
        <v>45334</v>
      </c>
      <c r="H670" s="75" t="s">
        <v>53</v>
      </c>
      <c r="I670" s="75" t="s">
        <v>54</v>
      </c>
      <c r="J670" s="75" t="s">
        <v>1511</v>
      </c>
      <c r="K670" s="75" t="str">
        <f t="shared" si="10"/>
        <v>02-2024</v>
      </c>
      <c r="L670" s="10" t="s">
        <v>2599</v>
      </c>
    </row>
    <row r="671" spans="1:12" s="10" customFormat="1" ht="12" x14ac:dyDescent="0.3">
      <c r="A671" s="75">
        <v>7279</v>
      </c>
      <c r="B671" s="75" t="s">
        <v>858</v>
      </c>
      <c r="C671" s="75" t="s">
        <v>1508</v>
      </c>
      <c r="D671" s="75" t="s">
        <v>866</v>
      </c>
      <c r="E671" s="75" t="s">
        <v>1504</v>
      </c>
      <c r="F671" s="75" t="s">
        <v>1509</v>
      </c>
      <c r="G671" s="76">
        <v>45334</v>
      </c>
      <c r="H671" s="75" t="s">
        <v>73</v>
      </c>
      <c r="I671" s="75" t="s">
        <v>1666</v>
      </c>
      <c r="J671" s="75" t="s">
        <v>1511</v>
      </c>
      <c r="K671" s="75" t="str">
        <f t="shared" si="10"/>
        <v>02-2024</v>
      </c>
      <c r="L671" s="10" t="s">
        <v>2599</v>
      </c>
    </row>
    <row r="672" spans="1:12" s="10" customFormat="1" ht="12" x14ac:dyDescent="0.3">
      <c r="A672" s="75">
        <v>7644</v>
      </c>
      <c r="B672" s="75" t="s">
        <v>67</v>
      </c>
      <c r="C672" s="75" t="s">
        <v>1508</v>
      </c>
      <c r="D672" s="75" t="s">
        <v>866</v>
      </c>
      <c r="E672" s="75" t="s">
        <v>82</v>
      </c>
      <c r="F672" s="75" t="s">
        <v>1509</v>
      </c>
      <c r="G672" s="76">
        <v>45334</v>
      </c>
      <c r="H672" s="75" t="s">
        <v>9</v>
      </c>
      <c r="I672" s="75" t="s">
        <v>54</v>
      </c>
      <c r="J672" s="75" t="s">
        <v>1511</v>
      </c>
      <c r="K672" s="75" t="str">
        <f t="shared" si="10"/>
        <v>02-2024</v>
      </c>
      <c r="L672" s="10" t="s">
        <v>2599</v>
      </c>
    </row>
    <row r="673" spans="1:12" s="10" customFormat="1" ht="12" x14ac:dyDescent="0.3">
      <c r="A673" s="75">
        <v>4121</v>
      </c>
      <c r="B673" s="75" t="s">
        <v>38</v>
      </c>
      <c r="C673" s="75" t="s">
        <v>1508</v>
      </c>
      <c r="D673" s="75" t="s">
        <v>866</v>
      </c>
      <c r="E673" s="75" t="s">
        <v>104</v>
      </c>
      <c r="F673" s="75" t="s">
        <v>1509</v>
      </c>
      <c r="G673" s="76">
        <v>45334</v>
      </c>
      <c r="H673" s="75" t="s">
        <v>40</v>
      </c>
      <c r="I673" s="75" t="s">
        <v>32</v>
      </c>
      <c r="J673" s="75" t="s">
        <v>1511</v>
      </c>
      <c r="K673" s="75" t="str">
        <f t="shared" si="10"/>
        <v>02-2024</v>
      </c>
      <c r="L673" s="10" t="s">
        <v>2599</v>
      </c>
    </row>
    <row r="674" spans="1:12" s="10" customFormat="1" ht="12" x14ac:dyDescent="0.3">
      <c r="A674" s="75">
        <v>7216</v>
      </c>
      <c r="B674" s="75" t="s">
        <v>36</v>
      </c>
      <c r="C674" s="75" t="s">
        <v>1508</v>
      </c>
      <c r="D674" s="75" t="s">
        <v>866</v>
      </c>
      <c r="E674" s="75" t="s">
        <v>1505</v>
      </c>
      <c r="F674" s="75" t="s">
        <v>1509</v>
      </c>
      <c r="G674" s="76">
        <v>45334</v>
      </c>
      <c r="H674" s="75" t="s">
        <v>35</v>
      </c>
      <c r="I674" s="75" t="s">
        <v>32</v>
      </c>
      <c r="J674" s="75" t="s">
        <v>1511</v>
      </c>
      <c r="K674" s="75" t="str">
        <f t="shared" si="10"/>
        <v>02-2024</v>
      </c>
      <c r="L674" s="10" t="s">
        <v>2599</v>
      </c>
    </row>
    <row r="675" spans="1:12" s="10" customFormat="1" ht="12" x14ac:dyDescent="0.3">
      <c r="A675" s="75">
        <v>7230</v>
      </c>
      <c r="B675" s="75" t="s">
        <v>14</v>
      </c>
      <c r="C675" s="75">
        <v>7275</v>
      </c>
      <c r="D675" s="75" t="s">
        <v>27</v>
      </c>
      <c r="E675" s="75" t="s">
        <v>102</v>
      </c>
      <c r="F675" s="75" t="s">
        <v>1509</v>
      </c>
      <c r="G675" s="76">
        <v>45331</v>
      </c>
      <c r="H675" s="75" t="s">
        <v>16</v>
      </c>
      <c r="I675" s="75" t="s">
        <v>10</v>
      </c>
      <c r="J675" s="75" t="s">
        <v>1511</v>
      </c>
      <c r="K675" s="75" t="str">
        <f t="shared" si="10"/>
        <v>02-2024</v>
      </c>
      <c r="L675" s="10" t="s">
        <v>2599</v>
      </c>
    </row>
    <row r="676" spans="1:12" s="10" customFormat="1" ht="12" x14ac:dyDescent="0.3">
      <c r="A676" s="75">
        <v>3963</v>
      </c>
      <c r="B676" s="75" t="s">
        <v>109</v>
      </c>
      <c r="C676" s="75">
        <v>7275</v>
      </c>
      <c r="D676" s="75" t="s">
        <v>27</v>
      </c>
      <c r="E676" s="75" t="s">
        <v>1506</v>
      </c>
      <c r="F676" s="75" t="s">
        <v>1509</v>
      </c>
      <c r="G676" s="76">
        <v>45331</v>
      </c>
      <c r="H676" s="75" t="s">
        <v>53</v>
      </c>
      <c r="I676" s="75" t="s">
        <v>54</v>
      </c>
      <c r="J676" s="75" t="s">
        <v>1511</v>
      </c>
      <c r="K676" s="75" t="str">
        <f t="shared" si="10"/>
        <v>02-2024</v>
      </c>
      <c r="L676" s="10" t="s">
        <v>2599</v>
      </c>
    </row>
    <row r="677" spans="1:12" s="10" customFormat="1" ht="12" x14ac:dyDescent="0.3">
      <c r="A677" s="75">
        <v>7493</v>
      </c>
      <c r="B677" s="75" t="s">
        <v>22</v>
      </c>
      <c r="C677" s="75">
        <v>7275</v>
      </c>
      <c r="D677" s="75" t="s">
        <v>27</v>
      </c>
      <c r="E677" s="75" t="s">
        <v>90</v>
      </c>
      <c r="F677" s="75" t="s">
        <v>1509</v>
      </c>
      <c r="G677" s="76">
        <v>45331</v>
      </c>
      <c r="H677" s="75" t="s">
        <v>24</v>
      </c>
      <c r="I677" s="75" t="s">
        <v>10</v>
      </c>
      <c r="J677" s="75" t="s">
        <v>1511</v>
      </c>
      <c r="K677" s="75" t="str">
        <f t="shared" si="10"/>
        <v>02-2024</v>
      </c>
      <c r="L677" s="10" t="s">
        <v>2599</v>
      </c>
    </row>
    <row r="678" spans="1:12" s="10" customFormat="1" ht="12" x14ac:dyDescent="0.3">
      <c r="A678" s="75">
        <v>4149</v>
      </c>
      <c r="B678" s="75" t="s">
        <v>41</v>
      </c>
      <c r="C678" s="75">
        <v>5254</v>
      </c>
      <c r="D678" s="75" t="s">
        <v>444</v>
      </c>
      <c r="E678" s="75" t="s">
        <v>1507</v>
      </c>
      <c r="F678" s="75" t="s">
        <v>1510</v>
      </c>
      <c r="G678" s="76">
        <v>45330</v>
      </c>
      <c r="H678" s="75" t="s">
        <v>43</v>
      </c>
      <c r="I678" s="75" t="s">
        <v>32</v>
      </c>
      <c r="J678" s="75" t="s">
        <v>1512</v>
      </c>
      <c r="K678" s="75" t="str">
        <f t="shared" si="10"/>
        <v>02-2024</v>
      </c>
      <c r="L678" s="10" t="s">
        <v>2599</v>
      </c>
    </row>
    <row r="679" spans="1:12" hidden="1" x14ac:dyDescent="0.35">
      <c r="A679" s="75">
        <v>2799</v>
      </c>
      <c r="B679" s="75" t="s">
        <v>823</v>
      </c>
      <c r="C679" s="75">
        <v>7619</v>
      </c>
      <c r="D679" s="75" t="s">
        <v>462</v>
      </c>
      <c r="E679" s="75" t="s">
        <v>1888</v>
      </c>
      <c r="F679" s="75" t="s">
        <v>1510</v>
      </c>
      <c r="G679" s="76">
        <v>45657</v>
      </c>
      <c r="H679" s="75" t="s">
        <v>73</v>
      </c>
      <c r="I679" s="75" t="s">
        <v>32</v>
      </c>
      <c r="J679" s="75">
        <v>0</v>
      </c>
      <c r="K679" s="75" t="str">
        <f t="shared" si="10"/>
        <v>12-2024</v>
      </c>
      <c r="L679" s="10" t="s">
        <v>2599</v>
      </c>
    </row>
    <row r="680" spans="1:12" hidden="1" x14ac:dyDescent="0.35">
      <c r="A680" s="75">
        <v>7753</v>
      </c>
      <c r="B680" s="75" t="s">
        <v>1830</v>
      </c>
      <c r="C680" s="75">
        <v>7619</v>
      </c>
      <c r="D680" s="75" t="s">
        <v>462</v>
      </c>
      <c r="E680" s="75" t="s">
        <v>1889</v>
      </c>
      <c r="F680" s="75" t="s">
        <v>1509</v>
      </c>
      <c r="G680" s="76">
        <v>45657</v>
      </c>
      <c r="H680" s="75" t="s">
        <v>73</v>
      </c>
      <c r="I680" s="75" t="s">
        <v>32</v>
      </c>
      <c r="J680" s="75">
        <v>500</v>
      </c>
      <c r="K680" s="75" t="str">
        <f t="shared" si="10"/>
        <v>12-2024</v>
      </c>
      <c r="L680" s="10" t="s">
        <v>2599</v>
      </c>
    </row>
    <row r="681" spans="1:12" hidden="1" x14ac:dyDescent="0.35">
      <c r="A681" s="75">
        <v>5679</v>
      </c>
      <c r="B681" s="75" t="s">
        <v>812</v>
      </c>
      <c r="C681" s="75">
        <v>2260</v>
      </c>
      <c r="D681" s="75" t="s">
        <v>1864</v>
      </c>
      <c r="E681" s="75" t="s">
        <v>1890</v>
      </c>
      <c r="F681" s="75" t="s">
        <v>1510</v>
      </c>
      <c r="G681" s="76">
        <v>45657</v>
      </c>
      <c r="H681" s="75" t="s">
        <v>53</v>
      </c>
      <c r="I681" s="75" t="s">
        <v>54</v>
      </c>
      <c r="J681" s="75">
        <v>0</v>
      </c>
      <c r="K681" s="75" t="str">
        <f t="shared" si="10"/>
        <v>12-2024</v>
      </c>
      <c r="L681" s="10" t="s">
        <v>2599</v>
      </c>
    </row>
    <row r="682" spans="1:12" hidden="1" x14ac:dyDescent="0.35">
      <c r="A682" s="75">
        <v>7471</v>
      </c>
      <c r="B682" s="75" t="s">
        <v>813</v>
      </c>
      <c r="C682" s="75">
        <v>7654</v>
      </c>
      <c r="D682" s="75" t="s">
        <v>55</v>
      </c>
      <c r="E682" s="75" t="s">
        <v>1891</v>
      </c>
      <c r="F682" s="75" t="s">
        <v>1510</v>
      </c>
      <c r="G682" s="76">
        <v>45657</v>
      </c>
      <c r="H682" s="75" t="s">
        <v>16</v>
      </c>
      <c r="I682" s="75" t="s">
        <v>54</v>
      </c>
      <c r="J682" s="75">
        <v>0</v>
      </c>
      <c r="K682" s="75" t="str">
        <f t="shared" si="10"/>
        <v>12-2024</v>
      </c>
      <c r="L682" s="10" t="s">
        <v>2599</v>
      </c>
    </row>
    <row r="683" spans="1:12" hidden="1" x14ac:dyDescent="0.35">
      <c r="A683" s="75">
        <v>887</v>
      </c>
      <c r="B683" s="75" t="s">
        <v>766</v>
      </c>
      <c r="C683" s="75">
        <v>7442</v>
      </c>
      <c r="D683" s="75" t="s">
        <v>1865</v>
      </c>
      <c r="E683" s="75" t="s">
        <v>1892</v>
      </c>
      <c r="F683" s="75" t="s">
        <v>1510</v>
      </c>
      <c r="G683" s="76">
        <v>45654</v>
      </c>
      <c r="H683" s="75" t="s">
        <v>53</v>
      </c>
      <c r="I683" s="75" t="s">
        <v>54</v>
      </c>
      <c r="J683" s="75">
        <v>0</v>
      </c>
      <c r="K683" s="75" t="str">
        <f t="shared" si="10"/>
        <v>12-2024</v>
      </c>
      <c r="L683" s="10" t="s">
        <v>2599</v>
      </c>
    </row>
    <row r="684" spans="1:12" hidden="1" x14ac:dyDescent="0.35">
      <c r="A684" s="75">
        <v>7253</v>
      </c>
      <c r="B684" s="75" t="s">
        <v>689</v>
      </c>
      <c r="C684" s="75">
        <v>5580</v>
      </c>
      <c r="D684" s="75" t="s">
        <v>693</v>
      </c>
      <c r="E684" s="75" t="s">
        <v>1893</v>
      </c>
      <c r="F684" s="75" t="s">
        <v>1510</v>
      </c>
      <c r="G684" s="76">
        <v>45653</v>
      </c>
      <c r="H684" s="75" t="s">
        <v>35</v>
      </c>
      <c r="I684" s="75" t="s">
        <v>32</v>
      </c>
      <c r="J684" s="75">
        <v>0</v>
      </c>
      <c r="K684" s="75" t="str">
        <f t="shared" si="10"/>
        <v>12-2024</v>
      </c>
      <c r="L684" s="10" t="s">
        <v>2599</v>
      </c>
    </row>
    <row r="685" spans="1:12" hidden="1" x14ac:dyDescent="0.35">
      <c r="A685" s="75">
        <v>6443</v>
      </c>
      <c r="B685" s="75" t="s">
        <v>434</v>
      </c>
      <c r="C685" s="75">
        <v>2815</v>
      </c>
      <c r="D685" s="75" t="s">
        <v>123</v>
      </c>
      <c r="E685" s="75" t="s">
        <v>1894</v>
      </c>
      <c r="F685" s="75" t="s">
        <v>1509</v>
      </c>
      <c r="G685" s="76">
        <v>45652</v>
      </c>
      <c r="H685" s="75" t="s">
        <v>73</v>
      </c>
      <c r="I685" s="75" t="s">
        <v>74</v>
      </c>
      <c r="J685" s="75">
        <v>500</v>
      </c>
      <c r="K685" s="75" t="str">
        <f t="shared" si="10"/>
        <v>12-2024</v>
      </c>
      <c r="L685" s="10" t="s">
        <v>2599</v>
      </c>
    </row>
    <row r="686" spans="1:12" hidden="1" x14ac:dyDescent="0.35">
      <c r="A686" s="75">
        <v>6437</v>
      </c>
      <c r="B686" s="75" t="s">
        <v>626</v>
      </c>
      <c r="C686" s="75">
        <v>2815</v>
      </c>
      <c r="D686" s="75" t="s">
        <v>123</v>
      </c>
      <c r="E686" s="75" t="s">
        <v>1895</v>
      </c>
      <c r="F686" s="75" t="s">
        <v>1509</v>
      </c>
      <c r="G686" s="76">
        <v>45652</v>
      </c>
      <c r="H686" s="75" t="s">
        <v>73</v>
      </c>
      <c r="I686" s="75" t="s">
        <v>74</v>
      </c>
      <c r="J686" s="75">
        <v>500</v>
      </c>
      <c r="K686" s="75" t="str">
        <f t="shared" si="10"/>
        <v>12-2024</v>
      </c>
      <c r="L686" s="10" t="s">
        <v>2599</v>
      </c>
    </row>
    <row r="687" spans="1:12" hidden="1" x14ac:dyDescent="0.35">
      <c r="A687" s="75">
        <v>2799</v>
      </c>
      <c r="B687" s="75" t="s">
        <v>823</v>
      </c>
      <c r="C687" s="75">
        <v>7777</v>
      </c>
      <c r="D687" s="75" t="s">
        <v>652</v>
      </c>
      <c r="E687" s="75" t="s">
        <v>1896</v>
      </c>
      <c r="F687" s="75" t="s">
        <v>1509</v>
      </c>
      <c r="G687" s="76">
        <v>45652</v>
      </c>
      <c r="H687" s="75" t="s">
        <v>73</v>
      </c>
      <c r="I687" s="75" t="s">
        <v>32</v>
      </c>
      <c r="J687" s="75">
        <v>500</v>
      </c>
      <c r="K687" s="75" t="str">
        <f t="shared" si="10"/>
        <v>12-2024</v>
      </c>
      <c r="L687" s="10" t="s">
        <v>2599</v>
      </c>
    </row>
    <row r="688" spans="1:12" hidden="1" x14ac:dyDescent="0.35">
      <c r="A688" s="75">
        <v>4121</v>
      </c>
      <c r="B688" s="75" t="s">
        <v>38</v>
      </c>
      <c r="C688" s="75">
        <v>7777</v>
      </c>
      <c r="D688" s="75" t="s">
        <v>652</v>
      </c>
      <c r="E688" s="75" t="s">
        <v>1897</v>
      </c>
      <c r="F688" s="75" t="s">
        <v>1509</v>
      </c>
      <c r="G688" s="76">
        <v>45652</v>
      </c>
      <c r="H688" s="75" t="s">
        <v>40</v>
      </c>
      <c r="I688" s="75" t="s">
        <v>32</v>
      </c>
      <c r="J688" s="75">
        <v>500</v>
      </c>
      <c r="K688" s="75" t="str">
        <f t="shared" si="10"/>
        <v>12-2024</v>
      </c>
      <c r="L688" s="10" t="s">
        <v>2599</v>
      </c>
    </row>
    <row r="689" spans="1:12" hidden="1" x14ac:dyDescent="0.35">
      <c r="A689" s="75">
        <v>7647</v>
      </c>
      <c r="B689" s="75" t="s">
        <v>1831</v>
      </c>
      <c r="C689" s="75">
        <v>7777</v>
      </c>
      <c r="D689" s="75" t="s">
        <v>652</v>
      </c>
      <c r="E689" s="75" t="s">
        <v>1898</v>
      </c>
      <c r="F689" s="75" t="s">
        <v>1509</v>
      </c>
      <c r="G689" s="76">
        <v>45652</v>
      </c>
      <c r="H689" s="75" t="s">
        <v>40</v>
      </c>
      <c r="I689" s="75" t="s">
        <v>32</v>
      </c>
      <c r="J689" s="75">
        <v>500</v>
      </c>
      <c r="K689" s="75" t="str">
        <f t="shared" si="10"/>
        <v>12-2024</v>
      </c>
      <c r="L689" s="10" t="s">
        <v>2599</v>
      </c>
    </row>
    <row r="690" spans="1:12" hidden="1" x14ac:dyDescent="0.35">
      <c r="A690" s="75">
        <v>3209</v>
      </c>
      <c r="B690" s="75" t="s">
        <v>775</v>
      </c>
      <c r="C690" s="75">
        <v>7777</v>
      </c>
      <c r="D690" s="75" t="s">
        <v>652</v>
      </c>
      <c r="E690" s="75" t="s">
        <v>1899</v>
      </c>
      <c r="F690" s="75" t="s">
        <v>1509</v>
      </c>
      <c r="G690" s="76">
        <v>45652</v>
      </c>
      <c r="H690" s="75" t="s">
        <v>73</v>
      </c>
      <c r="I690" s="75" t="s">
        <v>32</v>
      </c>
      <c r="J690" s="75">
        <v>500</v>
      </c>
      <c r="K690" s="75" t="str">
        <f t="shared" si="10"/>
        <v>12-2024</v>
      </c>
      <c r="L690" s="10" t="s">
        <v>2599</v>
      </c>
    </row>
    <row r="691" spans="1:12" hidden="1" x14ac:dyDescent="0.35">
      <c r="A691" s="75">
        <v>7902</v>
      </c>
      <c r="B691" s="75" t="s">
        <v>1832</v>
      </c>
      <c r="C691" s="75">
        <v>7777</v>
      </c>
      <c r="D691" s="75" t="s">
        <v>652</v>
      </c>
      <c r="E691" s="75" t="s">
        <v>1900</v>
      </c>
      <c r="F691" s="75" t="s">
        <v>1509</v>
      </c>
      <c r="G691" s="76">
        <v>45652</v>
      </c>
      <c r="H691" s="75" t="s">
        <v>73</v>
      </c>
      <c r="I691" s="75" t="s">
        <v>32</v>
      </c>
      <c r="J691" s="75">
        <v>500</v>
      </c>
      <c r="K691" s="75" t="str">
        <f t="shared" si="10"/>
        <v>12-2024</v>
      </c>
      <c r="L691" s="10" t="s">
        <v>2599</v>
      </c>
    </row>
    <row r="692" spans="1:12" hidden="1" x14ac:dyDescent="0.35">
      <c r="A692" s="75">
        <v>7212</v>
      </c>
      <c r="B692" s="75" t="s">
        <v>599</v>
      </c>
      <c r="C692" s="75">
        <v>7431</v>
      </c>
      <c r="D692" s="75" t="s">
        <v>1866</v>
      </c>
      <c r="E692" s="75" t="s">
        <v>1901</v>
      </c>
      <c r="F692" s="75" t="s">
        <v>1510</v>
      </c>
      <c r="G692" s="76">
        <v>45652</v>
      </c>
      <c r="H692" s="75" t="s">
        <v>9</v>
      </c>
      <c r="I692" s="75" t="s">
        <v>54</v>
      </c>
      <c r="J692" s="75">
        <v>0</v>
      </c>
      <c r="K692" s="75" t="str">
        <f t="shared" si="10"/>
        <v>12-2024</v>
      </c>
      <c r="L692" s="10" t="s">
        <v>2599</v>
      </c>
    </row>
    <row r="693" spans="1:12" hidden="1" x14ac:dyDescent="0.35">
      <c r="A693" s="75">
        <v>7737</v>
      </c>
      <c r="B693" s="75" t="s">
        <v>176</v>
      </c>
      <c r="C693" s="75">
        <v>7868</v>
      </c>
      <c r="D693" s="75" t="s">
        <v>340</v>
      </c>
      <c r="E693" s="75" t="s">
        <v>1902</v>
      </c>
      <c r="F693" s="75" t="s">
        <v>1510</v>
      </c>
      <c r="G693" s="76">
        <v>45652</v>
      </c>
      <c r="H693" s="75" t="s">
        <v>21</v>
      </c>
      <c r="I693" s="75" t="s">
        <v>10</v>
      </c>
      <c r="J693" s="75">
        <v>0</v>
      </c>
      <c r="K693" s="75" t="str">
        <f t="shared" si="10"/>
        <v>12-2024</v>
      </c>
      <c r="L693" s="10" t="s">
        <v>2599</v>
      </c>
    </row>
    <row r="694" spans="1:12" hidden="1" x14ac:dyDescent="0.35">
      <c r="A694" s="75">
        <v>7401</v>
      </c>
      <c r="B694" s="75" t="s">
        <v>1769</v>
      </c>
      <c r="C694" s="75">
        <v>7868</v>
      </c>
      <c r="D694" s="75" t="s">
        <v>340</v>
      </c>
      <c r="E694" s="75" t="s">
        <v>1903</v>
      </c>
      <c r="F694" s="75" t="s">
        <v>1510</v>
      </c>
      <c r="G694" s="76">
        <v>45652</v>
      </c>
      <c r="H694" s="75" t="s">
        <v>21</v>
      </c>
      <c r="I694" s="75" t="s">
        <v>10</v>
      </c>
      <c r="J694" s="75">
        <v>0</v>
      </c>
      <c r="K694" s="75" t="str">
        <f t="shared" si="10"/>
        <v>12-2024</v>
      </c>
      <c r="L694" s="10" t="s">
        <v>2599</v>
      </c>
    </row>
    <row r="695" spans="1:12" hidden="1" x14ac:dyDescent="0.35">
      <c r="A695" s="75">
        <v>7495</v>
      </c>
      <c r="B695" s="75" t="s">
        <v>284</v>
      </c>
      <c r="C695" s="75">
        <v>5580</v>
      </c>
      <c r="D695" s="75" t="s">
        <v>693</v>
      </c>
      <c r="E695" s="75" t="s">
        <v>1904</v>
      </c>
      <c r="F695" s="75" t="s">
        <v>1510</v>
      </c>
      <c r="G695" s="76">
        <v>45652</v>
      </c>
      <c r="H695" s="75" t="s">
        <v>35</v>
      </c>
      <c r="I695" s="75" t="s">
        <v>32</v>
      </c>
      <c r="J695" s="75">
        <v>0</v>
      </c>
      <c r="K695" s="75" t="str">
        <f t="shared" si="10"/>
        <v>12-2024</v>
      </c>
      <c r="L695" s="10" t="s">
        <v>2599</v>
      </c>
    </row>
    <row r="696" spans="1:12" hidden="1" x14ac:dyDescent="0.35">
      <c r="A696" s="75">
        <v>2208</v>
      </c>
      <c r="B696" s="75" t="s">
        <v>1833</v>
      </c>
      <c r="C696" s="75">
        <v>3933</v>
      </c>
      <c r="D696" s="75" t="s">
        <v>1867</v>
      </c>
      <c r="E696" s="75" t="s">
        <v>1905</v>
      </c>
      <c r="F696" s="75" t="s">
        <v>1509</v>
      </c>
      <c r="G696" s="76">
        <v>45652</v>
      </c>
      <c r="H696" s="75" t="s">
        <v>40</v>
      </c>
      <c r="I696" s="75" t="s">
        <v>54</v>
      </c>
      <c r="J696" s="75">
        <v>500</v>
      </c>
      <c r="K696" s="75" t="str">
        <f t="shared" si="10"/>
        <v>12-2024</v>
      </c>
      <c r="L696" s="10" t="s">
        <v>2599</v>
      </c>
    </row>
    <row r="697" spans="1:12" hidden="1" x14ac:dyDescent="0.35">
      <c r="A697" s="75">
        <v>7843</v>
      </c>
      <c r="B697" s="75" t="s">
        <v>1834</v>
      </c>
      <c r="C697" s="75">
        <v>3340</v>
      </c>
      <c r="D697" s="75" t="s">
        <v>1868</v>
      </c>
      <c r="E697" s="75" t="s">
        <v>1906</v>
      </c>
      <c r="F697" s="75" t="s">
        <v>1510</v>
      </c>
      <c r="G697" s="76">
        <v>45652</v>
      </c>
      <c r="H697" s="75" t="s">
        <v>40</v>
      </c>
      <c r="I697" s="75" t="s">
        <v>54</v>
      </c>
      <c r="J697" s="75">
        <v>0</v>
      </c>
      <c r="K697" s="75" t="str">
        <f t="shared" si="10"/>
        <v>12-2024</v>
      </c>
      <c r="L697" s="10" t="s">
        <v>2599</v>
      </c>
    </row>
    <row r="698" spans="1:12" hidden="1" x14ac:dyDescent="0.35">
      <c r="A698" s="75">
        <v>7411</v>
      </c>
      <c r="B698" s="75" t="s">
        <v>1835</v>
      </c>
      <c r="C698" s="75">
        <v>3340</v>
      </c>
      <c r="D698" s="75" t="s">
        <v>1868</v>
      </c>
      <c r="E698" s="75" t="s">
        <v>1907</v>
      </c>
      <c r="F698" s="75" t="s">
        <v>1510</v>
      </c>
      <c r="G698" s="76">
        <v>45652</v>
      </c>
      <c r="H698" s="75" t="s">
        <v>40</v>
      </c>
      <c r="I698" s="75" t="s">
        <v>54</v>
      </c>
      <c r="J698" s="75">
        <v>0</v>
      </c>
      <c r="K698" s="75" t="str">
        <f t="shared" si="10"/>
        <v>12-2024</v>
      </c>
      <c r="L698" s="10" t="s">
        <v>2599</v>
      </c>
    </row>
    <row r="699" spans="1:12" hidden="1" x14ac:dyDescent="0.35">
      <c r="A699" s="75">
        <v>7379</v>
      </c>
      <c r="B699" s="75" t="s">
        <v>1836</v>
      </c>
      <c r="C699" s="75">
        <v>3340</v>
      </c>
      <c r="D699" s="75" t="s">
        <v>1868</v>
      </c>
      <c r="E699" s="75" t="s">
        <v>1908</v>
      </c>
      <c r="F699" s="75" t="s">
        <v>1510</v>
      </c>
      <c r="G699" s="76">
        <v>45652</v>
      </c>
      <c r="H699" s="75" t="s">
        <v>40</v>
      </c>
      <c r="I699" s="75" t="s">
        <v>54</v>
      </c>
      <c r="J699" s="75">
        <v>0</v>
      </c>
      <c r="K699" s="75" t="str">
        <f t="shared" si="10"/>
        <v>12-2024</v>
      </c>
      <c r="L699" s="10" t="s">
        <v>2599</v>
      </c>
    </row>
    <row r="700" spans="1:12" hidden="1" x14ac:dyDescent="0.35">
      <c r="A700" s="75">
        <v>5459</v>
      </c>
      <c r="B700" s="75" t="s">
        <v>1744</v>
      </c>
      <c r="C700" s="75">
        <v>7731</v>
      </c>
      <c r="D700" s="75" t="s">
        <v>1735</v>
      </c>
      <c r="E700" s="75" t="s">
        <v>1909</v>
      </c>
      <c r="F700" s="75" t="s">
        <v>1510</v>
      </c>
      <c r="G700" s="76">
        <v>45652</v>
      </c>
      <c r="H700" s="75" t="s">
        <v>73</v>
      </c>
      <c r="I700" s="75" t="s">
        <v>32</v>
      </c>
      <c r="J700" s="75">
        <v>0</v>
      </c>
      <c r="K700" s="75" t="str">
        <f t="shared" si="10"/>
        <v>12-2024</v>
      </c>
      <c r="L700" s="10" t="s">
        <v>2599</v>
      </c>
    </row>
    <row r="701" spans="1:12" hidden="1" x14ac:dyDescent="0.35">
      <c r="A701" s="75">
        <v>7212</v>
      </c>
      <c r="B701" s="75" t="s">
        <v>599</v>
      </c>
      <c r="C701" s="75">
        <v>5766</v>
      </c>
      <c r="D701" s="75" t="s">
        <v>438</v>
      </c>
      <c r="E701" s="75" t="s">
        <v>1910</v>
      </c>
      <c r="F701" s="75" t="s">
        <v>1510</v>
      </c>
      <c r="G701" s="76">
        <v>45652</v>
      </c>
      <c r="H701" s="75" t="s">
        <v>9</v>
      </c>
      <c r="I701" s="75" t="s">
        <v>54</v>
      </c>
      <c r="J701" s="75">
        <v>0</v>
      </c>
      <c r="K701" s="75" t="str">
        <f t="shared" si="10"/>
        <v>12-2024</v>
      </c>
      <c r="L701" s="10" t="s">
        <v>2599</v>
      </c>
    </row>
    <row r="702" spans="1:12" hidden="1" x14ac:dyDescent="0.35">
      <c r="A702" s="75">
        <v>7811</v>
      </c>
      <c r="B702" s="75" t="s">
        <v>355</v>
      </c>
      <c r="C702" s="75">
        <v>7816</v>
      </c>
      <c r="D702" s="75" t="s">
        <v>423</v>
      </c>
      <c r="E702" s="75" t="s">
        <v>1911</v>
      </c>
      <c r="F702" s="75" t="s">
        <v>1510</v>
      </c>
      <c r="G702" s="76">
        <v>45652</v>
      </c>
      <c r="H702" s="75" t="s">
        <v>21</v>
      </c>
      <c r="I702" s="75" t="s">
        <v>10</v>
      </c>
      <c r="J702" s="75">
        <v>0</v>
      </c>
      <c r="K702" s="75" t="str">
        <f t="shared" si="10"/>
        <v>12-2024</v>
      </c>
      <c r="L702" s="10" t="s">
        <v>2599</v>
      </c>
    </row>
    <row r="703" spans="1:12" hidden="1" x14ac:dyDescent="0.35">
      <c r="A703" s="75">
        <v>7444</v>
      </c>
      <c r="B703" s="75" t="s">
        <v>870</v>
      </c>
      <c r="C703" s="75">
        <v>1192</v>
      </c>
      <c r="D703" s="75" t="s">
        <v>746</v>
      </c>
      <c r="E703" s="75" t="s">
        <v>1912</v>
      </c>
      <c r="F703" s="75" t="s">
        <v>1510</v>
      </c>
      <c r="G703" s="76">
        <v>45652</v>
      </c>
      <c r="H703" s="75" t="s">
        <v>35</v>
      </c>
      <c r="I703" s="75" t="s">
        <v>32</v>
      </c>
      <c r="J703" s="75">
        <v>0</v>
      </c>
      <c r="K703" s="75" t="str">
        <f t="shared" si="10"/>
        <v>12-2024</v>
      </c>
      <c r="L703" s="10" t="s">
        <v>2599</v>
      </c>
    </row>
    <row r="704" spans="1:12" hidden="1" x14ac:dyDescent="0.35">
      <c r="A704" s="75">
        <v>1377</v>
      </c>
      <c r="B704" s="75" t="s">
        <v>296</v>
      </c>
      <c r="C704" s="75">
        <v>5007</v>
      </c>
      <c r="D704" s="75" t="s">
        <v>609</v>
      </c>
      <c r="E704" s="75" t="s">
        <v>1913</v>
      </c>
      <c r="F704" s="75" t="s">
        <v>1510</v>
      </c>
      <c r="G704" s="76">
        <v>45652</v>
      </c>
      <c r="H704" s="75" t="s">
        <v>53</v>
      </c>
      <c r="I704" s="75" t="s">
        <v>54</v>
      </c>
      <c r="J704" s="75">
        <v>0</v>
      </c>
      <c r="K704" s="75" t="str">
        <f t="shared" si="10"/>
        <v>12-2024</v>
      </c>
      <c r="L704" s="10" t="s">
        <v>2599</v>
      </c>
    </row>
    <row r="705" spans="1:12" hidden="1" x14ac:dyDescent="0.35">
      <c r="A705" s="75">
        <v>7393</v>
      </c>
      <c r="B705" s="75" t="s">
        <v>1837</v>
      </c>
      <c r="C705" s="75">
        <v>7436</v>
      </c>
      <c r="D705" s="75" t="s">
        <v>1845</v>
      </c>
      <c r="E705" s="75" t="s">
        <v>1914</v>
      </c>
      <c r="F705" s="75" t="s">
        <v>1510</v>
      </c>
      <c r="G705" s="76">
        <v>45650</v>
      </c>
      <c r="H705" s="75" t="s">
        <v>73</v>
      </c>
      <c r="I705" s="75" t="s">
        <v>32</v>
      </c>
      <c r="J705" s="75">
        <v>0</v>
      </c>
      <c r="K705" s="75" t="str">
        <f t="shared" si="10"/>
        <v>12-2024</v>
      </c>
      <c r="L705" s="10" t="s">
        <v>2599</v>
      </c>
    </row>
    <row r="706" spans="1:12" hidden="1" x14ac:dyDescent="0.35">
      <c r="A706" s="75">
        <v>7363</v>
      </c>
      <c r="B706" s="75" t="s">
        <v>1838</v>
      </c>
      <c r="C706" s="75">
        <v>7436</v>
      </c>
      <c r="D706" s="75" t="s">
        <v>1845</v>
      </c>
      <c r="E706" s="75" t="s">
        <v>1915</v>
      </c>
      <c r="F706" s="75" t="s">
        <v>1510</v>
      </c>
      <c r="G706" s="76">
        <v>45650</v>
      </c>
      <c r="H706" s="75" t="s">
        <v>73</v>
      </c>
      <c r="I706" s="75" t="s">
        <v>32</v>
      </c>
      <c r="J706" s="75">
        <v>0</v>
      </c>
      <c r="K706" s="75" t="str">
        <f t="shared" si="10"/>
        <v>12-2024</v>
      </c>
      <c r="L706" s="10" t="s">
        <v>2599</v>
      </c>
    </row>
    <row r="707" spans="1:12" hidden="1" x14ac:dyDescent="0.35">
      <c r="A707" s="75">
        <v>4385</v>
      </c>
      <c r="B707" s="75" t="s">
        <v>1839</v>
      </c>
      <c r="C707" s="75">
        <v>1523</v>
      </c>
      <c r="D707" s="75" t="s">
        <v>1743</v>
      </c>
      <c r="E707" s="75" t="s">
        <v>1916</v>
      </c>
      <c r="F707" s="75" t="s">
        <v>1510</v>
      </c>
      <c r="G707" s="76">
        <v>45650</v>
      </c>
      <c r="H707" s="75" t="s">
        <v>40</v>
      </c>
      <c r="I707" s="75" t="s">
        <v>54</v>
      </c>
      <c r="J707" s="75">
        <v>0</v>
      </c>
      <c r="K707" s="75" t="str">
        <f t="shared" ref="K707:K770" si="11">TEXT(G707,"mm-yyyy")</f>
        <v>12-2024</v>
      </c>
      <c r="L707" s="10" t="s">
        <v>2599</v>
      </c>
    </row>
    <row r="708" spans="1:12" hidden="1" x14ac:dyDescent="0.35">
      <c r="A708" s="75">
        <v>6422</v>
      </c>
      <c r="B708" s="75" t="s">
        <v>1840</v>
      </c>
      <c r="C708" s="75">
        <v>1523</v>
      </c>
      <c r="D708" s="75" t="s">
        <v>1743</v>
      </c>
      <c r="E708" s="75" t="s">
        <v>1917</v>
      </c>
      <c r="F708" s="75" t="s">
        <v>1510</v>
      </c>
      <c r="G708" s="76">
        <v>45650</v>
      </c>
      <c r="H708" s="75" t="s">
        <v>40</v>
      </c>
      <c r="I708" s="75" t="s">
        <v>54</v>
      </c>
      <c r="J708" s="75">
        <v>0</v>
      </c>
      <c r="K708" s="75" t="str">
        <f t="shared" si="11"/>
        <v>12-2024</v>
      </c>
      <c r="L708" s="10" t="s">
        <v>2599</v>
      </c>
    </row>
    <row r="709" spans="1:12" hidden="1" x14ac:dyDescent="0.35">
      <c r="A709" s="75">
        <v>4385</v>
      </c>
      <c r="B709" s="75" t="s">
        <v>1839</v>
      </c>
      <c r="C709" s="75">
        <v>1523</v>
      </c>
      <c r="D709" s="75" t="s">
        <v>1743</v>
      </c>
      <c r="E709" s="75" t="s">
        <v>1918</v>
      </c>
      <c r="F709" s="75" t="s">
        <v>1510</v>
      </c>
      <c r="G709" s="76">
        <v>45647</v>
      </c>
      <c r="H709" s="75" t="s">
        <v>40</v>
      </c>
      <c r="I709" s="75" t="s">
        <v>54</v>
      </c>
      <c r="J709" s="75">
        <v>0</v>
      </c>
      <c r="K709" s="75" t="str">
        <f t="shared" si="11"/>
        <v>12-2024</v>
      </c>
      <c r="L709" s="10" t="s">
        <v>2599</v>
      </c>
    </row>
    <row r="710" spans="1:12" hidden="1" x14ac:dyDescent="0.35">
      <c r="A710" s="75">
        <v>5290</v>
      </c>
      <c r="B710" s="75" t="s">
        <v>608</v>
      </c>
      <c r="C710" s="75">
        <v>5007</v>
      </c>
      <c r="D710" s="75" t="s">
        <v>609</v>
      </c>
      <c r="E710" s="75" t="s">
        <v>1919</v>
      </c>
      <c r="F710" s="75" t="s">
        <v>1510</v>
      </c>
      <c r="G710" s="76">
        <v>45646</v>
      </c>
      <c r="H710" s="75" t="s">
        <v>53</v>
      </c>
      <c r="I710" s="75" t="s">
        <v>54</v>
      </c>
      <c r="J710" s="75">
        <v>0</v>
      </c>
      <c r="K710" s="75" t="str">
        <f t="shared" si="11"/>
        <v>12-2024</v>
      </c>
      <c r="L710" s="10" t="s">
        <v>2599</v>
      </c>
    </row>
    <row r="711" spans="1:12" hidden="1" x14ac:dyDescent="0.35">
      <c r="A711" s="75">
        <v>5459</v>
      </c>
      <c r="B711" s="75" t="s">
        <v>1744</v>
      </c>
      <c r="C711" s="75">
        <v>7713</v>
      </c>
      <c r="D711" s="75" t="s">
        <v>1869</v>
      </c>
      <c r="E711" s="75" t="s">
        <v>1920</v>
      </c>
      <c r="F711" s="75" t="s">
        <v>1510</v>
      </c>
      <c r="G711" s="76">
        <v>45646</v>
      </c>
      <c r="H711" s="75" t="s">
        <v>73</v>
      </c>
      <c r="I711" s="75" t="s">
        <v>32</v>
      </c>
      <c r="J711" s="75">
        <v>0</v>
      </c>
      <c r="K711" s="75" t="str">
        <f t="shared" si="11"/>
        <v>12-2024</v>
      </c>
      <c r="L711" s="10" t="s">
        <v>2599</v>
      </c>
    </row>
    <row r="712" spans="1:12" hidden="1" x14ac:dyDescent="0.35">
      <c r="A712" s="75">
        <v>6422</v>
      </c>
      <c r="B712" s="75" t="s">
        <v>1840</v>
      </c>
      <c r="C712" s="75">
        <v>1523</v>
      </c>
      <c r="D712" s="75" t="s">
        <v>1743</v>
      </c>
      <c r="E712" s="75" t="s">
        <v>1921</v>
      </c>
      <c r="F712" s="75" t="s">
        <v>1510</v>
      </c>
      <c r="G712" s="76">
        <v>45646</v>
      </c>
      <c r="H712" s="75" t="s">
        <v>40</v>
      </c>
      <c r="I712" s="75" t="s">
        <v>54</v>
      </c>
      <c r="J712" s="75">
        <v>0</v>
      </c>
      <c r="K712" s="75" t="str">
        <f t="shared" si="11"/>
        <v>12-2024</v>
      </c>
      <c r="L712" s="10" t="s">
        <v>2599</v>
      </c>
    </row>
    <row r="713" spans="1:12" hidden="1" x14ac:dyDescent="0.35">
      <c r="A713" s="75">
        <v>5751</v>
      </c>
      <c r="B713" s="75" t="s">
        <v>1841</v>
      </c>
      <c r="C713" s="75">
        <v>1523</v>
      </c>
      <c r="D713" s="75" t="s">
        <v>1743</v>
      </c>
      <c r="E713" s="75" t="s">
        <v>1922</v>
      </c>
      <c r="F713" s="75" t="s">
        <v>1510</v>
      </c>
      <c r="G713" s="76">
        <v>45646</v>
      </c>
      <c r="H713" s="75" t="s">
        <v>40</v>
      </c>
      <c r="I713" s="75" t="s">
        <v>54</v>
      </c>
      <c r="J713" s="75">
        <v>0</v>
      </c>
      <c r="K713" s="75" t="str">
        <f t="shared" si="11"/>
        <v>12-2024</v>
      </c>
      <c r="L713" s="10" t="s">
        <v>2599</v>
      </c>
    </row>
    <row r="714" spans="1:12" hidden="1" x14ac:dyDescent="0.35">
      <c r="A714" s="75">
        <v>6835</v>
      </c>
      <c r="B714" s="75" t="s">
        <v>839</v>
      </c>
      <c r="C714" s="75">
        <v>1523</v>
      </c>
      <c r="D714" s="75" t="s">
        <v>1743</v>
      </c>
      <c r="E714" s="75" t="s">
        <v>1923</v>
      </c>
      <c r="F714" s="75" t="s">
        <v>1510</v>
      </c>
      <c r="G714" s="76">
        <v>45646</v>
      </c>
      <c r="H714" s="75" t="s">
        <v>40</v>
      </c>
      <c r="I714" s="75" t="s">
        <v>54</v>
      </c>
      <c r="J714" s="75">
        <v>0</v>
      </c>
      <c r="K714" s="75" t="str">
        <f t="shared" si="11"/>
        <v>12-2024</v>
      </c>
      <c r="L714" s="10" t="s">
        <v>2599</v>
      </c>
    </row>
    <row r="715" spans="1:12" hidden="1" x14ac:dyDescent="0.35">
      <c r="A715" s="75">
        <v>7175</v>
      </c>
      <c r="B715" s="75" t="s">
        <v>1734</v>
      </c>
      <c r="C715" s="75">
        <v>1523</v>
      </c>
      <c r="D715" s="75" t="s">
        <v>1743</v>
      </c>
      <c r="E715" s="75" t="s">
        <v>1924</v>
      </c>
      <c r="F715" s="75" t="s">
        <v>1510</v>
      </c>
      <c r="G715" s="76">
        <v>45646</v>
      </c>
      <c r="H715" s="75" t="s">
        <v>40</v>
      </c>
      <c r="I715" s="75" t="s">
        <v>54</v>
      </c>
      <c r="J715" s="75">
        <v>0</v>
      </c>
      <c r="K715" s="75" t="str">
        <f t="shared" si="11"/>
        <v>12-2024</v>
      </c>
      <c r="L715" s="10" t="s">
        <v>2599</v>
      </c>
    </row>
    <row r="716" spans="1:12" hidden="1" x14ac:dyDescent="0.35">
      <c r="A716" s="75">
        <v>7133</v>
      </c>
      <c r="B716" s="75" t="s">
        <v>1842</v>
      </c>
      <c r="C716" s="75">
        <v>1523</v>
      </c>
      <c r="D716" s="75" t="s">
        <v>1743</v>
      </c>
      <c r="E716" s="75" t="s">
        <v>1925</v>
      </c>
      <c r="F716" s="75" t="s">
        <v>1510</v>
      </c>
      <c r="G716" s="76">
        <v>45646</v>
      </c>
      <c r="H716" s="75" t="s">
        <v>40</v>
      </c>
      <c r="I716" s="75" t="s">
        <v>54</v>
      </c>
      <c r="J716" s="75">
        <v>0</v>
      </c>
      <c r="K716" s="75" t="str">
        <f t="shared" si="11"/>
        <v>12-2024</v>
      </c>
      <c r="L716" s="10" t="s">
        <v>2599</v>
      </c>
    </row>
    <row r="717" spans="1:12" hidden="1" x14ac:dyDescent="0.35">
      <c r="A717" s="75">
        <v>7239</v>
      </c>
      <c r="B717" s="75" t="s">
        <v>1843</v>
      </c>
      <c r="C717" s="75">
        <v>7513</v>
      </c>
      <c r="D717" s="75" t="s">
        <v>717</v>
      </c>
      <c r="E717" s="75" t="s">
        <v>1926</v>
      </c>
      <c r="F717" s="75" t="s">
        <v>1510</v>
      </c>
      <c r="G717" s="76">
        <v>45645</v>
      </c>
      <c r="H717" s="75" t="s">
        <v>13</v>
      </c>
      <c r="I717" s="75" t="s">
        <v>10</v>
      </c>
      <c r="J717" s="75">
        <v>0</v>
      </c>
      <c r="K717" s="75" t="str">
        <f t="shared" si="11"/>
        <v>12-2024</v>
      </c>
      <c r="L717" s="10" t="s">
        <v>2599</v>
      </c>
    </row>
    <row r="718" spans="1:12" hidden="1" x14ac:dyDescent="0.35">
      <c r="A718" s="75">
        <v>6624</v>
      </c>
      <c r="B718" s="75" t="s">
        <v>1844</v>
      </c>
      <c r="C718" s="75">
        <v>7513</v>
      </c>
      <c r="D718" s="75" t="s">
        <v>717</v>
      </c>
      <c r="E718" s="75" t="s">
        <v>1927</v>
      </c>
      <c r="F718" s="75" t="s">
        <v>1509</v>
      </c>
      <c r="G718" s="76">
        <v>45645</v>
      </c>
      <c r="H718" s="75" t="s">
        <v>13</v>
      </c>
      <c r="I718" s="75" t="s">
        <v>10</v>
      </c>
      <c r="J718" s="75">
        <v>500</v>
      </c>
      <c r="K718" s="75" t="str">
        <f t="shared" si="11"/>
        <v>12-2024</v>
      </c>
      <c r="L718" s="10" t="s">
        <v>2599</v>
      </c>
    </row>
    <row r="719" spans="1:12" hidden="1" x14ac:dyDescent="0.35">
      <c r="A719" s="75">
        <v>6585</v>
      </c>
      <c r="B719" s="75" t="s">
        <v>777</v>
      </c>
      <c r="C719" s="75">
        <v>7408</v>
      </c>
      <c r="D719" s="75" t="s">
        <v>372</v>
      </c>
      <c r="E719" s="75" t="s">
        <v>1928</v>
      </c>
      <c r="F719" s="75" t="s">
        <v>1509</v>
      </c>
      <c r="G719" s="76">
        <v>45645</v>
      </c>
      <c r="H719" s="75" t="s">
        <v>13</v>
      </c>
      <c r="I719" s="75" t="s">
        <v>10</v>
      </c>
      <c r="J719" s="75">
        <v>500</v>
      </c>
      <c r="K719" s="75" t="str">
        <f t="shared" si="11"/>
        <v>12-2024</v>
      </c>
      <c r="L719" s="10" t="s">
        <v>2599</v>
      </c>
    </row>
    <row r="720" spans="1:12" hidden="1" x14ac:dyDescent="0.35">
      <c r="A720" s="75">
        <v>6536</v>
      </c>
      <c r="B720" s="75" t="s">
        <v>1738</v>
      </c>
      <c r="C720" s="75">
        <v>7929</v>
      </c>
      <c r="D720" s="75" t="s">
        <v>1870</v>
      </c>
      <c r="E720" s="75" t="s">
        <v>1929</v>
      </c>
      <c r="F720" s="75" t="s">
        <v>1510</v>
      </c>
      <c r="G720" s="76">
        <v>45644</v>
      </c>
      <c r="H720" s="75" t="s">
        <v>40</v>
      </c>
      <c r="I720" s="75" t="s">
        <v>251</v>
      </c>
      <c r="J720" s="75">
        <v>0</v>
      </c>
      <c r="K720" s="75" t="str">
        <f t="shared" si="11"/>
        <v>12-2024</v>
      </c>
      <c r="L720" s="10" t="s">
        <v>2599</v>
      </c>
    </row>
    <row r="721" spans="1:12" hidden="1" x14ac:dyDescent="0.35">
      <c r="A721" s="75">
        <v>7436</v>
      </c>
      <c r="B721" s="75" t="s">
        <v>1845</v>
      </c>
      <c r="C721" s="75">
        <v>7363</v>
      </c>
      <c r="D721" s="75" t="s">
        <v>1838</v>
      </c>
      <c r="E721" s="75" t="s">
        <v>1930</v>
      </c>
      <c r="F721" s="75" t="s">
        <v>1510</v>
      </c>
      <c r="G721" s="76">
        <v>45643</v>
      </c>
      <c r="H721" s="75" t="s">
        <v>73</v>
      </c>
      <c r="I721" s="75" t="s">
        <v>32</v>
      </c>
      <c r="J721" s="75">
        <v>0</v>
      </c>
      <c r="K721" s="75" t="str">
        <f t="shared" si="11"/>
        <v>12-2024</v>
      </c>
      <c r="L721" s="10" t="s">
        <v>2599</v>
      </c>
    </row>
    <row r="722" spans="1:12" hidden="1" x14ac:dyDescent="0.35">
      <c r="A722" s="75">
        <v>3206</v>
      </c>
      <c r="B722" s="75" t="s">
        <v>1846</v>
      </c>
      <c r="C722" s="75">
        <v>7804</v>
      </c>
      <c r="D722" s="75" t="s">
        <v>270</v>
      </c>
      <c r="E722" s="75" t="s">
        <v>1931</v>
      </c>
      <c r="F722" s="75" t="s">
        <v>1509</v>
      </c>
      <c r="G722" s="76">
        <v>45640</v>
      </c>
      <c r="H722" s="75" t="s">
        <v>24</v>
      </c>
      <c r="I722" s="75" t="s">
        <v>10</v>
      </c>
      <c r="J722" s="75">
        <v>500</v>
      </c>
      <c r="K722" s="75" t="str">
        <f t="shared" si="11"/>
        <v>12-2024</v>
      </c>
      <c r="L722" s="10" t="s">
        <v>2599</v>
      </c>
    </row>
    <row r="723" spans="1:12" hidden="1" x14ac:dyDescent="0.35">
      <c r="A723" s="75">
        <v>7283</v>
      </c>
      <c r="B723" s="75" t="s">
        <v>410</v>
      </c>
      <c r="C723" s="75">
        <v>7227</v>
      </c>
      <c r="D723" s="75" t="s">
        <v>479</v>
      </c>
      <c r="E723" s="75" t="s">
        <v>1932</v>
      </c>
      <c r="F723" s="75" t="s">
        <v>1510</v>
      </c>
      <c r="G723" s="76">
        <v>45639</v>
      </c>
      <c r="H723" s="75" t="s">
        <v>53</v>
      </c>
      <c r="I723" s="75" t="s">
        <v>54</v>
      </c>
      <c r="J723" s="75">
        <v>0</v>
      </c>
      <c r="K723" s="75" t="str">
        <f t="shared" si="11"/>
        <v>12-2024</v>
      </c>
      <c r="L723" s="10" t="s">
        <v>2599</v>
      </c>
    </row>
    <row r="724" spans="1:12" hidden="1" x14ac:dyDescent="0.35">
      <c r="A724" s="75">
        <v>7923</v>
      </c>
      <c r="B724" s="75" t="s">
        <v>1847</v>
      </c>
      <c r="C724" s="75">
        <v>2948</v>
      </c>
      <c r="D724" s="75" t="s">
        <v>1871</v>
      </c>
      <c r="E724" s="75" t="s">
        <v>1933</v>
      </c>
      <c r="F724" s="75" t="s">
        <v>1510</v>
      </c>
      <c r="G724" s="76">
        <v>45638</v>
      </c>
      <c r="H724" s="75" t="s">
        <v>73</v>
      </c>
      <c r="I724" s="75" t="s">
        <v>251</v>
      </c>
      <c r="J724" s="75">
        <v>0</v>
      </c>
      <c r="K724" s="75" t="str">
        <f t="shared" si="11"/>
        <v>12-2024</v>
      </c>
      <c r="L724" s="10" t="s">
        <v>2599</v>
      </c>
    </row>
    <row r="725" spans="1:12" hidden="1" x14ac:dyDescent="0.35">
      <c r="A725" s="75">
        <v>6541</v>
      </c>
      <c r="B725" s="75" t="s">
        <v>439</v>
      </c>
      <c r="C725" s="75">
        <v>7227</v>
      </c>
      <c r="D725" s="75" t="s">
        <v>479</v>
      </c>
      <c r="E725" s="75" t="s">
        <v>1934</v>
      </c>
      <c r="F725" s="75" t="s">
        <v>1510</v>
      </c>
      <c r="G725" s="76">
        <v>45638</v>
      </c>
      <c r="H725" s="75" t="s">
        <v>53</v>
      </c>
      <c r="I725" s="75" t="s">
        <v>54</v>
      </c>
      <c r="J725" s="75">
        <v>0</v>
      </c>
      <c r="K725" s="75" t="str">
        <f t="shared" si="11"/>
        <v>12-2024</v>
      </c>
      <c r="L725" s="10" t="s">
        <v>2599</v>
      </c>
    </row>
    <row r="726" spans="1:12" hidden="1" x14ac:dyDescent="0.35">
      <c r="A726" s="75">
        <v>5751</v>
      </c>
      <c r="B726" s="75" t="s">
        <v>1841</v>
      </c>
      <c r="C726" s="75">
        <v>1518</v>
      </c>
      <c r="D726" s="75" t="s">
        <v>794</v>
      </c>
      <c r="E726" s="75" t="s">
        <v>1935</v>
      </c>
      <c r="F726" s="75" t="s">
        <v>1510</v>
      </c>
      <c r="G726" s="76">
        <v>45637</v>
      </c>
      <c r="H726" s="75" t="s">
        <v>40</v>
      </c>
      <c r="I726" s="75" t="s">
        <v>54</v>
      </c>
      <c r="J726" s="75">
        <v>0</v>
      </c>
      <c r="K726" s="75" t="str">
        <f t="shared" si="11"/>
        <v>12-2024</v>
      </c>
      <c r="L726" s="10" t="s">
        <v>2599</v>
      </c>
    </row>
    <row r="727" spans="1:12" hidden="1" x14ac:dyDescent="0.35">
      <c r="A727" s="75">
        <v>7083</v>
      </c>
      <c r="B727" s="75" t="s">
        <v>598</v>
      </c>
      <c r="C727" s="75">
        <v>6068</v>
      </c>
      <c r="D727" s="75" t="s">
        <v>594</v>
      </c>
      <c r="E727" s="75" t="s">
        <v>1936</v>
      </c>
      <c r="F727" s="75" t="s">
        <v>1509</v>
      </c>
      <c r="G727" s="76">
        <v>45636</v>
      </c>
      <c r="H727" s="75" t="s">
        <v>9</v>
      </c>
      <c r="I727" s="75" t="s">
        <v>10</v>
      </c>
      <c r="J727" s="75">
        <v>500</v>
      </c>
      <c r="K727" s="75" t="str">
        <f t="shared" si="11"/>
        <v>12-2024</v>
      </c>
      <c r="L727" s="10" t="s">
        <v>2599</v>
      </c>
    </row>
    <row r="728" spans="1:12" hidden="1" x14ac:dyDescent="0.35">
      <c r="A728" s="75">
        <v>5454</v>
      </c>
      <c r="B728" s="75" t="s">
        <v>636</v>
      </c>
      <c r="C728" s="75">
        <v>2815</v>
      </c>
      <c r="D728" s="75" t="s">
        <v>123</v>
      </c>
      <c r="E728" s="75" t="s">
        <v>1937</v>
      </c>
      <c r="F728" s="75" t="s">
        <v>1509</v>
      </c>
      <c r="G728" s="76">
        <v>45636</v>
      </c>
      <c r="H728" s="75" t="s">
        <v>40</v>
      </c>
      <c r="I728" s="75" t="s">
        <v>74</v>
      </c>
      <c r="J728" s="75">
        <v>500</v>
      </c>
      <c r="K728" s="75" t="str">
        <f t="shared" si="11"/>
        <v>12-2024</v>
      </c>
      <c r="L728" s="10" t="s">
        <v>2599</v>
      </c>
    </row>
    <row r="729" spans="1:12" hidden="1" x14ac:dyDescent="0.35">
      <c r="A729" s="75">
        <v>7307</v>
      </c>
      <c r="B729" s="75" t="s">
        <v>1768</v>
      </c>
      <c r="C729" s="75">
        <v>7884</v>
      </c>
      <c r="D729" s="75" t="s">
        <v>1795</v>
      </c>
      <c r="E729" s="75" t="s">
        <v>1938</v>
      </c>
      <c r="F729" s="75" t="s">
        <v>1510</v>
      </c>
      <c r="G729" s="76">
        <v>45636</v>
      </c>
      <c r="H729" s="75" t="s">
        <v>9</v>
      </c>
      <c r="I729" s="75" t="s">
        <v>10</v>
      </c>
      <c r="J729" s="75">
        <v>0</v>
      </c>
      <c r="K729" s="75" t="str">
        <f t="shared" si="11"/>
        <v>12-2024</v>
      </c>
      <c r="L729" s="10" t="s">
        <v>2599</v>
      </c>
    </row>
    <row r="730" spans="1:12" hidden="1" x14ac:dyDescent="0.35">
      <c r="A730" s="75">
        <v>6289</v>
      </c>
      <c r="B730" s="75" t="s">
        <v>641</v>
      </c>
      <c r="C730" s="75">
        <v>7884</v>
      </c>
      <c r="D730" s="75" t="s">
        <v>1795</v>
      </c>
      <c r="E730" s="75" t="s">
        <v>1939</v>
      </c>
      <c r="F730" s="75" t="s">
        <v>1510</v>
      </c>
      <c r="G730" s="76">
        <v>45635</v>
      </c>
      <c r="H730" s="75" t="s">
        <v>9</v>
      </c>
      <c r="I730" s="75" t="s">
        <v>10</v>
      </c>
      <c r="J730" s="75">
        <v>0</v>
      </c>
      <c r="K730" s="75" t="str">
        <f t="shared" si="11"/>
        <v>12-2024</v>
      </c>
      <c r="L730" s="10" t="s">
        <v>2599</v>
      </c>
    </row>
    <row r="731" spans="1:12" hidden="1" x14ac:dyDescent="0.35">
      <c r="A731" s="75">
        <v>4416</v>
      </c>
      <c r="B731" s="75" t="s">
        <v>269</v>
      </c>
      <c r="C731" s="75">
        <v>1760</v>
      </c>
      <c r="D731" s="75" t="s">
        <v>885</v>
      </c>
      <c r="E731" s="75" t="s">
        <v>1940</v>
      </c>
      <c r="F731" s="75" t="s">
        <v>1509</v>
      </c>
      <c r="G731" s="76">
        <v>45635</v>
      </c>
      <c r="H731" s="75" t="s">
        <v>35</v>
      </c>
      <c r="I731" s="75" t="s">
        <v>32</v>
      </c>
      <c r="J731" s="75">
        <v>500</v>
      </c>
      <c r="K731" s="75" t="str">
        <f t="shared" si="11"/>
        <v>12-2024</v>
      </c>
      <c r="L731" s="10" t="s">
        <v>2599</v>
      </c>
    </row>
    <row r="732" spans="1:12" hidden="1" x14ac:dyDescent="0.35">
      <c r="A732" s="75">
        <v>1945</v>
      </c>
      <c r="B732" s="75" t="s">
        <v>110</v>
      </c>
      <c r="C732" s="75">
        <v>7258</v>
      </c>
      <c r="D732" s="75" t="s">
        <v>805</v>
      </c>
      <c r="E732" s="75" t="s">
        <v>1941</v>
      </c>
      <c r="F732" s="75" t="s">
        <v>1510</v>
      </c>
      <c r="G732" s="76">
        <v>45633</v>
      </c>
      <c r="H732" s="75" t="s">
        <v>16</v>
      </c>
      <c r="I732" s="75" t="s">
        <v>54</v>
      </c>
      <c r="J732" s="75">
        <v>0</v>
      </c>
      <c r="K732" s="75" t="str">
        <f t="shared" si="11"/>
        <v>12-2024</v>
      </c>
      <c r="L732" s="10" t="s">
        <v>2599</v>
      </c>
    </row>
    <row r="733" spans="1:12" hidden="1" x14ac:dyDescent="0.35">
      <c r="A733" s="75">
        <v>5897</v>
      </c>
      <c r="B733" s="75" t="s">
        <v>298</v>
      </c>
      <c r="C733" s="75">
        <v>7258</v>
      </c>
      <c r="D733" s="75" t="s">
        <v>805</v>
      </c>
      <c r="E733" s="75" t="s">
        <v>1942</v>
      </c>
      <c r="F733" s="75" t="s">
        <v>1510</v>
      </c>
      <c r="G733" s="76">
        <v>45633</v>
      </c>
      <c r="H733" s="75" t="s">
        <v>16</v>
      </c>
      <c r="I733" s="75" t="s">
        <v>54</v>
      </c>
      <c r="J733" s="75">
        <v>0</v>
      </c>
      <c r="K733" s="75" t="str">
        <f t="shared" si="11"/>
        <v>12-2024</v>
      </c>
      <c r="L733" s="10" t="s">
        <v>2599</v>
      </c>
    </row>
    <row r="734" spans="1:12" hidden="1" x14ac:dyDescent="0.35">
      <c r="A734" s="75">
        <v>3098</v>
      </c>
      <c r="B734" s="75" t="s">
        <v>173</v>
      </c>
      <c r="C734" s="75">
        <v>7569</v>
      </c>
      <c r="D734" s="75" t="s">
        <v>124</v>
      </c>
      <c r="E734" s="75" t="s">
        <v>1943</v>
      </c>
      <c r="F734" s="75" t="s">
        <v>1510</v>
      </c>
      <c r="G734" s="76">
        <v>45632</v>
      </c>
      <c r="H734" s="75" t="s">
        <v>73</v>
      </c>
      <c r="I734" s="75" t="s">
        <v>74</v>
      </c>
      <c r="J734" s="75">
        <v>0</v>
      </c>
      <c r="K734" s="75" t="str">
        <f t="shared" si="11"/>
        <v>12-2024</v>
      </c>
      <c r="L734" s="10" t="s">
        <v>2599</v>
      </c>
    </row>
    <row r="735" spans="1:12" hidden="1" x14ac:dyDescent="0.35">
      <c r="A735" s="75">
        <v>7654</v>
      </c>
      <c r="B735" s="75" t="s">
        <v>55</v>
      </c>
      <c r="C735" s="75">
        <v>7756</v>
      </c>
      <c r="D735" s="75" t="s">
        <v>65</v>
      </c>
      <c r="E735" s="75" t="s">
        <v>1944</v>
      </c>
      <c r="F735" s="75" t="s">
        <v>1510</v>
      </c>
      <c r="G735" s="76">
        <v>45632</v>
      </c>
      <c r="H735" s="75" t="s">
        <v>16</v>
      </c>
      <c r="I735" s="75" t="s">
        <v>54</v>
      </c>
      <c r="J735" s="75">
        <v>0</v>
      </c>
      <c r="K735" s="75" t="str">
        <f t="shared" si="11"/>
        <v>12-2024</v>
      </c>
      <c r="L735" s="10" t="s">
        <v>2599</v>
      </c>
    </row>
    <row r="736" spans="1:12" hidden="1" x14ac:dyDescent="0.35">
      <c r="A736" s="75">
        <v>7287</v>
      </c>
      <c r="B736" s="75" t="s">
        <v>744</v>
      </c>
      <c r="C736" s="75" t="s">
        <v>1508</v>
      </c>
      <c r="D736" s="75" t="s">
        <v>866</v>
      </c>
      <c r="E736" s="75" t="s">
        <v>1945</v>
      </c>
      <c r="F736" s="75" t="s">
        <v>1509</v>
      </c>
      <c r="G736" s="76">
        <v>45632</v>
      </c>
      <c r="H736" s="75" t="s">
        <v>35</v>
      </c>
      <c r="I736" s="75" t="s">
        <v>32</v>
      </c>
      <c r="J736" s="75">
        <v>500</v>
      </c>
      <c r="K736" s="75" t="str">
        <f t="shared" si="11"/>
        <v>12-2024</v>
      </c>
      <c r="L736" s="10" t="s">
        <v>2599</v>
      </c>
    </row>
    <row r="737" spans="1:12" hidden="1" x14ac:dyDescent="0.35">
      <c r="A737" s="75">
        <v>5323</v>
      </c>
      <c r="B737" s="75" t="s">
        <v>707</v>
      </c>
      <c r="C737" s="75" t="s">
        <v>1508</v>
      </c>
      <c r="D737" s="75" t="s">
        <v>866</v>
      </c>
      <c r="E737" s="75" t="s">
        <v>1946</v>
      </c>
      <c r="F737" s="75" t="s">
        <v>1509</v>
      </c>
      <c r="G737" s="76">
        <v>45632</v>
      </c>
      <c r="H737" s="75" t="s">
        <v>53</v>
      </c>
      <c r="I737" s="75" t="s">
        <v>54</v>
      </c>
      <c r="J737" s="75">
        <v>500</v>
      </c>
      <c r="K737" s="75" t="str">
        <f t="shared" si="11"/>
        <v>12-2024</v>
      </c>
      <c r="L737" s="10" t="s">
        <v>2599</v>
      </c>
    </row>
    <row r="738" spans="1:12" hidden="1" x14ac:dyDescent="0.35">
      <c r="A738" s="75">
        <v>7124</v>
      </c>
      <c r="B738" s="75" t="s">
        <v>1848</v>
      </c>
      <c r="C738" s="75" t="s">
        <v>1508</v>
      </c>
      <c r="D738" s="75" t="s">
        <v>866</v>
      </c>
      <c r="E738" s="75" t="s">
        <v>1947</v>
      </c>
      <c r="F738" s="75" t="s">
        <v>1509</v>
      </c>
      <c r="G738" s="76">
        <v>45632</v>
      </c>
      <c r="H738" s="75" t="s">
        <v>73</v>
      </c>
      <c r="I738" s="75" t="s">
        <v>251</v>
      </c>
      <c r="J738" s="75">
        <v>500</v>
      </c>
      <c r="K738" s="75" t="str">
        <f t="shared" si="11"/>
        <v>12-2024</v>
      </c>
      <c r="L738" s="10" t="s">
        <v>2599</v>
      </c>
    </row>
    <row r="739" spans="1:12" hidden="1" x14ac:dyDescent="0.35">
      <c r="A739" s="75">
        <v>7290</v>
      </c>
      <c r="B739" s="75" t="s">
        <v>711</v>
      </c>
      <c r="C739" s="75" t="s">
        <v>1508</v>
      </c>
      <c r="D739" s="75" t="s">
        <v>866</v>
      </c>
      <c r="E739" s="75" t="s">
        <v>1948</v>
      </c>
      <c r="F739" s="75" t="s">
        <v>1509</v>
      </c>
      <c r="G739" s="76">
        <v>45632</v>
      </c>
      <c r="H739" s="75" t="s">
        <v>9</v>
      </c>
      <c r="I739" s="75" t="s">
        <v>10</v>
      </c>
      <c r="J739" s="75">
        <v>500</v>
      </c>
      <c r="K739" s="75" t="str">
        <f t="shared" si="11"/>
        <v>12-2024</v>
      </c>
      <c r="L739" s="10" t="s">
        <v>2599</v>
      </c>
    </row>
    <row r="740" spans="1:12" hidden="1" x14ac:dyDescent="0.35">
      <c r="A740" s="75">
        <v>68</v>
      </c>
      <c r="B740" s="75" t="s">
        <v>1746</v>
      </c>
      <c r="C740" s="75" t="s">
        <v>1508</v>
      </c>
      <c r="D740" s="75" t="s">
        <v>866</v>
      </c>
      <c r="E740" s="75" t="s">
        <v>1949</v>
      </c>
      <c r="F740" s="75" t="s">
        <v>1509</v>
      </c>
      <c r="G740" s="76">
        <v>45632</v>
      </c>
      <c r="H740" s="75" t="s">
        <v>24</v>
      </c>
      <c r="I740" s="75" t="s">
        <v>10</v>
      </c>
      <c r="J740" s="75">
        <v>500</v>
      </c>
      <c r="K740" s="75" t="str">
        <f t="shared" si="11"/>
        <v>12-2024</v>
      </c>
      <c r="L740" s="10" t="s">
        <v>2599</v>
      </c>
    </row>
    <row r="741" spans="1:12" hidden="1" x14ac:dyDescent="0.35">
      <c r="A741" s="75">
        <v>3209</v>
      </c>
      <c r="B741" s="75" t="s">
        <v>775</v>
      </c>
      <c r="C741" s="75" t="s">
        <v>1508</v>
      </c>
      <c r="D741" s="75" t="s">
        <v>866</v>
      </c>
      <c r="E741" s="75" t="s">
        <v>1950</v>
      </c>
      <c r="F741" s="75" t="s">
        <v>1509</v>
      </c>
      <c r="G741" s="76">
        <v>45632</v>
      </c>
      <c r="H741" s="75" t="s">
        <v>73</v>
      </c>
      <c r="I741" s="75" t="s">
        <v>32</v>
      </c>
      <c r="J741" s="75">
        <v>500</v>
      </c>
      <c r="K741" s="75" t="str">
        <f t="shared" si="11"/>
        <v>12-2024</v>
      </c>
      <c r="L741" s="10" t="s">
        <v>2599</v>
      </c>
    </row>
    <row r="742" spans="1:12" hidden="1" x14ac:dyDescent="0.35">
      <c r="A742" s="75">
        <v>3979</v>
      </c>
      <c r="B742" s="75" t="s">
        <v>1849</v>
      </c>
      <c r="C742" s="75" t="s">
        <v>1508</v>
      </c>
      <c r="D742" s="75" t="s">
        <v>866</v>
      </c>
      <c r="E742" s="75" t="s">
        <v>1951</v>
      </c>
      <c r="F742" s="75" t="s">
        <v>1509</v>
      </c>
      <c r="G742" s="76">
        <v>45632</v>
      </c>
      <c r="H742" s="75" t="s">
        <v>73</v>
      </c>
      <c r="I742" s="75" t="s">
        <v>251</v>
      </c>
      <c r="J742" s="75">
        <v>500</v>
      </c>
      <c r="K742" s="75" t="str">
        <f t="shared" si="11"/>
        <v>12-2024</v>
      </c>
      <c r="L742" s="10" t="s">
        <v>2599</v>
      </c>
    </row>
    <row r="743" spans="1:12" hidden="1" x14ac:dyDescent="0.35">
      <c r="A743" s="75">
        <v>7284</v>
      </c>
      <c r="B743" s="75" t="s">
        <v>1850</v>
      </c>
      <c r="C743" s="75" t="s">
        <v>1508</v>
      </c>
      <c r="D743" s="75" t="s">
        <v>866</v>
      </c>
      <c r="E743" s="75" t="s">
        <v>1952</v>
      </c>
      <c r="F743" s="75" t="s">
        <v>1509</v>
      </c>
      <c r="G743" s="76">
        <v>45632</v>
      </c>
      <c r="H743" s="75" t="s">
        <v>73</v>
      </c>
      <c r="I743" s="75" t="s">
        <v>251</v>
      </c>
      <c r="J743" s="75">
        <v>500</v>
      </c>
      <c r="K743" s="75" t="str">
        <f t="shared" si="11"/>
        <v>12-2024</v>
      </c>
      <c r="L743" s="10" t="s">
        <v>2599</v>
      </c>
    </row>
    <row r="744" spans="1:12" hidden="1" x14ac:dyDescent="0.35">
      <c r="A744" s="75">
        <v>7472</v>
      </c>
      <c r="B744" s="75" t="s">
        <v>1851</v>
      </c>
      <c r="C744" s="75" t="s">
        <v>1508</v>
      </c>
      <c r="D744" s="75" t="s">
        <v>866</v>
      </c>
      <c r="E744" s="75" t="s">
        <v>1953</v>
      </c>
      <c r="F744" s="75" t="s">
        <v>1509</v>
      </c>
      <c r="G744" s="76">
        <v>45632</v>
      </c>
      <c r="H744" s="75" t="s">
        <v>73</v>
      </c>
      <c r="I744" s="75" t="s">
        <v>251</v>
      </c>
      <c r="J744" s="75">
        <v>500</v>
      </c>
      <c r="K744" s="75" t="str">
        <f t="shared" si="11"/>
        <v>12-2024</v>
      </c>
      <c r="L744" s="10" t="s">
        <v>2599</v>
      </c>
    </row>
    <row r="745" spans="1:12" hidden="1" x14ac:dyDescent="0.35">
      <c r="A745" s="75">
        <v>4241</v>
      </c>
      <c r="B745" s="75" t="s">
        <v>1852</v>
      </c>
      <c r="C745" s="75" t="s">
        <v>1508</v>
      </c>
      <c r="D745" s="75" t="s">
        <v>866</v>
      </c>
      <c r="E745" s="75" t="s">
        <v>1954</v>
      </c>
      <c r="F745" s="75" t="s">
        <v>1509</v>
      </c>
      <c r="G745" s="76">
        <v>45632</v>
      </c>
      <c r="H745" s="75" t="s">
        <v>73</v>
      </c>
      <c r="I745" s="75" t="s">
        <v>251</v>
      </c>
      <c r="J745" s="75">
        <v>500</v>
      </c>
      <c r="K745" s="75" t="str">
        <f t="shared" si="11"/>
        <v>12-2024</v>
      </c>
      <c r="L745" s="10" t="s">
        <v>2599</v>
      </c>
    </row>
    <row r="746" spans="1:12" hidden="1" x14ac:dyDescent="0.35">
      <c r="A746" s="75">
        <v>7473</v>
      </c>
      <c r="B746" s="75" t="s">
        <v>1853</v>
      </c>
      <c r="C746" s="75" t="s">
        <v>1508</v>
      </c>
      <c r="D746" s="75" t="s">
        <v>866</v>
      </c>
      <c r="E746" s="75" t="s">
        <v>1955</v>
      </c>
      <c r="F746" s="75" t="s">
        <v>1509</v>
      </c>
      <c r="G746" s="76">
        <v>45632</v>
      </c>
      <c r="H746" s="75" t="s">
        <v>73</v>
      </c>
      <c r="I746" s="75" t="s">
        <v>251</v>
      </c>
      <c r="J746" s="75">
        <v>500</v>
      </c>
      <c r="K746" s="75" t="str">
        <f t="shared" si="11"/>
        <v>12-2024</v>
      </c>
      <c r="L746" s="10" t="s">
        <v>2599</v>
      </c>
    </row>
    <row r="747" spans="1:12" hidden="1" x14ac:dyDescent="0.35">
      <c r="A747" s="75">
        <v>7923</v>
      </c>
      <c r="B747" s="75" t="s">
        <v>1847</v>
      </c>
      <c r="C747" s="75" t="s">
        <v>1508</v>
      </c>
      <c r="D747" s="75" t="s">
        <v>866</v>
      </c>
      <c r="E747" s="75" t="s">
        <v>1956</v>
      </c>
      <c r="F747" s="75" t="s">
        <v>1509</v>
      </c>
      <c r="G747" s="76">
        <v>45632</v>
      </c>
      <c r="H747" s="75" t="s">
        <v>73</v>
      </c>
      <c r="I747" s="75" t="s">
        <v>251</v>
      </c>
      <c r="J747" s="75">
        <v>500</v>
      </c>
      <c r="K747" s="75" t="str">
        <f t="shared" si="11"/>
        <v>12-2024</v>
      </c>
      <c r="L747" s="10" t="s">
        <v>2599</v>
      </c>
    </row>
    <row r="748" spans="1:12" hidden="1" x14ac:dyDescent="0.35">
      <c r="A748" s="75">
        <v>7462</v>
      </c>
      <c r="B748" s="75" t="s">
        <v>628</v>
      </c>
      <c r="C748" s="75" t="s">
        <v>1508</v>
      </c>
      <c r="D748" s="75" t="s">
        <v>866</v>
      </c>
      <c r="E748" s="75" t="s">
        <v>1957</v>
      </c>
      <c r="F748" s="75" t="s">
        <v>1509</v>
      </c>
      <c r="G748" s="76">
        <v>45632</v>
      </c>
      <c r="H748" s="75" t="s">
        <v>53</v>
      </c>
      <c r="I748" s="75" t="s">
        <v>74</v>
      </c>
      <c r="J748" s="75">
        <v>500</v>
      </c>
      <c r="K748" s="75" t="str">
        <f t="shared" si="11"/>
        <v>12-2024</v>
      </c>
      <c r="L748" s="10" t="s">
        <v>2599</v>
      </c>
    </row>
    <row r="749" spans="1:12" hidden="1" x14ac:dyDescent="0.35">
      <c r="A749" s="75">
        <v>5271</v>
      </c>
      <c r="B749" s="75" t="s">
        <v>855</v>
      </c>
      <c r="C749" s="75" t="s">
        <v>1508</v>
      </c>
      <c r="D749" s="75" t="s">
        <v>866</v>
      </c>
      <c r="E749" s="75" t="s">
        <v>1958</v>
      </c>
      <c r="F749" s="75" t="s">
        <v>1509</v>
      </c>
      <c r="G749" s="76">
        <v>45632</v>
      </c>
      <c r="H749" s="75" t="s">
        <v>53</v>
      </c>
      <c r="I749" s="75" t="s">
        <v>32</v>
      </c>
      <c r="J749" s="75">
        <v>500</v>
      </c>
      <c r="K749" s="75" t="str">
        <f t="shared" si="11"/>
        <v>12-2024</v>
      </c>
      <c r="L749" s="10" t="s">
        <v>2599</v>
      </c>
    </row>
    <row r="750" spans="1:12" hidden="1" x14ac:dyDescent="0.35">
      <c r="A750" s="75">
        <v>4454</v>
      </c>
      <c r="B750" s="75" t="s">
        <v>657</v>
      </c>
      <c r="C750" s="75" t="s">
        <v>1508</v>
      </c>
      <c r="D750" s="75" t="s">
        <v>866</v>
      </c>
      <c r="E750" s="75" t="s">
        <v>1957</v>
      </c>
      <c r="F750" s="75" t="s">
        <v>1509</v>
      </c>
      <c r="G750" s="76">
        <v>45632</v>
      </c>
      <c r="H750" s="75" t="s">
        <v>53</v>
      </c>
      <c r="I750" s="75" t="s">
        <v>32</v>
      </c>
      <c r="J750" s="75">
        <v>500</v>
      </c>
      <c r="K750" s="75" t="str">
        <f t="shared" si="11"/>
        <v>12-2024</v>
      </c>
      <c r="L750" s="10" t="s">
        <v>2599</v>
      </c>
    </row>
    <row r="751" spans="1:12" hidden="1" x14ac:dyDescent="0.35">
      <c r="A751" s="75">
        <v>4518</v>
      </c>
      <c r="B751" s="75" t="s">
        <v>257</v>
      </c>
      <c r="C751" s="75" t="s">
        <v>1508</v>
      </c>
      <c r="D751" s="75" t="s">
        <v>866</v>
      </c>
      <c r="E751" s="75" t="s">
        <v>1959</v>
      </c>
      <c r="F751" s="75" t="s">
        <v>1509</v>
      </c>
      <c r="G751" s="76">
        <v>45632</v>
      </c>
      <c r="H751" s="75" t="s">
        <v>53</v>
      </c>
      <c r="I751" s="75" t="s">
        <v>54</v>
      </c>
      <c r="J751" s="75">
        <v>500</v>
      </c>
      <c r="K751" s="75" t="str">
        <f t="shared" si="11"/>
        <v>12-2024</v>
      </c>
      <c r="L751" s="10" t="s">
        <v>2599</v>
      </c>
    </row>
    <row r="752" spans="1:12" hidden="1" x14ac:dyDescent="0.35">
      <c r="A752" s="75">
        <v>3978</v>
      </c>
      <c r="B752" s="75" t="s">
        <v>475</v>
      </c>
      <c r="C752" s="75" t="s">
        <v>1508</v>
      </c>
      <c r="D752" s="75" t="s">
        <v>866</v>
      </c>
      <c r="E752" s="75" t="s">
        <v>1959</v>
      </c>
      <c r="F752" s="75" t="s">
        <v>1509</v>
      </c>
      <c r="G752" s="76">
        <v>45632</v>
      </c>
      <c r="H752" s="75" t="s">
        <v>53</v>
      </c>
      <c r="I752" s="75" t="s">
        <v>32</v>
      </c>
      <c r="J752" s="75">
        <v>500</v>
      </c>
      <c r="K752" s="75" t="str">
        <f t="shared" si="11"/>
        <v>12-2024</v>
      </c>
      <c r="L752" s="10" t="s">
        <v>2599</v>
      </c>
    </row>
    <row r="753" spans="1:12" hidden="1" x14ac:dyDescent="0.35">
      <c r="A753" s="75">
        <v>6808</v>
      </c>
      <c r="B753" s="75" t="s">
        <v>640</v>
      </c>
      <c r="C753" s="75" t="s">
        <v>1508</v>
      </c>
      <c r="D753" s="75" t="s">
        <v>866</v>
      </c>
      <c r="E753" s="75" t="s">
        <v>1960</v>
      </c>
      <c r="F753" s="75" t="s">
        <v>1509</v>
      </c>
      <c r="G753" s="76">
        <v>45632</v>
      </c>
      <c r="H753" s="75" t="s">
        <v>9</v>
      </c>
      <c r="I753" s="75" t="s">
        <v>10</v>
      </c>
      <c r="J753" s="75">
        <v>500</v>
      </c>
      <c r="K753" s="75" t="str">
        <f t="shared" si="11"/>
        <v>12-2024</v>
      </c>
      <c r="L753" s="10" t="s">
        <v>2599</v>
      </c>
    </row>
    <row r="754" spans="1:12" hidden="1" x14ac:dyDescent="0.35">
      <c r="A754" s="75">
        <v>7216</v>
      </c>
      <c r="B754" s="75" t="s">
        <v>36</v>
      </c>
      <c r="C754" s="75" t="s">
        <v>1508</v>
      </c>
      <c r="D754" s="75" t="s">
        <v>866</v>
      </c>
      <c r="E754" s="75" t="s">
        <v>1961</v>
      </c>
      <c r="F754" s="75" t="s">
        <v>1509</v>
      </c>
      <c r="G754" s="76">
        <v>45632</v>
      </c>
      <c r="H754" s="75" t="s">
        <v>35</v>
      </c>
      <c r="I754" s="75" t="s">
        <v>32</v>
      </c>
      <c r="J754" s="75">
        <v>500</v>
      </c>
      <c r="K754" s="75" t="str">
        <f t="shared" si="11"/>
        <v>12-2024</v>
      </c>
      <c r="L754" s="10" t="s">
        <v>2599</v>
      </c>
    </row>
    <row r="755" spans="1:12" hidden="1" x14ac:dyDescent="0.35">
      <c r="A755" s="75">
        <v>7661</v>
      </c>
      <c r="B755" s="75" t="s">
        <v>735</v>
      </c>
      <c r="C755" s="75" t="s">
        <v>1508</v>
      </c>
      <c r="D755" s="75" t="s">
        <v>866</v>
      </c>
      <c r="E755" s="75" t="s">
        <v>1962</v>
      </c>
      <c r="F755" s="75" t="s">
        <v>1509</v>
      </c>
      <c r="G755" s="76">
        <v>45632</v>
      </c>
      <c r="H755" s="75" t="s">
        <v>395</v>
      </c>
      <c r="I755" s="75" t="s">
        <v>10</v>
      </c>
      <c r="J755" s="75">
        <v>500</v>
      </c>
      <c r="K755" s="75" t="str">
        <f t="shared" si="11"/>
        <v>12-2024</v>
      </c>
      <c r="L755" s="10" t="s">
        <v>2599</v>
      </c>
    </row>
    <row r="756" spans="1:12" hidden="1" x14ac:dyDescent="0.35">
      <c r="A756" s="75">
        <v>6707</v>
      </c>
      <c r="B756" s="75" t="s">
        <v>736</v>
      </c>
      <c r="C756" s="75" t="s">
        <v>1508</v>
      </c>
      <c r="D756" s="75" t="s">
        <v>866</v>
      </c>
      <c r="E756" s="75" t="s">
        <v>1963</v>
      </c>
      <c r="F756" s="75" t="s">
        <v>1509</v>
      </c>
      <c r="G756" s="76">
        <v>45632</v>
      </c>
      <c r="H756" s="75" t="s">
        <v>73</v>
      </c>
      <c r="I756" s="75" t="s">
        <v>251</v>
      </c>
      <c r="J756" s="75">
        <v>500</v>
      </c>
      <c r="K756" s="75" t="str">
        <f t="shared" si="11"/>
        <v>12-2024</v>
      </c>
      <c r="L756" s="10" t="s">
        <v>2599</v>
      </c>
    </row>
    <row r="757" spans="1:12" hidden="1" x14ac:dyDescent="0.35">
      <c r="A757" s="75">
        <v>3323</v>
      </c>
      <c r="B757" s="75" t="s">
        <v>738</v>
      </c>
      <c r="C757" s="75" t="s">
        <v>1508</v>
      </c>
      <c r="D757" s="75" t="s">
        <v>866</v>
      </c>
      <c r="E757" s="75" t="s">
        <v>1964</v>
      </c>
      <c r="F757" s="75" t="s">
        <v>1509</v>
      </c>
      <c r="G757" s="76">
        <v>45632</v>
      </c>
      <c r="H757" s="75" t="s">
        <v>40</v>
      </c>
      <c r="I757" s="75" t="s">
        <v>74</v>
      </c>
      <c r="J757" s="75">
        <v>500</v>
      </c>
      <c r="K757" s="75" t="str">
        <f t="shared" si="11"/>
        <v>12-2024</v>
      </c>
      <c r="L757" s="10" t="s">
        <v>2599</v>
      </c>
    </row>
    <row r="758" spans="1:12" hidden="1" x14ac:dyDescent="0.35">
      <c r="A758" s="75">
        <v>3328</v>
      </c>
      <c r="B758" s="75" t="s">
        <v>739</v>
      </c>
      <c r="C758" s="75" t="s">
        <v>1508</v>
      </c>
      <c r="D758" s="75" t="s">
        <v>866</v>
      </c>
      <c r="E758" s="75" t="s">
        <v>1965</v>
      </c>
      <c r="F758" s="75" t="s">
        <v>1509</v>
      </c>
      <c r="G758" s="76">
        <v>45632</v>
      </c>
      <c r="H758" s="75" t="s">
        <v>40</v>
      </c>
      <c r="I758" s="75" t="s">
        <v>74</v>
      </c>
      <c r="J758" s="75">
        <v>500</v>
      </c>
      <c r="K758" s="75" t="str">
        <f t="shared" si="11"/>
        <v>12-2024</v>
      </c>
      <c r="L758" s="10" t="s">
        <v>2599</v>
      </c>
    </row>
    <row r="759" spans="1:12" hidden="1" x14ac:dyDescent="0.35">
      <c r="A759" s="75">
        <v>1680</v>
      </c>
      <c r="B759" s="75" t="s">
        <v>740</v>
      </c>
      <c r="C759" s="75" t="s">
        <v>1508</v>
      </c>
      <c r="D759" s="75" t="s">
        <v>866</v>
      </c>
      <c r="E759" s="75" t="s">
        <v>1966</v>
      </c>
      <c r="F759" s="75" t="s">
        <v>1509</v>
      </c>
      <c r="G759" s="76">
        <v>45632</v>
      </c>
      <c r="H759" s="75" t="s">
        <v>40</v>
      </c>
      <c r="I759" s="75" t="s">
        <v>74</v>
      </c>
      <c r="J759" s="75">
        <v>500</v>
      </c>
      <c r="K759" s="75" t="str">
        <f t="shared" si="11"/>
        <v>12-2024</v>
      </c>
      <c r="L759" s="10" t="s">
        <v>2599</v>
      </c>
    </row>
    <row r="760" spans="1:12" hidden="1" x14ac:dyDescent="0.35">
      <c r="A760" s="75">
        <v>7895</v>
      </c>
      <c r="B760" s="75" t="s">
        <v>741</v>
      </c>
      <c r="C760" s="75" t="s">
        <v>1508</v>
      </c>
      <c r="D760" s="75" t="s">
        <v>866</v>
      </c>
      <c r="E760" s="75" t="s">
        <v>1967</v>
      </c>
      <c r="F760" s="75" t="s">
        <v>1509</v>
      </c>
      <c r="G760" s="76">
        <v>45632</v>
      </c>
      <c r="H760" s="75" t="s">
        <v>40</v>
      </c>
      <c r="I760" s="75" t="s">
        <v>74</v>
      </c>
      <c r="J760" s="75">
        <v>500</v>
      </c>
      <c r="K760" s="75" t="str">
        <f t="shared" si="11"/>
        <v>12-2024</v>
      </c>
      <c r="L760" s="10" t="s">
        <v>2599</v>
      </c>
    </row>
    <row r="761" spans="1:12" hidden="1" x14ac:dyDescent="0.35">
      <c r="A761" s="75">
        <v>7877</v>
      </c>
      <c r="B761" s="75" t="s">
        <v>742</v>
      </c>
      <c r="C761" s="75" t="s">
        <v>1508</v>
      </c>
      <c r="D761" s="75" t="s">
        <v>866</v>
      </c>
      <c r="E761" s="75" t="s">
        <v>1968</v>
      </c>
      <c r="F761" s="75" t="s">
        <v>1509</v>
      </c>
      <c r="G761" s="76">
        <v>45632</v>
      </c>
      <c r="H761" s="75" t="s">
        <v>73</v>
      </c>
      <c r="I761" s="75" t="s">
        <v>74</v>
      </c>
      <c r="J761" s="75">
        <v>500</v>
      </c>
      <c r="K761" s="75" t="str">
        <f t="shared" si="11"/>
        <v>12-2024</v>
      </c>
      <c r="L761" s="10" t="s">
        <v>2599</v>
      </c>
    </row>
    <row r="762" spans="1:12" hidden="1" x14ac:dyDescent="0.35">
      <c r="A762" s="75">
        <v>7056</v>
      </c>
      <c r="B762" s="75" t="s">
        <v>413</v>
      </c>
      <c r="C762" s="75" t="s">
        <v>1508</v>
      </c>
      <c r="D762" s="75" t="s">
        <v>866</v>
      </c>
      <c r="E762" s="75" t="s">
        <v>1969</v>
      </c>
      <c r="F762" s="75" t="s">
        <v>1509</v>
      </c>
      <c r="G762" s="76">
        <v>45632</v>
      </c>
      <c r="H762" s="75" t="s">
        <v>35</v>
      </c>
      <c r="I762" s="75" t="s">
        <v>74</v>
      </c>
      <c r="J762" s="75">
        <v>500</v>
      </c>
      <c r="K762" s="75" t="str">
        <f t="shared" si="11"/>
        <v>12-2024</v>
      </c>
      <c r="L762" s="10" t="s">
        <v>2599</v>
      </c>
    </row>
    <row r="763" spans="1:12" hidden="1" x14ac:dyDescent="0.35">
      <c r="A763" s="75">
        <v>7418</v>
      </c>
      <c r="B763" s="75" t="s">
        <v>745</v>
      </c>
      <c r="C763" s="75" t="s">
        <v>1508</v>
      </c>
      <c r="D763" s="75" t="s">
        <v>866</v>
      </c>
      <c r="E763" s="75" t="s">
        <v>1970</v>
      </c>
      <c r="F763" s="75" t="s">
        <v>1509</v>
      </c>
      <c r="G763" s="76">
        <v>45632</v>
      </c>
      <c r="H763" s="75" t="s">
        <v>73</v>
      </c>
      <c r="I763" s="75" t="s">
        <v>251</v>
      </c>
      <c r="J763" s="75">
        <v>500</v>
      </c>
      <c r="K763" s="75" t="str">
        <f t="shared" si="11"/>
        <v>12-2024</v>
      </c>
      <c r="L763" s="10" t="s">
        <v>2599</v>
      </c>
    </row>
    <row r="764" spans="1:12" hidden="1" x14ac:dyDescent="0.35">
      <c r="A764" s="75">
        <v>7444</v>
      </c>
      <c r="B764" s="75" t="s">
        <v>870</v>
      </c>
      <c r="C764" s="75" t="s">
        <v>1508</v>
      </c>
      <c r="D764" s="75" t="s">
        <v>866</v>
      </c>
      <c r="E764" s="75" t="s">
        <v>1971</v>
      </c>
      <c r="F764" s="75" t="s">
        <v>1509</v>
      </c>
      <c r="G764" s="76">
        <v>45632</v>
      </c>
      <c r="H764" s="75" t="s">
        <v>35</v>
      </c>
      <c r="I764" s="75" t="s">
        <v>32</v>
      </c>
      <c r="J764" s="75">
        <v>500</v>
      </c>
      <c r="K764" s="75" t="str">
        <f t="shared" si="11"/>
        <v>12-2024</v>
      </c>
      <c r="L764" s="10" t="s">
        <v>2599</v>
      </c>
    </row>
    <row r="765" spans="1:12" hidden="1" x14ac:dyDescent="0.35">
      <c r="A765" s="75">
        <v>7495</v>
      </c>
      <c r="B765" s="75" t="s">
        <v>284</v>
      </c>
      <c r="C765" s="75" t="s">
        <v>1508</v>
      </c>
      <c r="D765" s="75" t="s">
        <v>866</v>
      </c>
      <c r="E765" s="75" t="s">
        <v>1972</v>
      </c>
      <c r="F765" s="75" t="s">
        <v>1509</v>
      </c>
      <c r="G765" s="76">
        <v>45632</v>
      </c>
      <c r="H765" s="75" t="s">
        <v>35</v>
      </c>
      <c r="I765" s="75" t="s">
        <v>32</v>
      </c>
      <c r="J765" s="75">
        <v>500</v>
      </c>
      <c r="K765" s="75" t="str">
        <f t="shared" si="11"/>
        <v>12-2024</v>
      </c>
      <c r="L765" s="10" t="s">
        <v>2599</v>
      </c>
    </row>
    <row r="766" spans="1:12" hidden="1" x14ac:dyDescent="0.35">
      <c r="A766" s="75">
        <v>7253</v>
      </c>
      <c r="B766" s="75" t="s">
        <v>689</v>
      </c>
      <c r="C766" s="75" t="s">
        <v>1508</v>
      </c>
      <c r="D766" s="75" t="s">
        <v>866</v>
      </c>
      <c r="E766" s="75" t="s">
        <v>1973</v>
      </c>
      <c r="F766" s="75" t="s">
        <v>1509</v>
      </c>
      <c r="G766" s="76">
        <v>45632</v>
      </c>
      <c r="H766" s="75" t="s">
        <v>35</v>
      </c>
      <c r="I766" s="75" t="s">
        <v>32</v>
      </c>
      <c r="J766" s="75">
        <v>500</v>
      </c>
      <c r="K766" s="75" t="str">
        <f t="shared" si="11"/>
        <v>12-2024</v>
      </c>
      <c r="L766" s="10" t="s">
        <v>2599</v>
      </c>
    </row>
    <row r="767" spans="1:12" hidden="1" x14ac:dyDescent="0.35">
      <c r="A767" s="75">
        <v>7380</v>
      </c>
      <c r="B767" s="75" t="s">
        <v>775</v>
      </c>
      <c r="C767" s="75" t="s">
        <v>1508</v>
      </c>
      <c r="D767" s="75" t="s">
        <v>866</v>
      </c>
      <c r="E767" s="75" t="s">
        <v>1974</v>
      </c>
      <c r="F767" s="75" t="s">
        <v>1509</v>
      </c>
      <c r="G767" s="76">
        <v>45632</v>
      </c>
      <c r="H767" s="75" t="s">
        <v>73</v>
      </c>
      <c r="I767" s="75" t="s">
        <v>74</v>
      </c>
      <c r="J767" s="75">
        <v>500</v>
      </c>
      <c r="K767" s="75" t="str">
        <f t="shared" si="11"/>
        <v>12-2024</v>
      </c>
      <c r="L767" s="10" t="s">
        <v>2599</v>
      </c>
    </row>
    <row r="768" spans="1:12" hidden="1" x14ac:dyDescent="0.35">
      <c r="A768" s="75">
        <v>6500</v>
      </c>
      <c r="B768" s="75" t="s">
        <v>743</v>
      </c>
      <c r="C768" s="75" t="s">
        <v>1508</v>
      </c>
      <c r="D768" s="75" t="s">
        <v>866</v>
      </c>
      <c r="E768" s="75" t="s">
        <v>1975</v>
      </c>
      <c r="F768" s="75" t="s">
        <v>1509</v>
      </c>
      <c r="G768" s="76">
        <v>45632</v>
      </c>
      <c r="H768" s="75" t="s">
        <v>73</v>
      </c>
      <c r="I768" s="75" t="s">
        <v>251</v>
      </c>
      <c r="J768" s="75">
        <v>500</v>
      </c>
      <c r="K768" s="75" t="str">
        <f t="shared" si="11"/>
        <v>12-2024</v>
      </c>
      <c r="L768" s="10" t="s">
        <v>2599</v>
      </c>
    </row>
    <row r="769" spans="1:12" hidden="1" x14ac:dyDescent="0.35">
      <c r="A769" s="75">
        <v>3993</v>
      </c>
      <c r="B769" s="75" t="s">
        <v>627</v>
      </c>
      <c r="C769" s="75" t="s">
        <v>1508</v>
      </c>
      <c r="D769" s="75" t="s">
        <v>866</v>
      </c>
      <c r="E769" s="75" t="s">
        <v>1976</v>
      </c>
      <c r="F769" s="75" t="s">
        <v>1509</v>
      </c>
      <c r="G769" s="76">
        <v>45632</v>
      </c>
      <c r="H769" s="75" t="s">
        <v>53</v>
      </c>
      <c r="I769" s="75" t="s">
        <v>32</v>
      </c>
      <c r="J769" s="75">
        <v>500</v>
      </c>
      <c r="K769" s="75" t="str">
        <f t="shared" si="11"/>
        <v>12-2024</v>
      </c>
      <c r="L769" s="10" t="s">
        <v>2599</v>
      </c>
    </row>
    <row r="770" spans="1:12" hidden="1" x14ac:dyDescent="0.35">
      <c r="A770" s="75">
        <v>1382</v>
      </c>
      <c r="B770" s="75" t="s">
        <v>1854</v>
      </c>
      <c r="C770" s="75">
        <v>1704</v>
      </c>
      <c r="D770" s="75" t="s">
        <v>895</v>
      </c>
      <c r="E770" s="75" t="s">
        <v>1977</v>
      </c>
      <c r="F770" s="75" t="s">
        <v>1509</v>
      </c>
      <c r="G770" s="76">
        <v>45632</v>
      </c>
      <c r="H770" s="75" t="s">
        <v>40</v>
      </c>
      <c r="I770" s="75" t="s">
        <v>32</v>
      </c>
      <c r="J770" s="75">
        <v>500</v>
      </c>
      <c r="K770" s="75" t="str">
        <f t="shared" si="11"/>
        <v>12-2024</v>
      </c>
      <c r="L770" s="10" t="s">
        <v>2599</v>
      </c>
    </row>
    <row r="771" spans="1:12" hidden="1" x14ac:dyDescent="0.35">
      <c r="A771" s="75">
        <v>7323</v>
      </c>
      <c r="B771" s="75" t="s">
        <v>451</v>
      </c>
      <c r="C771" s="75">
        <v>2169</v>
      </c>
      <c r="D771" s="75" t="s">
        <v>469</v>
      </c>
      <c r="E771" s="75" t="s">
        <v>1978</v>
      </c>
      <c r="F771" s="75" t="s">
        <v>1510</v>
      </c>
      <c r="G771" s="76">
        <v>45632</v>
      </c>
      <c r="H771" s="75" t="s">
        <v>35</v>
      </c>
      <c r="I771" s="75" t="s">
        <v>32</v>
      </c>
      <c r="J771" s="75">
        <v>0</v>
      </c>
      <c r="K771" s="75" t="str">
        <f t="shared" ref="K771:K834" si="12">TEXT(G771,"mm-yyyy")</f>
        <v>12-2024</v>
      </c>
      <c r="L771" s="10" t="s">
        <v>2599</v>
      </c>
    </row>
    <row r="772" spans="1:12" hidden="1" x14ac:dyDescent="0.35">
      <c r="A772" s="75">
        <v>7495</v>
      </c>
      <c r="B772" s="75" t="s">
        <v>284</v>
      </c>
      <c r="C772" s="75">
        <v>2169</v>
      </c>
      <c r="D772" s="75" t="s">
        <v>469</v>
      </c>
      <c r="E772" s="75" t="s">
        <v>1979</v>
      </c>
      <c r="F772" s="75" t="s">
        <v>1510</v>
      </c>
      <c r="G772" s="76">
        <v>45632</v>
      </c>
      <c r="H772" s="75" t="s">
        <v>35</v>
      </c>
      <c r="I772" s="75" t="s">
        <v>32</v>
      </c>
      <c r="J772" s="75">
        <v>0</v>
      </c>
      <c r="K772" s="75" t="str">
        <f t="shared" si="12"/>
        <v>12-2024</v>
      </c>
      <c r="L772" s="10" t="s">
        <v>2599</v>
      </c>
    </row>
    <row r="773" spans="1:12" hidden="1" x14ac:dyDescent="0.35">
      <c r="A773" s="75">
        <v>6536</v>
      </c>
      <c r="B773" s="75" t="s">
        <v>1738</v>
      </c>
      <c r="C773" s="75">
        <v>7720</v>
      </c>
      <c r="D773" s="75" t="s">
        <v>1872</v>
      </c>
      <c r="E773" s="75" t="s">
        <v>1980</v>
      </c>
      <c r="F773" s="75" t="s">
        <v>1510</v>
      </c>
      <c r="G773" s="76">
        <v>45632</v>
      </c>
      <c r="H773" s="75" t="s">
        <v>40</v>
      </c>
      <c r="I773" s="75" t="s">
        <v>251</v>
      </c>
      <c r="J773" s="75">
        <v>0</v>
      </c>
      <c r="K773" s="75" t="str">
        <f t="shared" si="12"/>
        <v>12-2024</v>
      </c>
      <c r="L773" s="10" t="s">
        <v>2599</v>
      </c>
    </row>
    <row r="774" spans="1:12" hidden="1" x14ac:dyDescent="0.35">
      <c r="A774" s="75">
        <v>837</v>
      </c>
      <c r="B774" s="75" t="s">
        <v>1855</v>
      </c>
      <c r="C774" s="75">
        <v>4724</v>
      </c>
      <c r="D774" s="75" t="s">
        <v>867</v>
      </c>
      <c r="E774" s="75" t="s">
        <v>1981</v>
      </c>
      <c r="F774" s="75" t="s">
        <v>1509</v>
      </c>
      <c r="G774" s="76">
        <v>45630</v>
      </c>
      <c r="H774" s="75" t="s">
        <v>40</v>
      </c>
      <c r="I774" s="75" t="s">
        <v>74</v>
      </c>
      <c r="J774" s="75">
        <v>500</v>
      </c>
      <c r="K774" s="75" t="str">
        <f t="shared" si="12"/>
        <v>12-2024</v>
      </c>
      <c r="L774" s="10" t="s">
        <v>2599</v>
      </c>
    </row>
    <row r="775" spans="1:12" hidden="1" x14ac:dyDescent="0.35">
      <c r="A775" s="75">
        <v>4416</v>
      </c>
      <c r="B775" s="75" t="s">
        <v>269</v>
      </c>
      <c r="C775" s="75">
        <v>2843</v>
      </c>
      <c r="D775" s="75" t="s">
        <v>1789</v>
      </c>
      <c r="E775" s="75" t="s">
        <v>1982</v>
      </c>
      <c r="F775" s="75" t="s">
        <v>1510</v>
      </c>
      <c r="G775" s="76">
        <v>45630</v>
      </c>
      <c r="H775" s="75" t="s">
        <v>35</v>
      </c>
      <c r="I775" s="75" t="s">
        <v>32</v>
      </c>
      <c r="J775" s="75">
        <v>0</v>
      </c>
      <c r="K775" s="75" t="str">
        <f t="shared" si="12"/>
        <v>12-2024</v>
      </c>
      <c r="L775" s="10" t="s">
        <v>2599</v>
      </c>
    </row>
    <row r="776" spans="1:12" hidden="1" x14ac:dyDescent="0.35">
      <c r="A776" s="75">
        <v>3993</v>
      </c>
      <c r="B776" s="75" t="s">
        <v>627</v>
      </c>
      <c r="C776" s="75">
        <v>4454</v>
      </c>
      <c r="D776" s="75" t="s">
        <v>657</v>
      </c>
      <c r="E776" s="75" t="s">
        <v>1983</v>
      </c>
      <c r="F776" s="75" t="s">
        <v>1509</v>
      </c>
      <c r="G776" s="76">
        <v>45630</v>
      </c>
      <c r="H776" s="75" t="s">
        <v>53</v>
      </c>
      <c r="I776" s="75" t="s">
        <v>32</v>
      </c>
      <c r="J776" s="75">
        <v>500</v>
      </c>
      <c r="K776" s="75" t="str">
        <f t="shared" si="12"/>
        <v>12-2024</v>
      </c>
      <c r="L776" s="10" t="s">
        <v>2599</v>
      </c>
    </row>
    <row r="777" spans="1:12" hidden="1" x14ac:dyDescent="0.35">
      <c r="A777" s="75">
        <v>3081</v>
      </c>
      <c r="B777" s="75" t="s">
        <v>1856</v>
      </c>
      <c r="C777" s="75">
        <v>3028</v>
      </c>
      <c r="D777" s="75" t="s">
        <v>913</v>
      </c>
      <c r="E777" s="75" t="s">
        <v>1984</v>
      </c>
      <c r="F777" s="75" t="s">
        <v>1510</v>
      </c>
      <c r="G777" s="76">
        <v>45630</v>
      </c>
      <c r="H777" s="75" t="s">
        <v>35</v>
      </c>
      <c r="I777" s="75" t="s">
        <v>74</v>
      </c>
      <c r="J777" s="75">
        <v>0</v>
      </c>
      <c r="K777" s="75" t="str">
        <f t="shared" si="12"/>
        <v>12-2024</v>
      </c>
      <c r="L777" s="10" t="s">
        <v>2599</v>
      </c>
    </row>
    <row r="778" spans="1:12" hidden="1" x14ac:dyDescent="0.35">
      <c r="A778" s="75">
        <v>1704</v>
      </c>
      <c r="B778" s="75" t="s">
        <v>895</v>
      </c>
      <c r="C778" s="75">
        <v>3028</v>
      </c>
      <c r="D778" s="75" t="s">
        <v>913</v>
      </c>
      <c r="E778" s="75" t="s">
        <v>1985</v>
      </c>
      <c r="F778" s="75" t="s">
        <v>1510</v>
      </c>
      <c r="G778" s="76">
        <v>45630</v>
      </c>
      <c r="H778" s="75" t="s">
        <v>35</v>
      </c>
      <c r="I778" s="75" t="s">
        <v>54</v>
      </c>
      <c r="J778" s="75">
        <v>0</v>
      </c>
      <c r="K778" s="75" t="str">
        <f t="shared" si="12"/>
        <v>12-2024</v>
      </c>
      <c r="L778" s="10" t="s">
        <v>2599</v>
      </c>
    </row>
    <row r="779" spans="1:12" hidden="1" x14ac:dyDescent="0.35">
      <c r="A779" s="75">
        <v>7628</v>
      </c>
      <c r="B779" s="75" t="s">
        <v>1857</v>
      </c>
      <c r="C779" s="75">
        <v>2934</v>
      </c>
      <c r="D779" s="75" t="s">
        <v>1873</v>
      </c>
      <c r="E779" s="75" t="s">
        <v>1986</v>
      </c>
      <c r="F779" s="75" t="s">
        <v>1510</v>
      </c>
      <c r="G779" s="76">
        <v>45630</v>
      </c>
      <c r="H779" s="75" t="s">
        <v>40</v>
      </c>
      <c r="I779" s="75" t="s">
        <v>32</v>
      </c>
      <c r="J779" s="75">
        <v>0</v>
      </c>
      <c r="K779" s="75" t="str">
        <f t="shared" si="12"/>
        <v>12-2024</v>
      </c>
      <c r="L779" s="10" t="s">
        <v>2599</v>
      </c>
    </row>
    <row r="780" spans="1:12" hidden="1" x14ac:dyDescent="0.35">
      <c r="A780" s="75">
        <v>107</v>
      </c>
      <c r="B780" s="75" t="s">
        <v>1535</v>
      </c>
      <c r="C780" s="75">
        <v>7104</v>
      </c>
      <c r="D780" s="75" t="s">
        <v>1534</v>
      </c>
      <c r="E780" s="75" t="s">
        <v>1987</v>
      </c>
      <c r="F780" s="75" t="s">
        <v>1510</v>
      </c>
      <c r="G780" s="76">
        <v>45629</v>
      </c>
      <c r="H780" s="75" t="s">
        <v>24</v>
      </c>
      <c r="I780" s="75" t="s">
        <v>10</v>
      </c>
      <c r="J780" s="75">
        <v>0</v>
      </c>
      <c r="K780" s="75" t="str">
        <f t="shared" si="12"/>
        <v>12-2024</v>
      </c>
      <c r="L780" s="10" t="s">
        <v>2599</v>
      </c>
    </row>
    <row r="781" spans="1:12" hidden="1" x14ac:dyDescent="0.35">
      <c r="A781" s="75">
        <v>6536</v>
      </c>
      <c r="B781" s="75" t="s">
        <v>1738</v>
      </c>
      <c r="C781" s="75">
        <v>7527</v>
      </c>
      <c r="D781" s="75" t="s">
        <v>1874</v>
      </c>
      <c r="E781" s="75" t="s">
        <v>1988</v>
      </c>
      <c r="F781" s="75" t="s">
        <v>1510</v>
      </c>
      <c r="G781" s="76">
        <v>45629</v>
      </c>
      <c r="H781" s="75" t="s">
        <v>40</v>
      </c>
      <c r="I781" s="75" t="s">
        <v>251</v>
      </c>
      <c r="J781" s="75">
        <v>0</v>
      </c>
      <c r="K781" s="75" t="str">
        <f t="shared" si="12"/>
        <v>12-2024</v>
      </c>
      <c r="L781" s="10" t="s">
        <v>2599</v>
      </c>
    </row>
    <row r="782" spans="1:12" hidden="1" x14ac:dyDescent="0.35">
      <c r="A782" s="75">
        <v>7867</v>
      </c>
      <c r="B782" s="75" t="s">
        <v>1858</v>
      </c>
      <c r="C782" s="75">
        <v>7350</v>
      </c>
      <c r="D782" s="75" t="s">
        <v>441</v>
      </c>
      <c r="E782" s="75" t="s">
        <v>1989</v>
      </c>
      <c r="F782" s="75" t="s">
        <v>1510</v>
      </c>
      <c r="G782" s="76">
        <v>45629</v>
      </c>
      <c r="H782" s="75" t="s">
        <v>40</v>
      </c>
      <c r="I782" s="75" t="s">
        <v>74</v>
      </c>
      <c r="J782" s="75">
        <v>0</v>
      </c>
      <c r="K782" s="75" t="str">
        <f t="shared" si="12"/>
        <v>12-2024</v>
      </c>
      <c r="L782" s="10" t="s">
        <v>2599</v>
      </c>
    </row>
    <row r="783" spans="1:12" hidden="1" x14ac:dyDescent="0.35">
      <c r="A783" s="75">
        <v>7295</v>
      </c>
      <c r="B783" s="75" t="s">
        <v>1859</v>
      </c>
      <c r="C783" s="75">
        <v>2654</v>
      </c>
      <c r="D783" s="75" t="s">
        <v>1875</v>
      </c>
      <c r="E783" s="75" t="s">
        <v>1990</v>
      </c>
      <c r="F783" s="75" t="s">
        <v>1510</v>
      </c>
      <c r="G783" s="76">
        <v>45629</v>
      </c>
      <c r="H783" s="75" t="s">
        <v>73</v>
      </c>
      <c r="I783" s="75" t="s">
        <v>74</v>
      </c>
      <c r="J783" s="75">
        <v>0</v>
      </c>
      <c r="K783" s="75" t="str">
        <f t="shared" si="12"/>
        <v>12-2024</v>
      </c>
      <c r="L783" s="10" t="s">
        <v>2599</v>
      </c>
    </row>
    <row r="784" spans="1:12" hidden="1" x14ac:dyDescent="0.35">
      <c r="A784" s="75">
        <v>3241</v>
      </c>
      <c r="B784" s="75" t="s">
        <v>1860</v>
      </c>
      <c r="C784" s="75">
        <v>3653</v>
      </c>
      <c r="D784" s="75" t="s">
        <v>299</v>
      </c>
      <c r="E784" s="75" t="s">
        <v>1991</v>
      </c>
      <c r="F784" s="75" t="s">
        <v>1510</v>
      </c>
      <c r="G784" s="76">
        <v>45628</v>
      </c>
      <c r="H784" s="75" t="s">
        <v>73</v>
      </c>
      <c r="I784" s="75" t="s">
        <v>74</v>
      </c>
      <c r="J784" s="75">
        <v>0</v>
      </c>
      <c r="K784" s="75" t="str">
        <f t="shared" si="12"/>
        <v>12-2024</v>
      </c>
      <c r="L784" s="10" t="s">
        <v>2599</v>
      </c>
    </row>
    <row r="785" spans="1:12" hidden="1" x14ac:dyDescent="0.35">
      <c r="A785" s="75">
        <v>5710</v>
      </c>
      <c r="B785" s="75" t="s">
        <v>889</v>
      </c>
      <c r="C785" s="75">
        <v>3653</v>
      </c>
      <c r="D785" s="75" t="s">
        <v>299</v>
      </c>
      <c r="E785" s="75" t="s">
        <v>1992</v>
      </c>
      <c r="F785" s="75" t="s">
        <v>1510</v>
      </c>
      <c r="G785" s="76">
        <v>45628</v>
      </c>
      <c r="H785" s="75" t="s">
        <v>73</v>
      </c>
      <c r="I785" s="75" t="s">
        <v>74</v>
      </c>
      <c r="J785" s="75">
        <v>0</v>
      </c>
      <c r="K785" s="75" t="str">
        <f t="shared" si="12"/>
        <v>12-2024</v>
      </c>
      <c r="L785" s="10" t="s">
        <v>2599</v>
      </c>
    </row>
    <row r="786" spans="1:12" hidden="1" x14ac:dyDescent="0.35">
      <c r="A786" s="75">
        <v>7394</v>
      </c>
      <c r="B786" s="75" t="s">
        <v>286</v>
      </c>
      <c r="C786" s="75">
        <v>3653</v>
      </c>
      <c r="D786" s="75" t="s">
        <v>299</v>
      </c>
      <c r="E786" s="75" t="s">
        <v>1993</v>
      </c>
      <c r="F786" s="75" t="s">
        <v>1510</v>
      </c>
      <c r="G786" s="76">
        <v>45628</v>
      </c>
      <c r="H786" s="75" t="s">
        <v>73</v>
      </c>
      <c r="I786" s="75" t="s">
        <v>74</v>
      </c>
      <c r="J786" s="75">
        <v>0</v>
      </c>
      <c r="K786" s="75" t="str">
        <f t="shared" si="12"/>
        <v>12-2024</v>
      </c>
      <c r="L786" s="10" t="s">
        <v>2599</v>
      </c>
    </row>
    <row r="787" spans="1:12" hidden="1" x14ac:dyDescent="0.35">
      <c r="A787" s="75">
        <v>1530</v>
      </c>
      <c r="B787" s="75" t="s">
        <v>371</v>
      </c>
      <c r="C787" s="75">
        <v>3777</v>
      </c>
      <c r="D787" s="75" t="s">
        <v>842</v>
      </c>
      <c r="E787" s="75" t="s">
        <v>1994</v>
      </c>
      <c r="F787" s="75" t="s">
        <v>1510</v>
      </c>
      <c r="G787" s="76">
        <v>45628</v>
      </c>
      <c r="H787" s="75" t="s">
        <v>24</v>
      </c>
      <c r="I787" s="75" t="s">
        <v>74</v>
      </c>
      <c r="J787" s="75">
        <v>0</v>
      </c>
      <c r="K787" s="75" t="str">
        <f t="shared" si="12"/>
        <v>12-2024</v>
      </c>
      <c r="L787" s="10" t="s">
        <v>2599</v>
      </c>
    </row>
    <row r="788" spans="1:12" hidden="1" x14ac:dyDescent="0.35">
      <c r="A788" s="75">
        <v>3653</v>
      </c>
      <c r="B788" s="75" t="s">
        <v>299</v>
      </c>
      <c r="C788" s="75">
        <v>3777</v>
      </c>
      <c r="D788" s="75" t="s">
        <v>842</v>
      </c>
      <c r="E788" s="75" t="s">
        <v>1995</v>
      </c>
      <c r="F788" s="75" t="s">
        <v>1510</v>
      </c>
      <c r="G788" s="76">
        <v>45628</v>
      </c>
      <c r="H788" s="75" t="s">
        <v>73</v>
      </c>
      <c r="I788" s="75" t="s">
        <v>74</v>
      </c>
      <c r="J788" s="75">
        <v>0</v>
      </c>
      <c r="K788" s="75" t="str">
        <f t="shared" si="12"/>
        <v>12-2024</v>
      </c>
      <c r="L788" s="10" t="s">
        <v>2599</v>
      </c>
    </row>
    <row r="789" spans="1:12" hidden="1" x14ac:dyDescent="0.35">
      <c r="A789" s="75">
        <v>669</v>
      </c>
      <c r="B789" s="75" t="s">
        <v>114</v>
      </c>
      <c r="C789" s="75">
        <v>7489</v>
      </c>
      <c r="D789" s="75" t="s">
        <v>1876</v>
      </c>
      <c r="E789" s="75" t="s">
        <v>1996</v>
      </c>
      <c r="F789" s="75" t="s">
        <v>1510</v>
      </c>
      <c r="G789" s="76">
        <v>45628</v>
      </c>
      <c r="H789" s="75" t="s">
        <v>40</v>
      </c>
      <c r="I789" s="75" t="s">
        <v>74</v>
      </c>
      <c r="J789" s="75">
        <v>0</v>
      </c>
      <c r="K789" s="75" t="str">
        <f t="shared" si="12"/>
        <v>12-2024</v>
      </c>
      <c r="L789" s="10" t="s">
        <v>2599</v>
      </c>
    </row>
    <row r="790" spans="1:12" hidden="1" x14ac:dyDescent="0.35">
      <c r="A790" s="75">
        <v>7258</v>
      </c>
      <c r="B790" s="75" t="s">
        <v>805</v>
      </c>
      <c r="C790" s="75">
        <v>6690</v>
      </c>
      <c r="D790" s="75" t="s">
        <v>280</v>
      </c>
      <c r="E790" s="75" t="s">
        <v>1997</v>
      </c>
      <c r="F790" s="75" t="s">
        <v>1510</v>
      </c>
      <c r="G790" s="76">
        <v>45628</v>
      </c>
      <c r="H790" s="75" t="s">
        <v>16</v>
      </c>
      <c r="I790" s="75" t="s">
        <v>54</v>
      </c>
      <c r="J790" s="75">
        <v>0</v>
      </c>
      <c r="K790" s="75" t="str">
        <f t="shared" si="12"/>
        <v>12-2024</v>
      </c>
      <c r="L790" s="10" t="s">
        <v>2599</v>
      </c>
    </row>
    <row r="791" spans="1:12" hidden="1" x14ac:dyDescent="0.35">
      <c r="A791" s="75">
        <v>669</v>
      </c>
      <c r="B791" s="75" t="s">
        <v>114</v>
      </c>
      <c r="C791" s="75">
        <v>7638</v>
      </c>
      <c r="D791" s="75" t="s">
        <v>125</v>
      </c>
      <c r="E791" s="75" t="s">
        <v>1998</v>
      </c>
      <c r="F791" s="75" t="s">
        <v>1510</v>
      </c>
      <c r="G791" s="76">
        <v>45627</v>
      </c>
      <c r="H791" s="75" t="s">
        <v>40</v>
      </c>
      <c r="I791" s="75" t="s">
        <v>74</v>
      </c>
      <c r="J791" s="75">
        <v>0</v>
      </c>
      <c r="K791" s="75" t="str">
        <f t="shared" si="12"/>
        <v>12-2024</v>
      </c>
      <c r="L791" s="10" t="s">
        <v>2599</v>
      </c>
    </row>
    <row r="792" spans="1:12" hidden="1" x14ac:dyDescent="0.35">
      <c r="A792" s="75">
        <v>7855</v>
      </c>
      <c r="B792" s="75" t="s">
        <v>1861</v>
      </c>
      <c r="C792" s="75">
        <v>7638</v>
      </c>
      <c r="D792" s="75" t="s">
        <v>125</v>
      </c>
      <c r="E792" s="75" t="s">
        <v>1999</v>
      </c>
      <c r="F792" s="75" t="s">
        <v>1510</v>
      </c>
      <c r="G792" s="76">
        <v>45627</v>
      </c>
      <c r="H792" s="75" t="s">
        <v>40</v>
      </c>
      <c r="I792" s="75" t="s">
        <v>74</v>
      </c>
      <c r="J792" s="75">
        <v>0</v>
      </c>
      <c r="K792" s="75" t="str">
        <f t="shared" si="12"/>
        <v>12-2024</v>
      </c>
      <c r="L792" s="10" t="s">
        <v>2599</v>
      </c>
    </row>
    <row r="793" spans="1:12" hidden="1" x14ac:dyDescent="0.35">
      <c r="A793" s="75">
        <v>7721</v>
      </c>
      <c r="B793" s="75" t="s">
        <v>803</v>
      </c>
      <c r="C793" s="75">
        <v>7638</v>
      </c>
      <c r="D793" s="75" t="s">
        <v>125</v>
      </c>
      <c r="E793" s="75" t="s">
        <v>2000</v>
      </c>
      <c r="F793" s="75" t="s">
        <v>1510</v>
      </c>
      <c r="G793" s="76">
        <v>45627</v>
      </c>
      <c r="H793" s="75" t="s">
        <v>40</v>
      </c>
      <c r="I793" s="75" t="s">
        <v>74</v>
      </c>
      <c r="J793" s="75">
        <v>0</v>
      </c>
      <c r="K793" s="75" t="str">
        <f t="shared" si="12"/>
        <v>12-2024</v>
      </c>
      <c r="L793" s="10" t="s">
        <v>2599</v>
      </c>
    </row>
    <row r="794" spans="1:12" hidden="1" x14ac:dyDescent="0.35">
      <c r="A794" s="75">
        <v>7886</v>
      </c>
      <c r="B794" s="75" t="s">
        <v>779</v>
      </c>
      <c r="C794" s="75">
        <v>7638</v>
      </c>
      <c r="D794" s="75" t="s">
        <v>125</v>
      </c>
      <c r="E794" s="75" t="s">
        <v>2001</v>
      </c>
      <c r="F794" s="75" t="s">
        <v>1510</v>
      </c>
      <c r="G794" s="76">
        <v>45627</v>
      </c>
      <c r="H794" s="75" t="s">
        <v>40</v>
      </c>
      <c r="I794" s="75" t="s">
        <v>74</v>
      </c>
      <c r="J794" s="75">
        <v>0</v>
      </c>
      <c r="K794" s="75" t="str">
        <f t="shared" si="12"/>
        <v>12-2024</v>
      </c>
      <c r="L794" s="10" t="s">
        <v>2599</v>
      </c>
    </row>
    <row r="795" spans="1:12" hidden="1" x14ac:dyDescent="0.35">
      <c r="A795" s="75">
        <v>7380</v>
      </c>
      <c r="B795" s="75" t="s">
        <v>775</v>
      </c>
      <c r="C795" s="75">
        <v>7420</v>
      </c>
      <c r="D795" s="75" t="s">
        <v>275</v>
      </c>
      <c r="E795" s="75" t="s">
        <v>2002</v>
      </c>
      <c r="F795" s="75" t="s">
        <v>1510</v>
      </c>
      <c r="G795" s="76">
        <v>45626</v>
      </c>
      <c r="H795" s="75" t="s">
        <v>73</v>
      </c>
      <c r="I795" s="75" t="s">
        <v>74</v>
      </c>
      <c r="J795" s="75">
        <v>0</v>
      </c>
      <c r="K795" s="75" t="str">
        <f t="shared" si="12"/>
        <v>11-2024</v>
      </c>
      <c r="L795" s="10" t="s">
        <v>2599</v>
      </c>
    </row>
    <row r="796" spans="1:12" hidden="1" x14ac:dyDescent="0.35">
      <c r="A796" s="75">
        <v>6286</v>
      </c>
      <c r="B796" s="75" t="s">
        <v>1862</v>
      </c>
      <c r="C796" s="75">
        <v>3122</v>
      </c>
      <c r="D796" s="75" t="s">
        <v>1877</v>
      </c>
      <c r="E796" s="75" t="s">
        <v>2003</v>
      </c>
      <c r="F796" s="75" t="s">
        <v>1509</v>
      </c>
      <c r="G796" s="76">
        <v>45625</v>
      </c>
      <c r="H796" s="75" t="s">
        <v>40</v>
      </c>
      <c r="I796" s="75" t="s">
        <v>32</v>
      </c>
      <c r="J796" s="75">
        <v>500</v>
      </c>
      <c r="K796" s="75" t="str">
        <f t="shared" si="12"/>
        <v>11-2024</v>
      </c>
      <c r="L796" s="10" t="s">
        <v>2599</v>
      </c>
    </row>
    <row r="797" spans="1:12" hidden="1" x14ac:dyDescent="0.35">
      <c r="A797" s="75">
        <v>7253</v>
      </c>
      <c r="B797" s="75" t="s">
        <v>689</v>
      </c>
      <c r="C797" s="75">
        <v>2169</v>
      </c>
      <c r="D797" s="75" t="s">
        <v>469</v>
      </c>
      <c r="E797" s="75" t="s">
        <v>2004</v>
      </c>
      <c r="F797" s="75" t="s">
        <v>1510</v>
      </c>
      <c r="G797" s="76">
        <v>45625</v>
      </c>
      <c r="H797" s="75" t="s">
        <v>35</v>
      </c>
      <c r="I797" s="75" t="s">
        <v>32</v>
      </c>
      <c r="J797" s="75">
        <v>0</v>
      </c>
      <c r="K797" s="75" t="str">
        <f t="shared" si="12"/>
        <v>11-2024</v>
      </c>
      <c r="L797" s="10" t="s">
        <v>2599</v>
      </c>
    </row>
    <row r="798" spans="1:12" hidden="1" x14ac:dyDescent="0.35">
      <c r="A798" s="75">
        <v>7495</v>
      </c>
      <c r="B798" s="75" t="s">
        <v>284</v>
      </c>
      <c r="C798" s="75">
        <v>2169</v>
      </c>
      <c r="D798" s="75" t="s">
        <v>469</v>
      </c>
      <c r="E798" s="75" t="s">
        <v>2005</v>
      </c>
      <c r="F798" s="75" t="s">
        <v>1510</v>
      </c>
      <c r="G798" s="76">
        <v>45625</v>
      </c>
      <c r="H798" s="75" t="s">
        <v>35</v>
      </c>
      <c r="I798" s="75" t="s">
        <v>32</v>
      </c>
      <c r="J798" s="75">
        <v>0</v>
      </c>
      <c r="K798" s="75" t="str">
        <f t="shared" si="12"/>
        <v>11-2024</v>
      </c>
      <c r="L798" s="10" t="s">
        <v>2599</v>
      </c>
    </row>
    <row r="799" spans="1:12" hidden="1" x14ac:dyDescent="0.35">
      <c r="A799" s="75">
        <v>7444</v>
      </c>
      <c r="B799" s="75" t="s">
        <v>870</v>
      </c>
      <c r="C799" s="75">
        <v>2056</v>
      </c>
      <c r="D799" s="75" t="s">
        <v>747</v>
      </c>
      <c r="E799" s="75" t="s">
        <v>2006</v>
      </c>
      <c r="F799" s="75" t="s">
        <v>1510</v>
      </c>
      <c r="G799" s="76">
        <v>45624</v>
      </c>
      <c r="H799" s="75" t="s">
        <v>35</v>
      </c>
      <c r="I799" s="75" t="s">
        <v>32</v>
      </c>
      <c r="J799" s="75">
        <v>0</v>
      </c>
      <c r="K799" s="75" t="str">
        <f t="shared" si="12"/>
        <v>11-2024</v>
      </c>
      <c r="L799" s="10" t="s">
        <v>2599</v>
      </c>
    </row>
    <row r="800" spans="1:12" hidden="1" x14ac:dyDescent="0.35">
      <c r="A800" s="75">
        <v>3993</v>
      </c>
      <c r="B800" s="75" t="s">
        <v>627</v>
      </c>
      <c r="C800" s="75">
        <v>5780</v>
      </c>
      <c r="D800" s="75" t="s">
        <v>483</v>
      </c>
      <c r="E800" s="75" t="s">
        <v>2007</v>
      </c>
      <c r="F800" s="75" t="s">
        <v>1510</v>
      </c>
      <c r="G800" s="76">
        <v>45623</v>
      </c>
      <c r="H800" s="75" t="s">
        <v>53</v>
      </c>
      <c r="I800" s="75" t="s">
        <v>32</v>
      </c>
      <c r="J800" s="75">
        <v>0</v>
      </c>
      <c r="K800" s="75" t="str">
        <f t="shared" si="12"/>
        <v>11-2024</v>
      </c>
      <c r="L800" s="10" t="s">
        <v>2599</v>
      </c>
    </row>
    <row r="801" spans="1:12" hidden="1" x14ac:dyDescent="0.35">
      <c r="A801" s="75">
        <v>5323</v>
      </c>
      <c r="B801" s="75" t="s">
        <v>707</v>
      </c>
      <c r="C801" s="75">
        <v>5780</v>
      </c>
      <c r="D801" s="75" t="s">
        <v>483</v>
      </c>
      <c r="E801" s="75" t="s">
        <v>2008</v>
      </c>
      <c r="F801" s="75" t="s">
        <v>1510</v>
      </c>
      <c r="G801" s="76">
        <v>45623</v>
      </c>
      <c r="H801" s="75" t="s">
        <v>53</v>
      </c>
      <c r="I801" s="75" t="s">
        <v>54</v>
      </c>
      <c r="J801" s="75">
        <v>0</v>
      </c>
      <c r="K801" s="75" t="str">
        <f t="shared" si="12"/>
        <v>11-2024</v>
      </c>
      <c r="L801" s="10" t="s">
        <v>2599</v>
      </c>
    </row>
    <row r="802" spans="1:12" hidden="1" x14ac:dyDescent="0.35">
      <c r="A802" s="75">
        <v>7124</v>
      </c>
      <c r="B802" s="75" t="s">
        <v>1848</v>
      </c>
      <c r="C802" s="75">
        <v>7288</v>
      </c>
      <c r="D802" s="75" t="s">
        <v>1878</v>
      </c>
      <c r="E802" s="75" t="s">
        <v>2009</v>
      </c>
      <c r="F802" s="75" t="s">
        <v>1510</v>
      </c>
      <c r="G802" s="76">
        <v>45623</v>
      </c>
      <c r="H802" s="75" t="s">
        <v>73</v>
      </c>
      <c r="I802" s="75" t="s">
        <v>251</v>
      </c>
      <c r="J802" s="75">
        <v>0</v>
      </c>
      <c r="K802" s="75" t="str">
        <f t="shared" si="12"/>
        <v>11-2024</v>
      </c>
      <c r="L802" s="10" t="s">
        <v>2599</v>
      </c>
    </row>
    <row r="803" spans="1:12" hidden="1" x14ac:dyDescent="0.35">
      <c r="A803" s="75">
        <v>7290</v>
      </c>
      <c r="B803" s="75" t="s">
        <v>711</v>
      </c>
      <c r="C803" s="75">
        <v>4454</v>
      </c>
      <c r="D803" s="75" t="s">
        <v>657</v>
      </c>
      <c r="E803" s="75" t="s">
        <v>2010</v>
      </c>
      <c r="F803" s="75" t="s">
        <v>1510</v>
      </c>
      <c r="G803" s="76">
        <v>45621</v>
      </c>
      <c r="H803" s="75" t="s">
        <v>9</v>
      </c>
      <c r="I803" s="75" t="s">
        <v>10</v>
      </c>
      <c r="J803" s="75">
        <v>0</v>
      </c>
      <c r="K803" s="75" t="str">
        <f t="shared" si="12"/>
        <v>11-2024</v>
      </c>
      <c r="L803" s="10" t="s">
        <v>2599</v>
      </c>
    </row>
    <row r="804" spans="1:12" hidden="1" x14ac:dyDescent="0.35">
      <c r="A804" s="75">
        <v>68</v>
      </c>
      <c r="B804" s="75" t="s">
        <v>1746</v>
      </c>
      <c r="C804" s="75">
        <v>6803</v>
      </c>
      <c r="D804" s="75" t="s">
        <v>122</v>
      </c>
      <c r="E804" s="75" t="s">
        <v>2011</v>
      </c>
      <c r="F804" s="75" t="s">
        <v>1510</v>
      </c>
      <c r="G804" s="76">
        <v>45611</v>
      </c>
      <c r="H804" s="75" t="s">
        <v>24</v>
      </c>
      <c r="I804" s="75" t="s">
        <v>10</v>
      </c>
      <c r="J804" s="75">
        <v>0</v>
      </c>
      <c r="K804" s="75" t="str">
        <f t="shared" si="12"/>
        <v>11-2024</v>
      </c>
      <c r="L804" s="10" t="s">
        <v>2599</v>
      </c>
    </row>
    <row r="805" spans="1:12" hidden="1" x14ac:dyDescent="0.35">
      <c r="A805" s="75">
        <v>3209</v>
      </c>
      <c r="B805" s="75" t="s">
        <v>775</v>
      </c>
      <c r="C805" s="75">
        <v>2662</v>
      </c>
      <c r="D805" s="75" t="s">
        <v>1879</v>
      </c>
      <c r="E805" s="75" t="s">
        <v>2012</v>
      </c>
      <c r="F805" s="75" t="s">
        <v>1510</v>
      </c>
      <c r="G805" s="76">
        <v>45611</v>
      </c>
      <c r="H805" s="75" t="s">
        <v>73</v>
      </c>
      <c r="I805" s="75" t="s">
        <v>32</v>
      </c>
      <c r="J805" s="75">
        <v>0</v>
      </c>
      <c r="K805" s="75" t="str">
        <f t="shared" si="12"/>
        <v>11-2024</v>
      </c>
      <c r="L805" s="10" t="s">
        <v>2599</v>
      </c>
    </row>
    <row r="806" spans="1:12" hidden="1" x14ac:dyDescent="0.35">
      <c r="A806" s="75">
        <v>3979</v>
      </c>
      <c r="B806" s="75" t="s">
        <v>1849</v>
      </c>
      <c r="C806" s="75">
        <v>7418</v>
      </c>
      <c r="D806" s="75" t="s">
        <v>745</v>
      </c>
      <c r="E806" s="75" t="s">
        <v>2013</v>
      </c>
      <c r="F806" s="75" t="s">
        <v>1510</v>
      </c>
      <c r="G806" s="76">
        <v>45609</v>
      </c>
      <c r="H806" s="75" t="s">
        <v>73</v>
      </c>
      <c r="I806" s="75" t="s">
        <v>251</v>
      </c>
      <c r="J806" s="75">
        <v>0</v>
      </c>
      <c r="K806" s="75" t="str">
        <f t="shared" si="12"/>
        <v>11-2024</v>
      </c>
      <c r="L806" s="10" t="s">
        <v>2599</v>
      </c>
    </row>
    <row r="807" spans="1:12" hidden="1" x14ac:dyDescent="0.35">
      <c r="A807" s="75">
        <v>7774</v>
      </c>
      <c r="B807" s="75" t="s">
        <v>1788</v>
      </c>
      <c r="C807" s="75">
        <v>7804</v>
      </c>
      <c r="D807" s="75" t="s">
        <v>270</v>
      </c>
      <c r="E807" s="75" t="s">
        <v>2014</v>
      </c>
      <c r="F807" s="75" t="s">
        <v>1509</v>
      </c>
      <c r="G807" s="76">
        <v>45608</v>
      </c>
      <c r="H807" s="75" t="s">
        <v>24</v>
      </c>
      <c r="I807" s="75" t="s">
        <v>10</v>
      </c>
      <c r="J807" s="75">
        <v>500</v>
      </c>
      <c r="K807" s="75" t="str">
        <f t="shared" si="12"/>
        <v>11-2024</v>
      </c>
      <c r="L807" s="10" t="s">
        <v>2599</v>
      </c>
    </row>
    <row r="808" spans="1:12" hidden="1" x14ac:dyDescent="0.35">
      <c r="A808" s="75">
        <v>7284</v>
      </c>
      <c r="B808" s="75" t="s">
        <v>1850</v>
      </c>
      <c r="C808" s="75">
        <v>7365</v>
      </c>
      <c r="D808" s="75" t="s">
        <v>1880</v>
      </c>
      <c r="E808" s="75" t="s">
        <v>2015</v>
      </c>
      <c r="F808" s="75" t="s">
        <v>1510</v>
      </c>
      <c r="G808" s="76">
        <v>45607</v>
      </c>
      <c r="H808" s="75" t="s">
        <v>73</v>
      </c>
      <c r="I808" s="75" t="s">
        <v>251</v>
      </c>
      <c r="J808" s="75">
        <v>0</v>
      </c>
      <c r="K808" s="75" t="str">
        <f t="shared" si="12"/>
        <v>11-2024</v>
      </c>
      <c r="L808" s="10" t="s">
        <v>2599</v>
      </c>
    </row>
    <row r="809" spans="1:12" hidden="1" x14ac:dyDescent="0.35">
      <c r="A809" s="75">
        <v>7472</v>
      </c>
      <c r="B809" s="75" t="s">
        <v>1851</v>
      </c>
      <c r="C809" s="75">
        <v>7365</v>
      </c>
      <c r="D809" s="75" t="s">
        <v>1880</v>
      </c>
      <c r="E809" s="75" t="s">
        <v>2016</v>
      </c>
      <c r="F809" s="75" t="s">
        <v>1510</v>
      </c>
      <c r="G809" s="76">
        <v>45607</v>
      </c>
      <c r="H809" s="75" t="s">
        <v>73</v>
      </c>
      <c r="I809" s="75" t="s">
        <v>251</v>
      </c>
      <c r="J809" s="75">
        <v>0</v>
      </c>
      <c r="K809" s="75" t="str">
        <f t="shared" si="12"/>
        <v>11-2024</v>
      </c>
      <c r="L809" s="10" t="s">
        <v>2599</v>
      </c>
    </row>
    <row r="810" spans="1:12" hidden="1" x14ac:dyDescent="0.35">
      <c r="A810" s="75">
        <v>4241</v>
      </c>
      <c r="B810" s="75" t="s">
        <v>1852</v>
      </c>
      <c r="C810" s="75">
        <v>3624</v>
      </c>
      <c r="D810" s="75" t="s">
        <v>869</v>
      </c>
      <c r="E810" s="75" t="s">
        <v>2017</v>
      </c>
      <c r="F810" s="75" t="s">
        <v>1510</v>
      </c>
      <c r="G810" s="76">
        <v>45607</v>
      </c>
      <c r="H810" s="75" t="s">
        <v>73</v>
      </c>
      <c r="I810" s="75" t="s">
        <v>251</v>
      </c>
      <c r="J810" s="75">
        <v>0</v>
      </c>
      <c r="K810" s="75" t="str">
        <f t="shared" si="12"/>
        <v>11-2024</v>
      </c>
      <c r="L810" s="10" t="s">
        <v>2599</v>
      </c>
    </row>
    <row r="811" spans="1:12" hidden="1" x14ac:dyDescent="0.35">
      <c r="A811" s="75">
        <v>7473</v>
      </c>
      <c r="B811" s="75" t="s">
        <v>1853</v>
      </c>
      <c r="C811" s="75">
        <v>3624</v>
      </c>
      <c r="D811" s="75" t="s">
        <v>869</v>
      </c>
      <c r="E811" s="75" t="s">
        <v>2018</v>
      </c>
      <c r="F811" s="75" t="s">
        <v>1510</v>
      </c>
      <c r="G811" s="76">
        <v>45607</v>
      </c>
      <c r="H811" s="75" t="s">
        <v>73</v>
      </c>
      <c r="I811" s="75" t="s">
        <v>251</v>
      </c>
      <c r="J811" s="75">
        <v>0</v>
      </c>
      <c r="K811" s="75" t="str">
        <f t="shared" si="12"/>
        <v>11-2024</v>
      </c>
      <c r="L811" s="10" t="s">
        <v>2599</v>
      </c>
    </row>
    <row r="812" spans="1:12" hidden="1" x14ac:dyDescent="0.35">
      <c r="A812" s="75">
        <v>7923</v>
      </c>
      <c r="B812" s="75" t="s">
        <v>1847</v>
      </c>
      <c r="C812" s="75">
        <v>3624</v>
      </c>
      <c r="D812" s="75" t="s">
        <v>869</v>
      </c>
      <c r="E812" s="75" t="s">
        <v>2019</v>
      </c>
      <c r="F812" s="75" t="s">
        <v>1510</v>
      </c>
      <c r="G812" s="76">
        <v>45607</v>
      </c>
      <c r="H812" s="75" t="s">
        <v>73</v>
      </c>
      <c r="I812" s="75" t="s">
        <v>251</v>
      </c>
      <c r="J812" s="75">
        <v>0</v>
      </c>
      <c r="K812" s="75" t="str">
        <f t="shared" si="12"/>
        <v>11-2024</v>
      </c>
      <c r="L812" s="10" t="s">
        <v>2599</v>
      </c>
    </row>
    <row r="813" spans="1:12" hidden="1" x14ac:dyDescent="0.35">
      <c r="A813" s="75">
        <v>6500</v>
      </c>
      <c r="B813" s="75" t="s">
        <v>743</v>
      </c>
      <c r="C813" s="75">
        <v>3624</v>
      </c>
      <c r="D813" s="75" t="s">
        <v>869</v>
      </c>
      <c r="E813" s="75" t="s">
        <v>2020</v>
      </c>
      <c r="F813" s="75" t="s">
        <v>1510</v>
      </c>
      <c r="G813" s="76">
        <v>45607</v>
      </c>
      <c r="H813" s="75" t="s">
        <v>73</v>
      </c>
      <c r="I813" s="75" t="s">
        <v>251</v>
      </c>
      <c r="J813" s="75">
        <v>0</v>
      </c>
      <c r="K813" s="75" t="str">
        <f t="shared" si="12"/>
        <v>11-2024</v>
      </c>
      <c r="L813" s="10" t="s">
        <v>2599</v>
      </c>
    </row>
    <row r="814" spans="1:12" hidden="1" x14ac:dyDescent="0.35">
      <c r="A814" s="75">
        <v>7462</v>
      </c>
      <c r="B814" s="75" t="s">
        <v>628</v>
      </c>
      <c r="C814" s="75">
        <v>6409</v>
      </c>
      <c r="D814" s="75" t="s">
        <v>643</v>
      </c>
      <c r="E814" s="75" t="s">
        <v>2021</v>
      </c>
      <c r="F814" s="75" t="s">
        <v>1510</v>
      </c>
      <c r="G814" s="76">
        <v>45604</v>
      </c>
      <c r="H814" s="75" t="s">
        <v>53</v>
      </c>
      <c r="I814" s="75" t="s">
        <v>74</v>
      </c>
      <c r="J814" s="75">
        <v>0</v>
      </c>
      <c r="K814" s="75" t="str">
        <f t="shared" si="12"/>
        <v>11-2024</v>
      </c>
      <c r="L814" s="10" t="s">
        <v>2599</v>
      </c>
    </row>
    <row r="815" spans="1:12" hidden="1" x14ac:dyDescent="0.35">
      <c r="A815" s="75">
        <v>3993</v>
      </c>
      <c r="B815" s="75" t="s">
        <v>627</v>
      </c>
      <c r="C815" s="75">
        <v>6409</v>
      </c>
      <c r="D815" s="75" t="s">
        <v>643</v>
      </c>
      <c r="E815" s="75" t="s">
        <v>2021</v>
      </c>
      <c r="F815" s="75" t="s">
        <v>1510</v>
      </c>
      <c r="G815" s="76">
        <v>45604</v>
      </c>
      <c r="H815" s="75" t="s">
        <v>53</v>
      </c>
      <c r="I815" s="75" t="s">
        <v>32</v>
      </c>
      <c r="J815" s="75">
        <v>0</v>
      </c>
      <c r="K815" s="75" t="str">
        <f t="shared" si="12"/>
        <v>11-2024</v>
      </c>
      <c r="L815" s="10" t="s">
        <v>2599</v>
      </c>
    </row>
    <row r="816" spans="1:12" hidden="1" x14ac:dyDescent="0.35">
      <c r="A816" s="75">
        <v>5271</v>
      </c>
      <c r="B816" s="75" t="s">
        <v>855</v>
      </c>
      <c r="C816" s="75">
        <v>6409</v>
      </c>
      <c r="D816" s="75" t="s">
        <v>643</v>
      </c>
      <c r="E816" s="75" t="s">
        <v>2021</v>
      </c>
      <c r="F816" s="75" t="s">
        <v>1510</v>
      </c>
      <c r="G816" s="76">
        <v>45604</v>
      </c>
      <c r="H816" s="75" t="s">
        <v>53</v>
      </c>
      <c r="I816" s="75" t="s">
        <v>32</v>
      </c>
      <c r="J816" s="75">
        <v>0</v>
      </c>
      <c r="K816" s="75" t="str">
        <f t="shared" si="12"/>
        <v>11-2024</v>
      </c>
      <c r="L816" s="10" t="s">
        <v>2599</v>
      </c>
    </row>
    <row r="817" spans="1:12" hidden="1" x14ac:dyDescent="0.35">
      <c r="A817" s="75">
        <v>4454</v>
      </c>
      <c r="B817" s="75" t="s">
        <v>657</v>
      </c>
      <c r="C817" s="75">
        <v>6409</v>
      </c>
      <c r="D817" s="75" t="s">
        <v>643</v>
      </c>
      <c r="E817" s="75" t="s">
        <v>2021</v>
      </c>
      <c r="F817" s="75" t="s">
        <v>1510</v>
      </c>
      <c r="G817" s="76">
        <v>45604</v>
      </c>
      <c r="H817" s="75" t="s">
        <v>53</v>
      </c>
      <c r="I817" s="75" t="s">
        <v>32</v>
      </c>
      <c r="J817" s="75">
        <v>0</v>
      </c>
      <c r="K817" s="75" t="str">
        <f t="shared" si="12"/>
        <v>11-2024</v>
      </c>
      <c r="L817" s="10" t="s">
        <v>2599</v>
      </c>
    </row>
    <row r="818" spans="1:12" hidden="1" x14ac:dyDescent="0.35">
      <c r="A818" s="75">
        <v>4518</v>
      </c>
      <c r="B818" s="75" t="s">
        <v>257</v>
      </c>
      <c r="C818" s="75">
        <v>6409</v>
      </c>
      <c r="D818" s="75" t="s">
        <v>643</v>
      </c>
      <c r="E818" s="75" t="s">
        <v>2022</v>
      </c>
      <c r="F818" s="75" t="s">
        <v>1510</v>
      </c>
      <c r="G818" s="76">
        <v>45604</v>
      </c>
      <c r="H818" s="75" t="s">
        <v>53</v>
      </c>
      <c r="I818" s="75" t="s">
        <v>54</v>
      </c>
      <c r="J818" s="75">
        <v>0</v>
      </c>
      <c r="K818" s="75" t="str">
        <f t="shared" si="12"/>
        <v>11-2024</v>
      </c>
      <c r="L818" s="10" t="s">
        <v>2599</v>
      </c>
    </row>
    <row r="819" spans="1:12" hidden="1" x14ac:dyDescent="0.35">
      <c r="A819" s="75">
        <v>3978</v>
      </c>
      <c r="B819" s="75" t="s">
        <v>475</v>
      </c>
      <c r="C819" s="75">
        <v>6409</v>
      </c>
      <c r="D819" s="75" t="s">
        <v>643</v>
      </c>
      <c r="E819" s="75" t="s">
        <v>2022</v>
      </c>
      <c r="F819" s="75" t="s">
        <v>1510</v>
      </c>
      <c r="G819" s="76">
        <v>45604</v>
      </c>
      <c r="H819" s="75" t="s">
        <v>53</v>
      </c>
      <c r="I819" s="75" t="s">
        <v>32</v>
      </c>
      <c r="J819" s="75">
        <v>0</v>
      </c>
      <c r="K819" s="75" t="str">
        <f t="shared" si="12"/>
        <v>11-2024</v>
      </c>
      <c r="L819" s="10" t="s">
        <v>2599</v>
      </c>
    </row>
    <row r="820" spans="1:12" hidden="1" x14ac:dyDescent="0.35">
      <c r="A820" s="75">
        <v>1978</v>
      </c>
      <c r="B820" s="75" t="s">
        <v>656</v>
      </c>
      <c r="C820" s="75">
        <v>6409</v>
      </c>
      <c r="D820" s="75" t="s">
        <v>643</v>
      </c>
      <c r="E820" s="75" t="s">
        <v>2022</v>
      </c>
      <c r="F820" s="75" t="s">
        <v>1510</v>
      </c>
      <c r="G820" s="76">
        <v>45604</v>
      </c>
      <c r="H820" s="75" t="s">
        <v>53</v>
      </c>
      <c r="I820" s="75" t="s">
        <v>74</v>
      </c>
      <c r="J820" s="75">
        <v>0</v>
      </c>
      <c r="K820" s="75" t="str">
        <f t="shared" si="12"/>
        <v>11-2024</v>
      </c>
      <c r="L820" s="10" t="s">
        <v>2599</v>
      </c>
    </row>
    <row r="821" spans="1:12" hidden="1" x14ac:dyDescent="0.35">
      <c r="A821" s="75">
        <v>6808</v>
      </c>
      <c r="B821" s="75" t="s">
        <v>640</v>
      </c>
      <c r="C821" s="75">
        <v>6409</v>
      </c>
      <c r="D821" s="75" t="s">
        <v>643</v>
      </c>
      <c r="E821" s="75" t="s">
        <v>2023</v>
      </c>
      <c r="F821" s="75" t="s">
        <v>1510</v>
      </c>
      <c r="G821" s="76">
        <v>45604</v>
      </c>
      <c r="H821" s="75" t="s">
        <v>9</v>
      </c>
      <c r="I821" s="75" t="s">
        <v>10</v>
      </c>
      <c r="J821" s="75">
        <v>0</v>
      </c>
      <c r="K821" s="75" t="str">
        <f t="shared" si="12"/>
        <v>11-2024</v>
      </c>
      <c r="L821" s="10" t="s">
        <v>2599</v>
      </c>
    </row>
    <row r="822" spans="1:12" hidden="1" x14ac:dyDescent="0.35">
      <c r="A822" s="75">
        <v>7216</v>
      </c>
      <c r="B822" s="75" t="s">
        <v>36</v>
      </c>
      <c r="C822" s="75">
        <v>5735</v>
      </c>
      <c r="D822" s="75" t="s">
        <v>283</v>
      </c>
      <c r="E822" s="75" t="s">
        <v>2024</v>
      </c>
      <c r="F822" s="75" t="s">
        <v>1510</v>
      </c>
      <c r="G822" s="76">
        <v>45604</v>
      </c>
      <c r="H822" s="75" t="s">
        <v>35</v>
      </c>
      <c r="I822" s="75" t="s">
        <v>32</v>
      </c>
      <c r="J822" s="75">
        <v>0</v>
      </c>
      <c r="K822" s="75" t="str">
        <f t="shared" si="12"/>
        <v>11-2024</v>
      </c>
      <c r="L822" s="10" t="s">
        <v>2599</v>
      </c>
    </row>
    <row r="823" spans="1:12" hidden="1" x14ac:dyDescent="0.35">
      <c r="A823" s="75">
        <v>7809</v>
      </c>
      <c r="B823" s="75" t="s">
        <v>601</v>
      </c>
      <c r="C823" s="75">
        <v>7961</v>
      </c>
      <c r="D823" s="75" t="s">
        <v>2077</v>
      </c>
      <c r="E823" s="75" t="s">
        <v>2535</v>
      </c>
      <c r="F823" s="75" t="s">
        <v>1510</v>
      </c>
      <c r="G823" s="76">
        <v>45855</v>
      </c>
      <c r="H823" s="75" t="s">
        <v>21</v>
      </c>
      <c r="I823" s="75" t="s">
        <v>54</v>
      </c>
      <c r="J823" s="75">
        <v>0</v>
      </c>
      <c r="K823" s="75" t="str">
        <f t="shared" si="12"/>
        <v>07-2025</v>
      </c>
      <c r="L823" s="51" t="s">
        <v>2600</v>
      </c>
    </row>
    <row r="824" spans="1:12" hidden="1" x14ac:dyDescent="0.35">
      <c r="A824" s="75">
        <v>5443</v>
      </c>
      <c r="B824" s="75" t="s">
        <v>2352</v>
      </c>
      <c r="C824" s="75" t="s">
        <v>1508</v>
      </c>
      <c r="D824" s="75" t="s">
        <v>866</v>
      </c>
      <c r="E824" s="75" t="s">
        <v>2536</v>
      </c>
      <c r="F824" s="75" t="s">
        <v>1509</v>
      </c>
      <c r="G824" s="76">
        <v>45854</v>
      </c>
      <c r="H824" s="75" t="s">
        <v>40</v>
      </c>
      <c r="I824" s="75" t="s">
        <v>54</v>
      </c>
      <c r="J824" s="75">
        <v>500</v>
      </c>
      <c r="K824" s="75" t="str">
        <f t="shared" si="12"/>
        <v>07-2025</v>
      </c>
      <c r="L824" s="51" t="s">
        <v>2600</v>
      </c>
    </row>
    <row r="825" spans="1:12" hidden="1" x14ac:dyDescent="0.35">
      <c r="A825" s="75">
        <v>7716</v>
      </c>
      <c r="B825" s="75" t="s">
        <v>2351</v>
      </c>
      <c r="C825" s="75" t="s">
        <v>1508</v>
      </c>
      <c r="D825" s="75" t="s">
        <v>866</v>
      </c>
      <c r="E825" s="75" t="s">
        <v>2537</v>
      </c>
      <c r="F825" s="75" t="s">
        <v>1509</v>
      </c>
      <c r="G825" s="76">
        <v>45854</v>
      </c>
      <c r="H825" s="75" t="s">
        <v>40</v>
      </c>
      <c r="I825" s="75" t="s">
        <v>54</v>
      </c>
      <c r="J825" s="75">
        <v>500</v>
      </c>
      <c r="K825" s="75" t="str">
        <f t="shared" si="12"/>
        <v>07-2025</v>
      </c>
      <c r="L825" s="51" t="s">
        <v>2600</v>
      </c>
    </row>
    <row r="826" spans="1:12" hidden="1" x14ac:dyDescent="0.35">
      <c r="A826" s="75">
        <v>6645</v>
      </c>
      <c r="B826" s="75" t="s">
        <v>2350</v>
      </c>
      <c r="C826" s="75" t="s">
        <v>1508</v>
      </c>
      <c r="D826" s="75" t="s">
        <v>866</v>
      </c>
      <c r="E826" s="75" t="s">
        <v>2538</v>
      </c>
      <c r="F826" s="75" t="s">
        <v>1509</v>
      </c>
      <c r="G826" s="76">
        <v>45854</v>
      </c>
      <c r="H826" s="75" t="s">
        <v>40</v>
      </c>
      <c r="I826" s="75" t="s">
        <v>54</v>
      </c>
      <c r="J826" s="75">
        <v>500</v>
      </c>
      <c r="K826" s="75" t="str">
        <f t="shared" si="12"/>
        <v>07-2025</v>
      </c>
      <c r="L826" s="51" t="s">
        <v>2600</v>
      </c>
    </row>
    <row r="827" spans="1:12" hidden="1" x14ac:dyDescent="0.35">
      <c r="A827" s="75">
        <v>5751</v>
      </c>
      <c r="B827" s="75" t="s">
        <v>1841</v>
      </c>
      <c r="C827" s="75" t="s">
        <v>1508</v>
      </c>
      <c r="D827" s="75" t="s">
        <v>866</v>
      </c>
      <c r="E827" s="75" t="s">
        <v>2539</v>
      </c>
      <c r="F827" s="75" t="s">
        <v>1509</v>
      </c>
      <c r="G827" s="76">
        <v>45854</v>
      </c>
      <c r="H827" s="75" t="s">
        <v>40</v>
      </c>
      <c r="I827" s="75" t="s">
        <v>54</v>
      </c>
      <c r="J827" s="75">
        <v>500</v>
      </c>
      <c r="K827" s="75" t="str">
        <f t="shared" si="12"/>
        <v>07-2025</v>
      </c>
      <c r="L827" s="51" t="s">
        <v>2600</v>
      </c>
    </row>
    <row r="828" spans="1:12" hidden="1" x14ac:dyDescent="0.35">
      <c r="A828" s="75">
        <v>7736</v>
      </c>
      <c r="B828" s="75" t="s">
        <v>2349</v>
      </c>
      <c r="C828" s="75" t="s">
        <v>1508</v>
      </c>
      <c r="D828" s="75" t="s">
        <v>866</v>
      </c>
      <c r="E828" s="75" t="s">
        <v>2539</v>
      </c>
      <c r="F828" s="75" t="s">
        <v>1509</v>
      </c>
      <c r="G828" s="76">
        <v>45854</v>
      </c>
      <c r="H828" s="75" t="s">
        <v>40</v>
      </c>
      <c r="I828" s="75" t="s">
        <v>54</v>
      </c>
      <c r="J828" s="75">
        <v>500</v>
      </c>
      <c r="K828" s="75" t="str">
        <f t="shared" si="12"/>
        <v>07-2025</v>
      </c>
      <c r="L828" s="51" t="s">
        <v>2600</v>
      </c>
    </row>
    <row r="829" spans="1:12" hidden="1" x14ac:dyDescent="0.35">
      <c r="A829" s="75">
        <v>4396</v>
      </c>
      <c r="B829" s="75" t="s">
        <v>2348</v>
      </c>
      <c r="C829" s="75" t="s">
        <v>1508</v>
      </c>
      <c r="D829" s="75" t="s">
        <v>866</v>
      </c>
      <c r="E829" s="75" t="s">
        <v>2539</v>
      </c>
      <c r="F829" s="75" t="s">
        <v>1509</v>
      </c>
      <c r="G829" s="76">
        <v>45854</v>
      </c>
      <c r="H829" s="75" t="s">
        <v>40</v>
      </c>
      <c r="I829" s="75" t="s">
        <v>54</v>
      </c>
      <c r="J829" s="75">
        <v>500</v>
      </c>
      <c r="K829" s="75" t="str">
        <f t="shared" si="12"/>
        <v>07-2025</v>
      </c>
      <c r="L829" s="51" t="s">
        <v>2600</v>
      </c>
    </row>
    <row r="830" spans="1:12" hidden="1" x14ac:dyDescent="0.35">
      <c r="A830" s="75">
        <v>7847</v>
      </c>
      <c r="B830" s="75" t="s">
        <v>2347</v>
      </c>
      <c r="C830" s="75" t="s">
        <v>1508</v>
      </c>
      <c r="D830" s="75" t="s">
        <v>866</v>
      </c>
      <c r="E830" s="75" t="s">
        <v>2539</v>
      </c>
      <c r="F830" s="75" t="s">
        <v>1509</v>
      </c>
      <c r="G830" s="76">
        <v>45854</v>
      </c>
      <c r="H830" s="75" t="s">
        <v>40</v>
      </c>
      <c r="I830" s="75" t="s">
        <v>54</v>
      </c>
      <c r="J830" s="75">
        <v>500</v>
      </c>
      <c r="K830" s="75" t="str">
        <f t="shared" si="12"/>
        <v>07-2025</v>
      </c>
      <c r="L830" s="51" t="s">
        <v>2600</v>
      </c>
    </row>
    <row r="831" spans="1:12" hidden="1" x14ac:dyDescent="0.35">
      <c r="A831" s="75">
        <v>6835</v>
      </c>
      <c r="B831" s="75" t="s">
        <v>839</v>
      </c>
      <c r="C831" s="75" t="s">
        <v>1508</v>
      </c>
      <c r="D831" s="75" t="s">
        <v>866</v>
      </c>
      <c r="E831" s="75" t="s">
        <v>2540</v>
      </c>
      <c r="F831" s="75" t="s">
        <v>1509</v>
      </c>
      <c r="G831" s="76">
        <v>45854</v>
      </c>
      <c r="H831" s="75" t="s">
        <v>40</v>
      </c>
      <c r="I831" s="75" t="s">
        <v>54</v>
      </c>
      <c r="J831" s="75">
        <v>500</v>
      </c>
      <c r="K831" s="75" t="str">
        <f t="shared" si="12"/>
        <v>07-2025</v>
      </c>
      <c r="L831" s="51" t="s">
        <v>2600</v>
      </c>
    </row>
    <row r="832" spans="1:12" hidden="1" x14ac:dyDescent="0.35">
      <c r="A832" s="75">
        <v>7175</v>
      </c>
      <c r="B832" s="75" t="s">
        <v>1734</v>
      </c>
      <c r="C832" s="75" t="s">
        <v>1508</v>
      </c>
      <c r="D832" s="75" t="s">
        <v>866</v>
      </c>
      <c r="E832" s="75" t="s">
        <v>2540</v>
      </c>
      <c r="F832" s="75" t="s">
        <v>1509</v>
      </c>
      <c r="G832" s="76">
        <v>45854</v>
      </c>
      <c r="H832" s="75" t="s">
        <v>40</v>
      </c>
      <c r="I832" s="75" t="s">
        <v>10</v>
      </c>
      <c r="J832" s="75">
        <v>500</v>
      </c>
      <c r="K832" s="75" t="str">
        <f t="shared" si="12"/>
        <v>07-2025</v>
      </c>
      <c r="L832" s="51" t="s">
        <v>2600</v>
      </c>
    </row>
    <row r="833" spans="1:12" hidden="1" x14ac:dyDescent="0.35">
      <c r="A833" s="75">
        <v>7675</v>
      </c>
      <c r="B833" s="75" t="s">
        <v>2346</v>
      </c>
      <c r="C833" s="75" t="s">
        <v>1508</v>
      </c>
      <c r="D833" s="75" t="s">
        <v>866</v>
      </c>
      <c r="E833" s="75" t="s">
        <v>2541</v>
      </c>
      <c r="F833" s="75" t="s">
        <v>1509</v>
      </c>
      <c r="G833" s="76">
        <v>45854</v>
      </c>
      <c r="H833" s="75" t="s">
        <v>21</v>
      </c>
      <c r="I833" s="75" t="s">
        <v>10</v>
      </c>
      <c r="J833" s="75">
        <v>500</v>
      </c>
      <c r="K833" s="75" t="str">
        <f t="shared" si="12"/>
        <v>07-2025</v>
      </c>
      <c r="L833" s="51" t="s">
        <v>2600</v>
      </c>
    </row>
    <row r="834" spans="1:12" hidden="1" x14ac:dyDescent="0.35">
      <c r="A834" s="75">
        <v>7742</v>
      </c>
      <c r="B834" s="75" t="s">
        <v>339</v>
      </c>
      <c r="C834" s="75" t="s">
        <v>1508</v>
      </c>
      <c r="D834" s="75" t="s">
        <v>866</v>
      </c>
      <c r="E834" s="75" t="s">
        <v>2542</v>
      </c>
      <c r="F834" s="75" t="s">
        <v>1509</v>
      </c>
      <c r="G834" s="76">
        <v>45854</v>
      </c>
      <c r="H834" s="75" t="s">
        <v>21</v>
      </c>
      <c r="I834" s="75" t="s">
        <v>10</v>
      </c>
      <c r="J834" s="75">
        <v>500</v>
      </c>
      <c r="K834" s="75" t="str">
        <f t="shared" si="12"/>
        <v>07-2025</v>
      </c>
      <c r="L834" s="51" t="s">
        <v>2600</v>
      </c>
    </row>
    <row r="835" spans="1:12" hidden="1" x14ac:dyDescent="0.35">
      <c r="A835" s="75">
        <v>6375</v>
      </c>
      <c r="B835" s="75" t="s">
        <v>17</v>
      </c>
      <c r="C835" s="75" t="s">
        <v>1508</v>
      </c>
      <c r="D835" s="75" t="s">
        <v>866</v>
      </c>
      <c r="E835" s="75" t="s">
        <v>2543</v>
      </c>
      <c r="F835" s="75" t="s">
        <v>1509</v>
      </c>
      <c r="G835" s="76">
        <v>45854</v>
      </c>
      <c r="H835" s="75" t="s">
        <v>9</v>
      </c>
      <c r="I835" s="75" t="s">
        <v>54</v>
      </c>
      <c r="J835" s="75">
        <v>500</v>
      </c>
      <c r="K835" s="75" t="str">
        <f t="shared" ref="K835:K898" si="13">TEXT(G835,"mm-yyyy")</f>
        <v>07-2025</v>
      </c>
      <c r="L835" s="51" t="s">
        <v>2600</v>
      </c>
    </row>
    <row r="836" spans="1:12" hidden="1" x14ac:dyDescent="0.35">
      <c r="A836" s="75">
        <v>7065</v>
      </c>
      <c r="B836" s="75" t="s">
        <v>2342</v>
      </c>
      <c r="C836" s="75" t="s">
        <v>1508</v>
      </c>
      <c r="D836" s="75" t="s">
        <v>866</v>
      </c>
      <c r="E836" s="75" t="s">
        <v>2544</v>
      </c>
      <c r="F836" s="75" t="s">
        <v>1509</v>
      </c>
      <c r="G836" s="76">
        <v>45854</v>
      </c>
      <c r="H836" s="75" t="s">
        <v>40</v>
      </c>
      <c r="I836" s="75" t="s">
        <v>54</v>
      </c>
      <c r="J836" s="75">
        <v>500</v>
      </c>
      <c r="K836" s="75" t="str">
        <f t="shared" si="13"/>
        <v>07-2025</v>
      </c>
      <c r="L836" s="51" t="s">
        <v>2600</v>
      </c>
    </row>
    <row r="837" spans="1:12" hidden="1" x14ac:dyDescent="0.35">
      <c r="A837" s="75">
        <v>7564</v>
      </c>
      <c r="B837" s="75" t="s">
        <v>2341</v>
      </c>
      <c r="C837" s="75" t="s">
        <v>1508</v>
      </c>
      <c r="D837" s="75" t="s">
        <v>866</v>
      </c>
      <c r="E837" s="75" t="s">
        <v>2545</v>
      </c>
      <c r="F837" s="75" t="s">
        <v>1509</v>
      </c>
      <c r="G837" s="76">
        <v>45854</v>
      </c>
      <c r="H837" s="75" t="s">
        <v>40</v>
      </c>
      <c r="I837" s="75" t="s">
        <v>32</v>
      </c>
      <c r="J837" s="75">
        <v>500</v>
      </c>
      <c r="K837" s="75" t="str">
        <f t="shared" si="13"/>
        <v>07-2025</v>
      </c>
      <c r="L837" s="51" t="s">
        <v>2600</v>
      </c>
    </row>
    <row r="838" spans="1:12" hidden="1" x14ac:dyDescent="0.35">
      <c r="A838" s="75">
        <v>4416</v>
      </c>
      <c r="B838" s="75" t="s">
        <v>269</v>
      </c>
      <c r="C838" s="75" t="s">
        <v>1508</v>
      </c>
      <c r="D838" s="75" t="s">
        <v>866</v>
      </c>
      <c r="E838" s="75" t="s">
        <v>2546</v>
      </c>
      <c r="F838" s="75" t="s">
        <v>1509</v>
      </c>
      <c r="G838" s="76">
        <v>45854</v>
      </c>
      <c r="H838" s="75" t="s">
        <v>35</v>
      </c>
      <c r="I838" s="75" t="s">
        <v>54</v>
      </c>
      <c r="J838" s="75">
        <v>500</v>
      </c>
      <c r="K838" s="75" t="str">
        <f t="shared" si="13"/>
        <v>07-2025</v>
      </c>
      <c r="L838" s="51" t="s">
        <v>2600</v>
      </c>
    </row>
    <row r="839" spans="1:12" hidden="1" x14ac:dyDescent="0.35">
      <c r="A839" s="75">
        <v>4009</v>
      </c>
      <c r="B839" s="75" t="s">
        <v>602</v>
      </c>
      <c r="C839" s="75" t="s">
        <v>1508</v>
      </c>
      <c r="D839" s="75" t="s">
        <v>866</v>
      </c>
      <c r="E839" s="75" t="s">
        <v>2547</v>
      </c>
      <c r="F839" s="75" t="s">
        <v>1509</v>
      </c>
      <c r="G839" s="76">
        <v>45854</v>
      </c>
      <c r="H839" s="75" t="s">
        <v>9</v>
      </c>
      <c r="I839" s="75" t="s">
        <v>10</v>
      </c>
      <c r="J839" s="75">
        <v>500</v>
      </c>
      <c r="K839" s="75" t="str">
        <f t="shared" si="13"/>
        <v>07-2025</v>
      </c>
      <c r="L839" s="51" t="s">
        <v>2600</v>
      </c>
    </row>
    <row r="840" spans="1:12" hidden="1" x14ac:dyDescent="0.35">
      <c r="A840" s="75">
        <v>7974</v>
      </c>
      <c r="B840" s="75" t="s">
        <v>2089</v>
      </c>
      <c r="C840" s="75" t="s">
        <v>1508</v>
      </c>
      <c r="D840" s="75" t="s">
        <v>866</v>
      </c>
      <c r="E840" s="75" t="s">
        <v>2548</v>
      </c>
      <c r="F840" s="75" t="s">
        <v>1509</v>
      </c>
      <c r="G840" s="76">
        <v>45854</v>
      </c>
      <c r="H840" s="75" t="s">
        <v>21</v>
      </c>
      <c r="I840" s="75" t="s">
        <v>32</v>
      </c>
      <c r="J840" s="75">
        <v>500</v>
      </c>
      <c r="K840" s="75" t="str">
        <f t="shared" si="13"/>
        <v>07-2025</v>
      </c>
      <c r="L840" s="51" t="s">
        <v>2600</v>
      </c>
    </row>
    <row r="841" spans="1:12" hidden="1" x14ac:dyDescent="0.35">
      <c r="A841" s="75">
        <v>2430</v>
      </c>
      <c r="B841" s="75" t="s">
        <v>1532</v>
      </c>
      <c r="C841" s="75">
        <v>2353</v>
      </c>
      <c r="D841" s="75" t="s">
        <v>872</v>
      </c>
      <c r="E841" s="75" t="s">
        <v>2549</v>
      </c>
      <c r="F841" s="75" t="s">
        <v>1509</v>
      </c>
      <c r="G841" s="76">
        <v>45854</v>
      </c>
      <c r="H841" s="75" t="s">
        <v>35</v>
      </c>
      <c r="I841" s="75" t="s">
        <v>251</v>
      </c>
      <c r="J841" s="75">
        <v>500</v>
      </c>
      <c r="K841" s="75" t="str">
        <f t="shared" si="13"/>
        <v>07-2025</v>
      </c>
      <c r="L841" s="51" t="s">
        <v>2600</v>
      </c>
    </row>
    <row r="842" spans="1:12" hidden="1" x14ac:dyDescent="0.35">
      <c r="A842" s="75">
        <v>7405</v>
      </c>
      <c r="B842" s="75" t="s">
        <v>2531</v>
      </c>
      <c r="C842" s="75">
        <v>4844</v>
      </c>
      <c r="D842" s="75" t="s">
        <v>2534</v>
      </c>
      <c r="E842" s="75" t="s">
        <v>2550</v>
      </c>
      <c r="F842" s="75" t="s">
        <v>1509</v>
      </c>
      <c r="G842" s="76">
        <v>45850</v>
      </c>
      <c r="H842" s="75" t="s">
        <v>73</v>
      </c>
      <c r="I842" s="75" t="s">
        <v>251</v>
      </c>
      <c r="J842" s="75">
        <v>500</v>
      </c>
      <c r="K842" s="75" t="str">
        <f t="shared" si="13"/>
        <v>07-2025</v>
      </c>
      <c r="L842" s="51" t="s">
        <v>2600</v>
      </c>
    </row>
    <row r="843" spans="1:12" hidden="1" x14ac:dyDescent="0.35">
      <c r="A843" s="75">
        <v>7968</v>
      </c>
      <c r="B843" s="75" t="s">
        <v>2532</v>
      </c>
      <c r="C843" s="75">
        <v>4844</v>
      </c>
      <c r="D843" s="75" t="s">
        <v>2534</v>
      </c>
      <c r="E843" s="75" t="s">
        <v>2551</v>
      </c>
      <c r="F843" s="75" t="s">
        <v>1509</v>
      </c>
      <c r="G843" s="76">
        <v>45850</v>
      </c>
      <c r="H843" s="75" t="s">
        <v>73</v>
      </c>
      <c r="I843" s="75" t="s">
        <v>54</v>
      </c>
      <c r="J843" s="75">
        <v>500</v>
      </c>
      <c r="K843" s="75" t="str">
        <f t="shared" si="13"/>
        <v>07-2025</v>
      </c>
      <c r="L843" s="51" t="s">
        <v>2600</v>
      </c>
    </row>
    <row r="844" spans="1:12" hidden="1" x14ac:dyDescent="0.35">
      <c r="A844" s="75">
        <v>5201</v>
      </c>
      <c r="B844" s="75" t="s">
        <v>588</v>
      </c>
      <c r="C844" s="75">
        <v>7398</v>
      </c>
      <c r="D844" s="75" t="s">
        <v>645</v>
      </c>
      <c r="E844" s="75" t="s">
        <v>2552</v>
      </c>
      <c r="F844" s="75" t="s">
        <v>1510</v>
      </c>
      <c r="G844" s="76">
        <v>45849</v>
      </c>
      <c r="H844" s="75" t="s">
        <v>9</v>
      </c>
      <c r="I844" s="75" t="s">
        <v>251</v>
      </c>
      <c r="J844" s="75">
        <v>0</v>
      </c>
      <c r="K844" s="75" t="str">
        <f t="shared" si="13"/>
        <v>07-2025</v>
      </c>
      <c r="L844" s="51" t="s">
        <v>2600</v>
      </c>
    </row>
    <row r="845" spans="1:12" hidden="1" x14ac:dyDescent="0.35">
      <c r="A845" s="75">
        <v>7921</v>
      </c>
      <c r="B845" s="75" t="s">
        <v>2116</v>
      </c>
      <c r="C845" s="75">
        <v>3921</v>
      </c>
      <c r="D845" s="75" t="s">
        <v>841</v>
      </c>
      <c r="E845" s="75" t="s">
        <v>2553</v>
      </c>
      <c r="F845" s="75" t="s">
        <v>1510</v>
      </c>
      <c r="G845" s="76">
        <v>45848</v>
      </c>
      <c r="H845" s="75" t="s">
        <v>73</v>
      </c>
      <c r="I845" s="75" t="s">
        <v>251</v>
      </c>
      <c r="J845" s="75">
        <v>0</v>
      </c>
      <c r="K845" s="75" t="str">
        <f t="shared" si="13"/>
        <v>07-2025</v>
      </c>
      <c r="L845" s="51" t="s">
        <v>2600</v>
      </c>
    </row>
    <row r="846" spans="1:12" hidden="1" x14ac:dyDescent="0.35">
      <c r="A846" s="75">
        <v>8017</v>
      </c>
      <c r="B846" s="75" t="s">
        <v>2533</v>
      </c>
      <c r="C846" s="75">
        <v>3921</v>
      </c>
      <c r="D846" s="75" t="s">
        <v>841</v>
      </c>
      <c r="E846" s="75" t="s">
        <v>2554</v>
      </c>
      <c r="F846" s="75" t="s">
        <v>1509</v>
      </c>
      <c r="G846" s="76">
        <v>45848</v>
      </c>
      <c r="H846" s="75" t="s">
        <v>73</v>
      </c>
      <c r="I846" s="75" t="s">
        <v>251</v>
      </c>
      <c r="J846" s="75">
        <v>500</v>
      </c>
      <c r="K846" s="75" t="str">
        <f t="shared" si="13"/>
        <v>07-2025</v>
      </c>
      <c r="L846" s="51" t="s">
        <v>2600</v>
      </c>
    </row>
    <row r="847" spans="1:12" hidden="1" x14ac:dyDescent="0.35">
      <c r="A847" s="75">
        <v>6441</v>
      </c>
      <c r="B847" s="75" t="s">
        <v>1747</v>
      </c>
      <c r="C847" s="75">
        <v>3921</v>
      </c>
      <c r="D847" s="75" t="s">
        <v>841</v>
      </c>
      <c r="E847" s="75" t="s">
        <v>2555</v>
      </c>
      <c r="F847" s="75" t="s">
        <v>1510</v>
      </c>
      <c r="G847" s="76">
        <v>45848</v>
      </c>
      <c r="H847" s="75" t="s">
        <v>73</v>
      </c>
      <c r="I847" s="75" t="s">
        <v>10</v>
      </c>
      <c r="J847" s="75">
        <v>0</v>
      </c>
      <c r="K847" s="75" t="str">
        <f t="shared" si="13"/>
        <v>07-2025</v>
      </c>
      <c r="L847" s="51" t="s">
        <v>2600</v>
      </c>
    </row>
    <row r="848" spans="1:12" hidden="1" x14ac:dyDescent="0.35">
      <c r="A848" s="75">
        <v>7889</v>
      </c>
      <c r="B848" s="75" t="s">
        <v>2092</v>
      </c>
      <c r="C848" s="75">
        <v>648</v>
      </c>
      <c r="D848" s="75" t="s">
        <v>484</v>
      </c>
      <c r="E848" s="75" t="s">
        <v>2556</v>
      </c>
      <c r="F848" s="75" t="s">
        <v>1509</v>
      </c>
      <c r="G848" s="76">
        <v>45846</v>
      </c>
      <c r="H848" s="75" t="s">
        <v>21</v>
      </c>
      <c r="I848" s="75" t="s">
        <v>54</v>
      </c>
      <c r="J848" s="75">
        <v>500</v>
      </c>
      <c r="K848" s="75" t="str">
        <f t="shared" si="13"/>
        <v>07-2025</v>
      </c>
      <c r="L848" s="51" t="s">
        <v>2600</v>
      </c>
    </row>
    <row r="849" spans="1:12" hidden="1" x14ac:dyDescent="0.35">
      <c r="A849" s="75">
        <v>5007</v>
      </c>
      <c r="B849" s="75" t="s">
        <v>609</v>
      </c>
      <c r="C849" s="75">
        <v>5290</v>
      </c>
      <c r="D849" s="75" t="s">
        <v>608</v>
      </c>
      <c r="E849" s="75" t="s">
        <v>2557</v>
      </c>
      <c r="F849" s="75" t="s">
        <v>1510</v>
      </c>
      <c r="G849" s="76">
        <v>45842</v>
      </c>
      <c r="H849" s="75" t="s">
        <v>53</v>
      </c>
      <c r="I849" s="75" t="s">
        <v>32</v>
      </c>
      <c r="J849" s="75">
        <v>0</v>
      </c>
      <c r="K849" s="75" t="str">
        <f t="shared" si="13"/>
        <v>07-2025</v>
      </c>
      <c r="L849" s="51" t="s">
        <v>2600</v>
      </c>
    </row>
    <row r="850" spans="1:12" hidden="1" x14ac:dyDescent="0.35">
      <c r="A850" s="75">
        <v>7824</v>
      </c>
      <c r="B850" s="75" t="s">
        <v>408</v>
      </c>
      <c r="C850" s="75">
        <v>7239</v>
      </c>
      <c r="D850" s="75" t="s">
        <v>1843</v>
      </c>
      <c r="E850" s="75" t="s">
        <v>2359</v>
      </c>
      <c r="F850" s="75" t="s">
        <v>1510</v>
      </c>
      <c r="G850" s="76">
        <v>45840</v>
      </c>
      <c r="H850" s="75" t="s">
        <v>35</v>
      </c>
      <c r="I850" s="75" t="s">
        <v>10</v>
      </c>
      <c r="J850" s="75">
        <v>0</v>
      </c>
      <c r="K850" s="75" t="str">
        <f t="shared" si="13"/>
        <v>07-2025</v>
      </c>
      <c r="L850" s="51" t="s">
        <v>2600</v>
      </c>
    </row>
    <row r="851" spans="1:12" hidden="1" x14ac:dyDescent="0.35">
      <c r="A851" s="75">
        <v>7210</v>
      </c>
      <c r="B851" s="75" t="s">
        <v>2121</v>
      </c>
      <c r="C851" s="75">
        <v>7513</v>
      </c>
      <c r="D851" s="75" t="s">
        <v>717</v>
      </c>
      <c r="E851" s="75" t="s">
        <v>2360</v>
      </c>
      <c r="F851" s="75" t="s">
        <v>1509</v>
      </c>
      <c r="G851" s="76">
        <v>45840</v>
      </c>
      <c r="H851" s="75" t="s">
        <v>13</v>
      </c>
      <c r="I851" s="75" t="s">
        <v>10</v>
      </c>
      <c r="J851" s="75">
        <v>500</v>
      </c>
      <c r="K851" s="75" t="str">
        <f t="shared" si="13"/>
        <v>07-2025</v>
      </c>
      <c r="L851" s="51" t="s">
        <v>2600</v>
      </c>
    </row>
    <row r="852" spans="1:12" hidden="1" x14ac:dyDescent="0.35">
      <c r="A852" s="75">
        <v>7932</v>
      </c>
      <c r="B852" s="75" t="s">
        <v>2334</v>
      </c>
      <c r="C852" s="75">
        <v>7513</v>
      </c>
      <c r="D852" s="75" t="s">
        <v>717</v>
      </c>
      <c r="E852" s="75" t="s">
        <v>2361</v>
      </c>
      <c r="F852" s="75" t="s">
        <v>1510</v>
      </c>
      <c r="G852" s="76">
        <v>45840</v>
      </c>
      <c r="H852" s="75" t="s">
        <v>13</v>
      </c>
      <c r="I852" s="75" t="s">
        <v>10</v>
      </c>
      <c r="J852" s="75">
        <v>0</v>
      </c>
      <c r="K852" s="75" t="str">
        <f t="shared" si="13"/>
        <v>07-2025</v>
      </c>
      <c r="L852" s="51" t="s">
        <v>2600</v>
      </c>
    </row>
    <row r="853" spans="1:12" hidden="1" x14ac:dyDescent="0.35">
      <c r="A853" s="75">
        <v>7239</v>
      </c>
      <c r="B853" s="75" t="s">
        <v>1843</v>
      </c>
      <c r="C853" s="75">
        <v>5029</v>
      </c>
      <c r="D853" s="75" t="s">
        <v>1537</v>
      </c>
      <c r="E853" s="75" t="s">
        <v>2362</v>
      </c>
      <c r="F853" s="75" t="s">
        <v>1509</v>
      </c>
      <c r="G853" s="76">
        <v>45840</v>
      </c>
      <c r="H853" s="75" t="s">
        <v>13</v>
      </c>
      <c r="I853" s="75" t="s">
        <v>54</v>
      </c>
      <c r="J853" s="75">
        <v>500</v>
      </c>
      <c r="K853" s="75" t="str">
        <f t="shared" si="13"/>
        <v>07-2025</v>
      </c>
      <c r="L853" s="51" t="s">
        <v>2600</v>
      </c>
    </row>
    <row r="854" spans="1:12" hidden="1" x14ac:dyDescent="0.35">
      <c r="A854" s="75">
        <v>7585</v>
      </c>
      <c r="B854" s="75" t="s">
        <v>407</v>
      </c>
      <c r="C854" s="75">
        <v>7669</v>
      </c>
      <c r="D854" s="75" t="s">
        <v>1517</v>
      </c>
      <c r="E854" s="75" t="s">
        <v>2363</v>
      </c>
      <c r="F854" s="75" t="s">
        <v>1510</v>
      </c>
      <c r="G854" s="76">
        <v>45840</v>
      </c>
      <c r="H854" s="75" t="s">
        <v>16</v>
      </c>
      <c r="I854" s="75" t="s">
        <v>54</v>
      </c>
      <c r="J854" s="75">
        <v>0</v>
      </c>
      <c r="K854" s="75" t="str">
        <f t="shared" si="13"/>
        <v>07-2025</v>
      </c>
      <c r="L854" s="51" t="s">
        <v>2600</v>
      </c>
    </row>
    <row r="855" spans="1:12" hidden="1" x14ac:dyDescent="0.35">
      <c r="A855" s="75">
        <v>7770</v>
      </c>
      <c r="B855" s="75" t="s">
        <v>2126</v>
      </c>
      <c r="C855" s="75">
        <v>7771</v>
      </c>
      <c r="D855" s="75" t="s">
        <v>810</v>
      </c>
      <c r="E855" s="75" t="s">
        <v>2364</v>
      </c>
      <c r="F855" s="75" t="s">
        <v>1510</v>
      </c>
      <c r="G855" s="76">
        <v>45840</v>
      </c>
      <c r="H855" s="75" t="s">
        <v>16</v>
      </c>
      <c r="I855" s="75" t="s">
        <v>54</v>
      </c>
      <c r="J855" s="75">
        <v>0</v>
      </c>
      <c r="K855" s="75" t="str">
        <f t="shared" si="13"/>
        <v>07-2025</v>
      </c>
      <c r="L855" s="51" t="s">
        <v>2600</v>
      </c>
    </row>
    <row r="856" spans="1:12" hidden="1" x14ac:dyDescent="0.35">
      <c r="A856" s="75">
        <v>7654</v>
      </c>
      <c r="B856" s="75" t="s">
        <v>55</v>
      </c>
      <c r="C856" s="75">
        <v>7771</v>
      </c>
      <c r="D856" s="75" t="s">
        <v>810</v>
      </c>
      <c r="E856" s="75" t="s">
        <v>2365</v>
      </c>
      <c r="F856" s="75" t="s">
        <v>1510</v>
      </c>
      <c r="G856" s="76">
        <v>45840</v>
      </c>
      <c r="H856" s="75" t="s">
        <v>16</v>
      </c>
      <c r="I856" s="75" t="s">
        <v>54</v>
      </c>
      <c r="J856" s="75">
        <v>0</v>
      </c>
      <c r="K856" s="75" t="str">
        <f t="shared" si="13"/>
        <v>07-2025</v>
      </c>
      <c r="L856" s="51" t="s">
        <v>2600</v>
      </c>
    </row>
    <row r="857" spans="1:12" hidden="1" x14ac:dyDescent="0.35">
      <c r="A857" s="75">
        <v>7258</v>
      </c>
      <c r="B857" s="75" t="s">
        <v>805</v>
      </c>
      <c r="C857" s="75">
        <v>7771</v>
      </c>
      <c r="D857" s="75" t="s">
        <v>810</v>
      </c>
      <c r="E857" s="75" t="s">
        <v>2366</v>
      </c>
      <c r="F857" s="75" t="s">
        <v>1510</v>
      </c>
      <c r="G857" s="76">
        <v>45840</v>
      </c>
      <c r="H857" s="75" t="s">
        <v>16</v>
      </c>
      <c r="I857" s="75" t="s">
        <v>54</v>
      </c>
      <c r="J857" s="75">
        <v>0</v>
      </c>
      <c r="K857" s="75" t="str">
        <f t="shared" si="13"/>
        <v>07-2025</v>
      </c>
      <c r="L857" s="51" t="s">
        <v>2600</v>
      </c>
    </row>
    <row r="858" spans="1:12" hidden="1" x14ac:dyDescent="0.35">
      <c r="A858" s="75">
        <v>6690</v>
      </c>
      <c r="B858" s="75" t="s">
        <v>280</v>
      </c>
      <c r="C858" s="75">
        <v>7771</v>
      </c>
      <c r="D858" s="75" t="s">
        <v>810</v>
      </c>
      <c r="E858" s="75" t="s">
        <v>2367</v>
      </c>
      <c r="F858" s="75" t="s">
        <v>1510</v>
      </c>
      <c r="G858" s="76">
        <v>45840</v>
      </c>
      <c r="H858" s="75" t="s">
        <v>16</v>
      </c>
      <c r="I858" s="75" t="s">
        <v>10</v>
      </c>
      <c r="J858" s="75">
        <v>0</v>
      </c>
      <c r="K858" s="75" t="str">
        <f t="shared" si="13"/>
        <v>07-2025</v>
      </c>
      <c r="L858" s="51" t="s">
        <v>2600</v>
      </c>
    </row>
    <row r="859" spans="1:12" hidden="1" x14ac:dyDescent="0.35">
      <c r="A859" s="75">
        <v>5428</v>
      </c>
      <c r="B859" s="75" t="s">
        <v>647</v>
      </c>
      <c r="C859" s="75">
        <v>2826</v>
      </c>
      <c r="D859" s="75" t="s">
        <v>169</v>
      </c>
      <c r="E859" s="75" t="s">
        <v>2368</v>
      </c>
      <c r="F859" s="75" t="s">
        <v>1510</v>
      </c>
      <c r="G859" s="76">
        <v>45840</v>
      </c>
      <c r="H859" s="75" t="s">
        <v>249</v>
      </c>
      <c r="I859" s="75" t="s">
        <v>54</v>
      </c>
      <c r="J859" s="75">
        <v>0</v>
      </c>
      <c r="K859" s="75" t="str">
        <f t="shared" si="13"/>
        <v>07-2025</v>
      </c>
      <c r="L859" s="51" t="s">
        <v>2600</v>
      </c>
    </row>
    <row r="860" spans="1:12" hidden="1" x14ac:dyDescent="0.35">
      <c r="A860" s="75">
        <v>7961</v>
      </c>
      <c r="B860" s="75" t="s">
        <v>2077</v>
      </c>
      <c r="C860" s="75">
        <v>2826</v>
      </c>
      <c r="D860" s="75" t="s">
        <v>169</v>
      </c>
      <c r="E860" s="75" t="s">
        <v>2369</v>
      </c>
      <c r="F860" s="75" t="s">
        <v>1510</v>
      </c>
      <c r="G860" s="76">
        <v>45840</v>
      </c>
      <c r="H860" s="75" t="s">
        <v>9</v>
      </c>
      <c r="I860" s="75" t="s">
        <v>74</v>
      </c>
      <c r="J860" s="75">
        <v>0</v>
      </c>
      <c r="K860" s="75" t="str">
        <f t="shared" si="13"/>
        <v>07-2025</v>
      </c>
      <c r="L860" s="51" t="s">
        <v>2600</v>
      </c>
    </row>
    <row r="861" spans="1:12" hidden="1" x14ac:dyDescent="0.35">
      <c r="A861" s="75">
        <v>3081</v>
      </c>
      <c r="B861" s="75" t="s">
        <v>1856</v>
      </c>
      <c r="C861" s="75">
        <v>1192</v>
      </c>
      <c r="D861" s="75" t="s">
        <v>746</v>
      </c>
      <c r="E861" s="75" t="s">
        <v>2370</v>
      </c>
      <c r="F861" s="75" t="s">
        <v>1510</v>
      </c>
      <c r="G861" s="76">
        <v>45839</v>
      </c>
      <c r="H861" s="75" t="s">
        <v>35</v>
      </c>
      <c r="I861" s="75" t="s">
        <v>54</v>
      </c>
      <c r="J861" s="75">
        <v>0</v>
      </c>
      <c r="K861" s="75" t="str">
        <f t="shared" si="13"/>
        <v>07-2025</v>
      </c>
      <c r="L861" s="51" t="s">
        <v>2600</v>
      </c>
    </row>
    <row r="862" spans="1:12" hidden="1" x14ac:dyDescent="0.35">
      <c r="A862" s="75">
        <v>5370</v>
      </c>
      <c r="B862" s="75" t="s">
        <v>2335</v>
      </c>
      <c r="C862" s="75">
        <v>4539</v>
      </c>
      <c r="D862" s="75" t="s">
        <v>804</v>
      </c>
      <c r="E862" s="75" t="s">
        <v>2371</v>
      </c>
      <c r="F862" s="75" t="s">
        <v>1510</v>
      </c>
      <c r="G862" s="76">
        <v>45839</v>
      </c>
      <c r="H862" s="75" t="s">
        <v>53</v>
      </c>
      <c r="I862" s="75" t="s">
        <v>54</v>
      </c>
      <c r="J862" s="75">
        <v>0</v>
      </c>
      <c r="K862" s="75" t="str">
        <f t="shared" si="13"/>
        <v>07-2025</v>
      </c>
      <c r="L862" s="51" t="s">
        <v>2600</v>
      </c>
    </row>
    <row r="863" spans="1:12" hidden="1" x14ac:dyDescent="0.35">
      <c r="A863" s="75">
        <v>7594</v>
      </c>
      <c r="B863" s="75" t="s">
        <v>846</v>
      </c>
      <c r="C863" s="75">
        <v>4539</v>
      </c>
      <c r="D863" s="75" t="s">
        <v>804</v>
      </c>
      <c r="E863" s="75" t="s">
        <v>2372</v>
      </c>
      <c r="F863" s="75" t="s">
        <v>1510</v>
      </c>
      <c r="G863" s="76">
        <v>45839</v>
      </c>
      <c r="H863" s="75" t="s">
        <v>53</v>
      </c>
      <c r="I863" s="75" t="s">
        <v>32</v>
      </c>
      <c r="J863" s="75">
        <v>0</v>
      </c>
      <c r="K863" s="75" t="str">
        <f t="shared" si="13"/>
        <v>07-2025</v>
      </c>
      <c r="L863" s="51" t="s">
        <v>2600</v>
      </c>
    </row>
    <row r="864" spans="1:12" hidden="1" x14ac:dyDescent="0.35">
      <c r="A864" s="75">
        <v>7576</v>
      </c>
      <c r="B864" s="75" t="s">
        <v>422</v>
      </c>
      <c r="C864" s="75">
        <v>7505</v>
      </c>
      <c r="D864" s="75" t="s">
        <v>2355</v>
      </c>
      <c r="E864" s="75" t="s">
        <v>2373</v>
      </c>
      <c r="F864" s="75" t="s">
        <v>1510</v>
      </c>
      <c r="G864" s="76">
        <v>45837</v>
      </c>
      <c r="H864" s="75" t="s">
        <v>73</v>
      </c>
      <c r="I864" s="75" t="s">
        <v>251</v>
      </c>
      <c r="J864" s="75">
        <v>0</v>
      </c>
      <c r="K864" s="75" t="str">
        <f t="shared" si="13"/>
        <v>06-2025</v>
      </c>
      <c r="L864" s="51" t="s">
        <v>2600</v>
      </c>
    </row>
    <row r="865" spans="1:12" hidden="1" x14ac:dyDescent="0.35">
      <c r="A865" s="75">
        <v>7299</v>
      </c>
      <c r="B865" s="75" t="s">
        <v>2124</v>
      </c>
      <c r="C865" s="75">
        <v>7418</v>
      </c>
      <c r="D865" s="75" t="s">
        <v>745</v>
      </c>
      <c r="E865" s="75" t="s">
        <v>2374</v>
      </c>
      <c r="F865" s="75" t="s">
        <v>1509</v>
      </c>
      <c r="G865" s="76">
        <v>45836</v>
      </c>
      <c r="H865" s="75" t="s">
        <v>73</v>
      </c>
      <c r="I865" s="75" t="s">
        <v>10</v>
      </c>
      <c r="J865" s="75">
        <v>500</v>
      </c>
      <c r="K865" s="75" t="str">
        <f t="shared" si="13"/>
        <v>06-2025</v>
      </c>
      <c r="L865" s="51" t="s">
        <v>2600</v>
      </c>
    </row>
    <row r="866" spans="1:12" hidden="1" x14ac:dyDescent="0.35">
      <c r="A866" s="75">
        <v>7868</v>
      </c>
      <c r="B866" s="75" t="s">
        <v>340</v>
      </c>
      <c r="C866" s="75">
        <v>7221</v>
      </c>
      <c r="D866" s="75" t="s">
        <v>600</v>
      </c>
      <c r="E866" s="75" t="s">
        <v>2558</v>
      </c>
      <c r="F866" s="75" t="s">
        <v>1509</v>
      </c>
      <c r="G866" s="76">
        <v>45835</v>
      </c>
      <c r="H866" s="75" t="s">
        <v>21</v>
      </c>
      <c r="I866" s="75" t="s">
        <v>10</v>
      </c>
      <c r="J866" s="75">
        <v>500</v>
      </c>
      <c r="K866" s="75" t="str">
        <f t="shared" si="13"/>
        <v>06-2025</v>
      </c>
      <c r="L866" s="51" t="s">
        <v>2600</v>
      </c>
    </row>
    <row r="867" spans="1:12" hidden="1" x14ac:dyDescent="0.35">
      <c r="A867" s="75">
        <v>7974</v>
      </c>
      <c r="B867" s="75" t="s">
        <v>2089</v>
      </c>
      <c r="C867" s="75">
        <v>7398</v>
      </c>
      <c r="D867" s="75" t="s">
        <v>645</v>
      </c>
      <c r="E867" s="75" t="s">
        <v>2375</v>
      </c>
      <c r="F867" s="75" t="s">
        <v>1510</v>
      </c>
      <c r="G867" s="76">
        <v>45835</v>
      </c>
      <c r="H867" s="75" t="s">
        <v>21</v>
      </c>
      <c r="I867" s="75" t="s">
        <v>10</v>
      </c>
      <c r="J867" s="75">
        <v>0</v>
      </c>
      <c r="K867" s="75" t="str">
        <f t="shared" si="13"/>
        <v>06-2025</v>
      </c>
      <c r="L867" s="51" t="s">
        <v>2600</v>
      </c>
    </row>
    <row r="868" spans="1:12" hidden="1" x14ac:dyDescent="0.35">
      <c r="A868" s="75">
        <v>7823</v>
      </c>
      <c r="B868" s="75" t="s">
        <v>351</v>
      </c>
      <c r="C868" s="75">
        <v>3469</v>
      </c>
      <c r="D868" s="75" t="s">
        <v>459</v>
      </c>
      <c r="E868" s="75" t="s">
        <v>2376</v>
      </c>
      <c r="F868" s="75" t="s">
        <v>1509</v>
      </c>
      <c r="G868" s="76">
        <v>45834</v>
      </c>
      <c r="H868" s="75" t="s">
        <v>21</v>
      </c>
      <c r="I868" s="75" t="s">
        <v>54</v>
      </c>
      <c r="J868" s="75">
        <v>500</v>
      </c>
      <c r="K868" s="75" t="str">
        <f t="shared" si="13"/>
        <v>06-2025</v>
      </c>
      <c r="L868" s="51" t="s">
        <v>2600</v>
      </c>
    </row>
    <row r="869" spans="1:12" hidden="1" x14ac:dyDescent="0.35">
      <c r="A869" s="75">
        <v>4009</v>
      </c>
      <c r="B869" s="75" t="s">
        <v>602</v>
      </c>
      <c r="C869" s="75">
        <v>7452</v>
      </c>
      <c r="D869" s="75" t="s">
        <v>263</v>
      </c>
      <c r="E869" s="75" t="s">
        <v>2377</v>
      </c>
      <c r="F869" s="75" t="s">
        <v>1510</v>
      </c>
      <c r="G869" s="76">
        <v>45833</v>
      </c>
      <c r="H869" s="75" t="s">
        <v>9</v>
      </c>
      <c r="I869" s="75" t="s">
        <v>32</v>
      </c>
      <c r="J869" s="75">
        <v>0</v>
      </c>
      <c r="K869" s="75" t="str">
        <f t="shared" si="13"/>
        <v>06-2025</v>
      </c>
      <c r="L869" s="51" t="s">
        <v>2600</v>
      </c>
    </row>
    <row r="870" spans="1:12" hidden="1" x14ac:dyDescent="0.35">
      <c r="A870" s="75">
        <v>4416</v>
      </c>
      <c r="B870" s="75" t="s">
        <v>269</v>
      </c>
      <c r="C870" s="75">
        <v>3653</v>
      </c>
      <c r="D870" s="75" t="s">
        <v>299</v>
      </c>
      <c r="E870" s="75" t="s">
        <v>2378</v>
      </c>
      <c r="F870" s="75" t="s">
        <v>1510</v>
      </c>
      <c r="G870" s="76">
        <v>45833</v>
      </c>
      <c r="H870" s="75" t="s">
        <v>35</v>
      </c>
      <c r="I870" s="75" t="s">
        <v>32</v>
      </c>
      <c r="J870" s="75">
        <v>0</v>
      </c>
      <c r="K870" s="75" t="str">
        <f t="shared" si="13"/>
        <v>06-2025</v>
      </c>
      <c r="L870" s="51" t="s">
        <v>2600</v>
      </c>
    </row>
    <row r="871" spans="1:12" hidden="1" x14ac:dyDescent="0.35">
      <c r="A871" s="75">
        <v>2651</v>
      </c>
      <c r="B871" s="75" t="s">
        <v>295</v>
      </c>
      <c r="C871" s="75">
        <v>3653</v>
      </c>
      <c r="D871" s="75" t="s">
        <v>299</v>
      </c>
      <c r="E871" s="75" t="s">
        <v>2379</v>
      </c>
      <c r="F871" s="75" t="s">
        <v>1510</v>
      </c>
      <c r="G871" s="76">
        <v>45833</v>
      </c>
      <c r="H871" s="75" t="s">
        <v>35</v>
      </c>
      <c r="I871" s="75" t="s">
        <v>54</v>
      </c>
      <c r="J871" s="75">
        <v>0</v>
      </c>
      <c r="K871" s="75" t="str">
        <f t="shared" si="13"/>
        <v>06-2025</v>
      </c>
      <c r="L871" s="51" t="s">
        <v>2600</v>
      </c>
    </row>
    <row r="872" spans="1:12" hidden="1" x14ac:dyDescent="0.35">
      <c r="A872" s="75">
        <v>7776</v>
      </c>
      <c r="B872" s="75" t="s">
        <v>2044</v>
      </c>
      <c r="C872" s="75" t="s">
        <v>1508</v>
      </c>
      <c r="D872" s="75" t="s">
        <v>866</v>
      </c>
      <c r="E872" s="75" t="s">
        <v>2380</v>
      </c>
      <c r="F872" s="75" t="s">
        <v>1509</v>
      </c>
      <c r="G872" s="76">
        <v>45832</v>
      </c>
      <c r="H872" s="75" t="s">
        <v>9</v>
      </c>
      <c r="I872" s="75" t="s">
        <v>54</v>
      </c>
      <c r="J872" s="75">
        <v>500</v>
      </c>
      <c r="K872" s="75" t="str">
        <f t="shared" si="13"/>
        <v>06-2025</v>
      </c>
      <c r="L872" s="51" t="s">
        <v>2600</v>
      </c>
    </row>
    <row r="873" spans="1:12" hidden="1" x14ac:dyDescent="0.35">
      <c r="A873" s="75">
        <v>2026</v>
      </c>
      <c r="B873" s="75" t="s">
        <v>465</v>
      </c>
      <c r="C873" s="75" t="s">
        <v>1508</v>
      </c>
      <c r="D873" s="75" t="s">
        <v>866</v>
      </c>
      <c r="E873" s="75" t="s">
        <v>2381</v>
      </c>
      <c r="F873" s="75" t="s">
        <v>1509</v>
      </c>
      <c r="G873" s="76">
        <v>45832</v>
      </c>
      <c r="H873" s="75" t="s">
        <v>16</v>
      </c>
      <c r="I873" s="75" t="s">
        <v>54</v>
      </c>
      <c r="J873" s="75">
        <v>500</v>
      </c>
      <c r="K873" s="75" t="str">
        <f t="shared" si="13"/>
        <v>06-2025</v>
      </c>
      <c r="L873" s="51" t="s">
        <v>2600</v>
      </c>
    </row>
    <row r="874" spans="1:12" hidden="1" x14ac:dyDescent="0.35">
      <c r="A874" s="75">
        <v>7430</v>
      </c>
      <c r="B874" s="75" t="s">
        <v>1520</v>
      </c>
      <c r="C874" s="75" t="s">
        <v>1508</v>
      </c>
      <c r="D874" s="75" t="s">
        <v>866</v>
      </c>
      <c r="E874" s="75" t="s">
        <v>2381</v>
      </c>
      <c r="F874" s="75" t="s">
        <v>1509</v>
      </c>
      <c r="G874" s="76">
        <v>45832</v>
      </c>
      <c r="H874" s="75" t="s">
        <v>16</v>
      </c>
      <c r="I874" s="75" t="s">
        <v>54</v>
      </c>
      <c r="J874" s="75">
        <v>500</v>
      </c>
      <c r="K874" s="75" t="str">
        <f t="shared" si="13"/>
        <v>06-2025</v>
      </c>
      <c r="L874" s="51" t="s">
        <v>2600</v>
      </c>
    </row>
    <row r="875" spans="1:12" hidden="1" x14ac:dyDescent="0.35">
      <c r="A875" s="75">
        <v>2366</v>
      </c>
      <c r="B875" s="75" t="s">
        <v>2353</v>
      </c>
      <c r="C875" s="75" t="s">
        <v>1508</v>
      </c>
      <c r="D875" s="75" t="s">
        <v>866</v>
      </c>
      <c r="E875" s="75" t="s">
        <v>2381</v>
      </c>
      <c r="F875" s="75" t="s">
        <v>1509</v>
      </c>
      <c r="G875" s="76">
        <v>45832</v>
      </c>
      <c r="H875" s="75" t="s">
        <v>73</v>
      </c>
      <c r="I875" s="75" t="s">
        <v>54</v>
      </c>
      <c r="J875" s="75">
        <v>500</v>
      </c>
      <c r="K875" s="75" t="str">
        <f t="shared" si="13"/>
        <v>06-2025</v>
      </c>
      <c r="L875" s="51" t="s">
        <v>2600</v>
      </c>
    </row>
    <row r="876" spans="1:12" hidden="1" x14ac:dyDescent="0.35">
      <c r="A876" s="75">
        <v>7594</v>
      </c>
      <c r="B876" s="75" t="s">
        <v>846</v>
      </c>
      <c r="C876" s="75" t="s">
        <v>1508</v>
      </c>
      <c r="D876" s="75" t="s">
        <v>866</v>
      </c>
      <c r="E876" s="75" t="s">
        <v>2559</v>
      </c>
      <c r="F876" s="75" t="s">
        <v>1509</v>
      </c>
      <c r="G876" s="76">
        <v>45832</v>
      </c>
      <c r="H876" s="75" t="s">
        <v>53</v>
      </c>
      <c r="I876" s="75" t="s">
        <v>54</v>
      </c>
      <c r="J876" s="75">
        <v>500</v>
      </c>
      <c r="K876" s="75" t="str">
        <f t="shared" si="13"/>
        <v>06-2025</v>
      </c>
      <c r="L876" s="51" t="s">
        <v>2600</v>
      </c>
    </row>
    <row r="877" spans="1:12" hidden="1" x14ac:dyDescent="0.35">
      <c r="A877" s="75">
        <v>5387</v>
      </c>
      <c r="B877" s="75" t="s">
        <v>807</v>
      </c>
      <c r="C877" s="75" t="s">
        <v>1508</v>
      </c>
      <c r="D877" s="75" t="s">
        <v>866</v>
      </c>
      <c r="E877" s="75" t="s">
        <v>2560</v>
      </c>
      <c r="F877" s="75" t="s">
        <v>1509</v>
      </c>
      <c r="G877" s="76">
        <v>45832</v>
      </c>
      <c r="H877" s="75" t="s">
        <v>73</v>
      </c>
      <c r="I877" s="75" t="s">
        <v>54</v>
      </c>
      <c r="J877" s="75">
        <v>500</v>
      </c>
      <c r="K877" s="75" t="str">
        <f t="shared" si="13"/>
        <v>06-2025</v>
      </c>
      <c r="L877" s="51" t="s">
        <v>2600</v>
      </c>
    </row>
    <row r="878" spans="1:12" hidden="1" x14ac:dyDescent="0.35">
      <c r="A878" s="75">
        <v>2244</v>
      </c>
      <c r="B878" s="75" t="s">
        <v>416</v>
      </c>
      <c r="C878" s="75" t="s">
        <v>1508</v>
      </c>
      <c r="D878" s="75" t="s">
        <v>866</v>
      </c>
      <c r="E878" s="75" t="s">
        <v>2382</v>
      </c>
      <c r="F878" s="75" t="s">
        <v>1509</v>
      </c>
      <c r="G878" s="76">
        <v>45832</v>
      </c>
      <c r="H878" s="75" t="s">
        <v>53</v>
      </c>
      <c r="I878" s="75" t="s">
        <v>54</v>
      </c>
      <c r="J878" s="75">
        <v>500</v>
      </c>
      <c r="K878" s="75" t="str">
        <f t="shared" si="13"/>
        <v>06-2025</v>
      </c>
      <c r="L878" s="51" t="s">
        <v>2600</v>
      </c>
    </row>
    <row r="879" spans="1:12" hidden="1" x14ac:dyDescent="0.35">
      <c r="A879" s="75">
        <v>1585</v>
      </c>
      <c r="B879" s="75" t="s">
        <v>258</v>
      </c>
      <c r="C879" s="75" t="s">
        <v>1508</v>
      </c>
      <c r="D879" s="75" t="s">
        <v>866</v>
      </c>
      <c r="E879" s="75" t="s">
        <v>2383</v>
      </c>
      <c r="F879" s="75" t="s">
        <v>1509</v>
      </c>
      <c r="G879" s="76">
        <v>45832</v>
      </c>
      <c r="H879" s="75" t="s">
        <v>53</v>
      </c>
      <c r="I879" s="75" t="s">
        <v>54</v>
      </c>
      <c r="J879" s="75">
        <v>500</v>
      </c>
      <c r="K879" s="75" t="str">
        <f t="shared" si="13"/>
        <v>06-2025</v>
      </c>
      <c r="L879" s="51" t="s">
        <v>2600</v>
      </c>
    </row>
    <row r="880" spans="1:12" hidden="1" x14ac:dyDescent="0.35">
      <c r="A880" s="75">
        <v>2321</v>
      </c>
      <c r="B880" s="75" t="s">
        <v>795</v>
      </c>
      <c r="C880" s="75" t="s">
        <v>1508</v>
      </c>
      <c r="D880" s="75" t="s">
        <v>866</v>
      </c>
      <c r="E880" s="75" t="s">
        <v>2384</v>
      </c>
      <c r="F880" s="75" t="s">
        <v>1509</v>
      </c>
      <c r="G880" s="76">
        <v>45832</v>
      </c>
      <c r="H880" s="75" t="s">
        <v>16</v>
      </c>
      <c r="I880" s="75" t="s">
        <v>32</v>
      </c>
      <c r="J880" s="75">
        <v>500</v>
      </c>
      <c r="K880" s="75" t="str">
        <f t="shared" si="13"/>
        <v>06-2025</v>
      </c>
      <c r="L880" s="51" t="s">
        <v>2600</v>
      </c>
    </row>
    <row r="881" spans="1:12" hidden="1" x14ac:dyDescent="0.35">
      <c r="A881" s="75">
        <v>7576</v>
      </c>
      <c r="B881" s="75" t="s">
        <v>422</v>
      </c>
      <c r="C881" s="75" t="s">
        <v>1508</v>
      </c>
      <c r="D881" s="75" t="s">
        <v>866</v>
      </c>
      <c r="E881" s="75" t="s">
        <v>2385</v>
      </c>
      <c r="F881" s="75" t="s">
        <v>1509</v>
      </c>
      <c r="G881" s="76">
        <v>45832</v>
      </c>
      <c r="H881" s="75" t="s">
        <v>73</v>
      </c>
      <c r="I881" s="75" t="s">
        <v>54</v>
      </c>
      <c r="J881" s="75">
        <v>500</v>
      </c>
      <c r="K881" s="75" t="str">
        <f t="shared" si="13"/>
        <v>06-2025</v>
      </c>
      <c r="L881" s="51" t="s">
        <v>2600</v>
      </c>
    </row>
    <row r="882" spans="1:12" hidden="1" x14ac:dyDescent="0.35">
      <c r="A882" s="75">
        <v>7756</v>
      </c>
      <c r="B882" s="75" t="s">
        <v>65</v>
      </c>
      <c r="C882" s="75" t="s">
        <v>1508</v>
      </c>
      <c r="D882" s="75" t="s">
        <v>866</v>
      </c>
      <c r="E882" s="75" t="s">
        <v>2386</v>
      </c>
      <c r="F882" s="75" t="s">
        <v>1509</v>
      </c>
      <c r="G882" s="76">
        <v>45832</v>
      </c>
      <c r="H882" s="75" t="s">
        <v>9</v>
      </c>
      <c r="I882" s="75" t="s">
        <v>251</v>
      </c>
      <c r="J882" s="75">
        <v>500</v>
      </c>
      <c r="K882" s="75" t="str">
        <f t="shared" si="13"/>
        <v>06-2025</v>
      </c>
      <c r="L882" s="51" t="s">
        <v>2600</v>
      </c>
    </row>
    <row r="883" spans="1:12" hidden="1" x14ac:dyDescent="0.35">
      <c r="A883" s="75">
        <v>6637</v>
      </c>
      <c r="B883" s="75" t="s">
        <v>2120</v>
      </c>
      <c r="C883" s="75" t="s">
        <v>1508</v>
      </c>
      <c r="D883" s="75" t="s">
        <v>866</v>
      </c>
      <c r="E883" s="75" t="s">
        <v>2561</v>
      </c>
      <c r="F883" s="75" t="s">
        <v>1509</v>
      </c>
      <c r="G883" s="76">
        <v>45832</v>
      </c>
      <c r="H883" s="75" t="s">
        <v>40</v>
      </c>
      <c r="I883" s="75" t="s">
        <v>54</v>
      </c>
      <c r="J883" s="75">
        <v>500</v>
      </c>
      <c r="K883" s="75" t="str">
        <f t="shared" si="13"/>
        <v>06-2025</v>
      </c>
      <c r="L883" s="51" t="s">
        <v>2600</v>
      </c>
    </row>
    <row r="884" spans="1:12" hidden="1" x14ac:dyDescent="0.35">
      <c r="A884" s="75">
        <v>2186</v>
      </c>
      <c r="B884" s="75" t="s">
        <v>2336</v>
      </c>
      <c r="C884" s="75" t="s">
        <v>1508</v>
      </c>
      <c r="D884" s="75" t="s">
        <v>866</v>
      </c>
      <c r="E884" s="75" t="s">
        <v>2387</v>
      </c>
      <c r="F884" s="75" t="s">
        <v>1509</v>
      </c>
      <c r="G884" s="76">
        <v>45832</v>
      </c>
      <c r="H884" s="75" t="s">
        <v>9</v>
      </c>
      <c r="I884" s="75" t="s">
        <v>32</v>
      </c>
      <c r="J884" s="75">
        <v>500</v>
      </c>
      <c r="K884" s="75" t="str">
        <f t="shared" si="13"/>
        <v>06-2025</v>
      </c>
      <c r="L884" s="51" t="s">
        <v>2600</v>
      </c>
    </row>
    <row r="885" spans="1:12" hidden="1" x14ac:dyDescent="0.35">
      <c r="A885" s="75">
        <v>7503</v>
      </c>
      <c r="B885" s="75" t="s">
        <v>2337</v>
      </c>
      <c r="C885" s="75" t="s">
        <v>1508</v>
      </c>
      <c r="D885" s="75" t="s">
        <v>866</v>
      </c>
      <c r="E885" s="75" t="s">
        <v>2388</v>
      </c>
      <c r="F885" s="75" t="s">
        <v>1509</v>
      </c>
      <c r="G885" s="76">
        <v>45832</v>
      </c>
      <c r="H885" s="75" t="s">
        <v>73</v>
      </c>
      <c r="I885" s="75" t="s">
        <v>54</v>
      </c>
      <c r="J885" s="75">
        <v>500</v>
      </c>
      <c r="K885" s="75" t="str">
        <f t="shared" si="13"/>
        <v>06-2025</v>
      </c>
      <c r="L885" s="51" t="s">
        <v>2600</v>
      </c>
    </row>
    <row r="886" spans="1:12" hidden="1" x14ac:dyDescent="0.35">
      <c r="A886" s="75">
        <v>5429</v>
      </c>
      <c r="B886" s="75" t="s">
        <v>2338</v>
      </c>
      <c r="C886" s="75" t="s">
        <v>1508</v>
      </c>
      <c r="D886" s="75" t="s">
        <v>866</v>
      </c>
      <c r="E886" s="75" t="s">
        <v>2389</v>
      </c>
      <c r="F886" s="75" t="s">
        <v>1509</v>
      </c>
      <c r="G886" s="76">
        <v>45832</v>
      </c>
      <c r="H886" s="75" t="s">
        <v>40</v>
      </c>
      <c r="I886" s="75" t="s">
        <v>54</v>
      </c>
      <c r="J886" s="75">
        <v>500</v>
      </c>
      <c r="K886" s="75" t="str">
        <f t="shared" si="13"/>
        <v>06-2025</v>
      </c>
      <c r="L886" s="51" t="s">
        <v>2600</v>
      </c>
    </row>
    <row r="887" spans="1:12" hidden="1" x14ac:dyDescent="0.35">
      <c r="A887" s="75">
        <v>1363</v>
      </c>
      <c r="B887" s="75" t="s">
        <v>2339</v>
      </c>
      <c r="C887" s="75" t="s">
        <v>1508</v>
      </c>
      <c r="D887" s="75" t="s">
        <v>866</v>
      </c>
      <c r="E887" s="75" t="s">
        <v>2390</v>
      </c>
      <c r="F887" s="75" t="s">
        <v>1509</v>
      </c>
      <c r="G887" s="76">
        <v>45832</v>
      </c>
      <c r="H887" s="75" t="s">
        <v>40</v>
      </c>
      <c r="I887" s="75" t="s">
        <v>251</v>
      </c>
      <c r="J887" s="75">
        <v>500</v>
      </c>
      <c r="K887" s="75" t="str">
        <f t="shared" si="13"/>
        <v>06-2025</v>
      </c>
      <c r="L887" s="51" t="s">
        <v>2600</v>
      </c>
    </row>
    <row r="888" spans="1:12" hidden="1" x14ac:dyDescent="0.35">
      <c r="A888" s="75">
        <v>3332</v>
      </c>
      <c r="B888" s="75" t="s">
        <v>1740</v>
      </c>
      <c r="C888" s="75">
        <v>2959</v>
      </c>
      <c r="D888" s="75" t="s">
        <v>776</v>
      </c>
      <c r="E888" s="75" t="s">
        <v>2391</v>
      </c>
      <c r="F888" s="75" t="s">
        <v>1510</v>
      </c>
      <c r="G888" s="76">
        <v>45831</v>
      </c>
      <c r="H888" s="75" t="s">
        <v>40</v>
      </c>
      <c r="I888" s="75" t="s">
        <v>32</v>
      </c>
      <c r="J888" s="75">
        <v>0</v>
      </c>
      <c r="K888" s="75" t="str">
        <f t="shared" si="13"/>
        <v>06-2025</v>
      </c>
      <c r="L888" s="51" t="s">
        <v>2600</v>
      </c>
    </row>
    <row r="889" spans="1:12" hidden="1" x14ac:dyDescent="0.35">
      <c r="A889" s="75">
        <v>5090</v>
      </c>
      <c r="B889" s="75" t="s">
        <v>2340</v>
      </c>
      <c r="C889" s="75">
        <v>1458</v>
      </c>
      <c r="D889" s="75" t="s">
        <v>278</v>
      </c>
      <c r="E889" s="75" t="s">
        <v>2392</v>
      </c>
      <c r="F889" s="75" t="s">
        <v>1509</v>
      </c>
      <c r="G889" s="76">
        <v>45831</v>
      </c>
      <c r="H889" s="75" t="s">
        <v>40</v>
      </c>
      <c r="I889" s="75" t="s">
        <v>32</v>
      </c>
      <c r="J889" s="75">
        <v>500</v>
      </c>
      <c r="K889" s="75" t="str">
        <f t="shared" si="13"/>
        <v>06-2025</v>
      </c>
      <c r="L889" s="51" t="s">
        <v>2600</v>
      </c>
    </row>
    <row r="890" spans="1:12" hidden="1" x14ac:dyDescent="0.35">
      <c r="A890" s="75">
        <v>7403</v>
      </c>
      <c r="B890" s="75" t="s">
        <v>2137</v>
      </c>
      <c r="C890" s="75">
        <v>7275</v>
      </c>
      <c r="D890" s="75" t="s">
        <v>27</v>
      </c>
      <c r="E890" s="75" t="s">
        <v>2393</v>
      </c>
      <c r="F890" s="75" t="s">
        <v>1509</v>
      </c>
      <c r="G890" s="76">
        <v>45831</v>
      </c>
      <c r="H890" s="75" t="s">
        <v>73</v>
      </c>
      <c r="I890" s="75" t="s">
        <v>54</v>
      </c>
      <c r="J890" s="75">
        <v>500</v>
      </c>
      <c r="K890" s="75" t="str">
        <f t="shared" si="13"/>
        <v>06-2025</v>
      </c>
      <c r="L890" s="51" t="s">
        <v>2600</v>
      </c>
    </row>
    <row r="891" spans="1:12" hidden="1" x14ac:dyDescent="0.35">
      <c r="A891" s="75">
        <v>7564</v>
      </c>
      <c r="B891" s="75" t="s">
        <v>2341</v>
      </c>
      <c r="C891" s="75">
        <v>1523</v>
      </c>
      <c r="D891" s="75" t="s">
        <v>1743</v>
      </c>
      <c r="E891" s="75" t="s">
        <v>2394</v>
      </c>
      <c r="F891" s="75" t="s">
        <v>1510</v>
      </c>
      <c r="G891" s="76">
        <v>45828</v>
      </c>
      <c r="H891" s="75" t="s">
        <v>40</v>
      </c>
      <c r="I891" s="75" t="s">
        <v>54</v>
      </c>
      <c r="J891" s="75">
        <v>0</v>
      </c>
      <c r="K891" s="75" t="str">
        <f t="shared" si="13"/>
        <v>06-2025</v>
      </c>
      <c r="L891" s="51" t="s">
        <v>2600</v>
      </c>
    </row>
    <row r="892" spans="1:12" hidden="1" x14ac:dyDescent="0.35">
      <c r="A892" s="75">
        <v>7065</v>
      </c>
      <c r="B892" s="75" t="s">
        <v>2342</v>
      </c>
      <c r="C892" s="75">
        <v>1523</v>
      </c>
      <c r="D892" s="75" t="s">
        <v>1743</v>
      </c>
      <c r="E892" s="75" t="s">
        <v>2395</v>
      </c>
      <c r="F892" s="75" t="s">
        <v>1510</v>
      </c>
      <c r="G892" s="76">
        <v>45828</v>
      </c>
      <c r="H892" s="75" t="s">
        <v>40</v>
      </c>
      <c r="I892" s="75" t="s">
        <v>10</v>
      </c>
      <c r="J892" s="75">
        <v>0</v>
      </c>
      <c r="K892" s="75" t="str">
        <f t="shared" si="13"/>
        <v>06-2025</v>
      </c>
      <c r="L892" s="51" t="s">
        <v>2600</v>
      </c>
    </row>
    <row r="893" spans="1:12" hidden="1" x14ac:dyDescent="0.35">
      <c r="A893" s="75">
        <v>6975</v>
      </c>
      <c r="B893" s="75" t="s">
        <v>596</v>
      </c>
      <c r="C893" s="75">
        <v>6481</v>
      </c>
      <c r="D893" s="75" t="s">
        <v>126</v>
      </c>
      <c r="E893" s="75" t="s">
        <v>2396</v>
      </c>
      <c r="F893" s="75" t="s">
        <v>1510</v>
      </c>
      <c r="G893" s="76">
        <v>45828</v>
      </c>
      <c r="H893" s="75" t="s">
        <v>249</v>
      </c>
      <c r="I893" s="75" t="s">
        <v>10</v>
      </c>
      <c r="J893" s="75">
        <v>0</v>
      </c>
      <c r="K893" s="75" t="str">
        <f t="shared" si="13"/>
        <v>06-2025</v>
      </c>
      <c r="L893" s="51" t="s">
        <v>2600</v>
      </c>
    </row>
    <row r="894" spans="1:12" hidden="1" x14ac:dyDescent="0.35">
      <c r="A894" s="75">
        <v>6375</v>
      </c>
      <c r="B894" s="75" t="s">
        <v>17</v>
      </c>
      <c r="C894" s="75">
        <v>7739</v>
      </c>
      <c r="D894" s="75" t="s">
        <v>344</v>
      </c>
      <c r="E894" s="75" t="s">
        <v>2397</v>
      </c>
      <c r="F894" s="75" t="s">
        <v>1510</v>
      </c>
      <c r="G894" s="76">
        <v>45819</v>
      </c>
      <c r="H894" s="75" t="s">
        <v>9</v>
      </c>
      <c r="I894" s="75" t="s">
        <v>10</v>
      </c>
      <c r="J894" s="75">
        <v>0</v>
      </c>
      <c r="K894" s="75" t="str">
        <f t="shared" si="13"/>
        <v>06-2025</v>
      </c>
      <c r="L894" s="51" t="s">
        <v>2600</v>
      </c>
    </row>
    <row r="895" spans="1:12" hidden="1" x14ac:dyDescent="0.35">
      <c r="A895" s="75">
        <v>107</v>
      </c>
      <c r="B895" s="75" t="s">
        <v>1535</v>
      </c>
      <c r="C895" s="75" t="s">
        <v>1508</v>
      </c>
      <c r="D895" s="75" t="s">
        <v>866</v>
      </c>
      <c r="E895" s="75" t="s">
        <v>2398</v>
      </c>
      <c r="F895" s="75" t="s">
        <v>1509</v>
      </c>
      <c r="G895" s="76">
        <v>45819</v>
      </c>
      <c r="H895" s="75" t="s">
        <v>24</v>
      </c>
      <c r="I895" s="75" t="s">
        <v>10</v>
      </c>
      <c r="J895" s="75">
        <v>500</v>
      </c>
      <c r="K895" s="75" t="str">
        <f t="shared" si="13"/>
        <v>06-2025</v>
      </c>
      <c r="L895" s="51" t="s">
        <v>2600</v>
      </c>
    </row>
    <row r="896" spans="1:12" hidden="1" x14ac:dyDescent="0.35">
      <c r="A896" s="75">
        <v>7811</v>
      </c>
      <c r="B896" s="75" t="s">
        <v>355</v>
      </c>
      <c r="C896" s="75" t="s">
        <v>1508</v>
      </c>
      <c r="D896" s="75" t="s">
        <v>866</v>
      </c>
      <c r="E896" s="75" t="s">
        <v>2399</v>
      </c>
      <c r="F896" s="75" t="s">
        <v>1509</v>
      </c>
      <c r="G896" s="76">
        <v>45819</v>
      </c>
      <c r="H896" s="75" t="s">
        <v>21</v>
      </c>
      <c r="I896" s="75" t="s">
        <v>54</v>
      </c>
      <c r="J896" s="75">
        <v>500</v>
      </c>
      <c r="K896" s="75" t="str">
        <f t="shared" si="13"/>
        <v>06-2025</v>
      </c>
      <c r="L896" s="51" t="s">
        <v>2600</v>
      </c>
    </row>
    <row r="897" spans="1:12" hidden="1" x14ac:dyDescent="0.35">
      <c r="A897" s="75">
        <v>7787</v>
      </c>
      <c r="B897" s="75" t="s">
        <v>2343</v>
      </c>
      <c r="C897" s="75" t="s">
        <v>1508</v>
      </c>
      <c r="D897" s="75" t="s">
        <v>866</v>
      </c>
      <c r="E897" s="75" t="s">
        <v>2400</v>
      </c>
      <c r="F897" s="75" t="s">
        <v>1509</v>
      </c>
      <c r="G897" s="76">
        <v>45819</v>
      </c>
      <c r="H897" s="75" t="s">
        <v>40</v>
      </c>
      <c r="I897" s="75" t="s">
        <v>32</v>
      </c>
      <c r="J897" s="75">
        <v>500</v>
      </c>
      <c r="K897" s="75" t="str">
        <f t="shared" si="13"/>
        <v>06-2025</v>
      </c>
      <c r="L897" s="51" t="s">
        <v>2600</v>
      </c>
    </row>
    <row r="898" spans="1:12" hidden="1" x14ac:dyDescent="0.35">
      <c r="A898" s="75">
        <v>7824</v>
      </c>
      <c r="B898" s="75" t="s">
        <v>408</v>
      </c>
      <c r="C898" s="75" t="s">
        <v>1508</v>
      </c>
      <c r="D898" s="75" t="s">
        <v>866</v>
      </c>
      <c r="E898" s="75" t="s">
        <v>2401</v>
      </c>
      <c r="F898" s="75" t="s">
        <v>1509</v>
      </c>
      <c r="G898" s="76">
        <v>45819</v>
      </c>
      <c r="H898" s="75" t="s">
        <v>35</v>
      </c>
      <c r="I898" s="75" t="s">
        <v>74</v>
      </c>
      <c r="J898" s="75">
        <v>500</v>
      </c>
      <c r="K898" s="75" t="str">
        <f t="shared" si="13"/>
        <v>06-2025</v>
      </c>
      <c r="L898" s="51" t="s">
        <v>2600</v>
      </c>
    </row>
    <row r="899" spans="1:12" hidden="1" x14ac:dyDescent="0.35">
      <c r="A899" s="75">
        <v>7638</v>
      </c>
      <c r="B899" s="75" t="s">
        <v>125</v>
      </c>
      <c r="C899" s="75" t="s">
        <v>1508</v>
      </c>
      <c r="D899" s="75" t="s">
        <v>866</v>
      </c>
      <c r="E899" s="75" t="s">
        <v>2402</v>
      </c>
      <c r="F899" s="75" t="s">
        <v>1509</v>
      </c>
      <c r="G899" s="76">
        <v>45819</v>
      </c>
      <c r="H899" s="75" t="s">
        <v>40</v>
      </c>
      <c r="I899" s="75" t="s">
        <v>74</v>
      </c>
      <c r="J899" s="75">
        <v>500</v>
      </c>
      <c r="K899" s="75" t="str">
        <f t="shared" ref="K899:K962" si="14">TEXT(G899,"mm-yyyy")</f>
        <v>06-2025</v>
      </c>
      <c r="L899" s="51" t="s">
        <v>2600</v>
      </c>
    </row>
    <row r="900" spans="1:12" hidden="1" x14ac:dyDescent="0.35">
      <c r="A900" s="75">
        <v>7886</v>
      </c>
      <c r="B900" s="75" t="s">
        <v>779</v>
      </c>
      <c r="C900" s="75" t="s">
        <v>1508</v>
      </c>
      <c r="D900" s="75" t="s">
        <v>866</v>
      </c>
      <c r="E900" s="75" t="s">
        <v>2403</v>
      </c>
      <c r="F900" s="75" t="s">
        <v>1509</v>
      </c>
      <c r="G900" s="76">
        <v>45819</v>
      </c>
      <c r="H900" s="75" t="s">
        <v>40</v>
      </c>
      <c r="I900" s="75" t="s">
        <v>10</v>
      </c>
      <c r="J900" s="75">
        <v>500</v>
      </c>
      <c r="K900" s="75" t="str">
        <f t="shared" si="14"/>
        <v>06-2025</v>
      </c>
      <c r="L900" s="51" t="s">
        <v>2600</v>
      </c>
    </row>
    <row r="901" spans="1:12" hidden="1" x14ac:dyDescent="0.35">
      <c r="A901" s="75">
        <v>5058</v>
      </c>
      <c r="B901" s="75" t="s">
        <v>697</v>
      </c>
      <c r="C901" s="75" t="s">
        <v>1508</v>
      </c>
      <c r="D901" s="75" t="s">
        <v>866</v>
      </c>
      <c r="E901" s="75" t="s">
        <v>2404</v>
      </c>
      <c r="F901" s="75" t="s">
        <v>1509</v>
      </c>
      <c r="G901" s="76">
        <v>45819</v>
      </c>
      <c r="H901" s="75" t="s">
        <v>395</v>
      </c>
      <c r="I901" s="75" t="s">
        <v>10</v>
      </c>
      <c r="J901" s="75">
        <v>500</v>
      </c>
      <c r="K901" s="75" t="str">
        <f t="shared" si="14"/>
        <v>06-2025</v>
      </c>
      <c r="L901" s="51" t="s">
        <v>2600</v>
      </c>
    </row>
    <row r="902" spans="1:12" hidden="1" x14ac:dyDescent="0.35">
      <c r="A902" s="75">
        <v>7915</v>
      </c>
      <c r="B902" s="75" t="s">
        <v>873</v>
      </c>
      <c r="C902" s="75" t="s">
        <v>1508</v>
      </c>
      <c r="D902" s="75" t="s">
        <v>866</v>
      </c>
      <c r="E902" s="75" t="s">
        <v>2405</v>
      </c>
      <c r="F902" s="75" t="s">
        <v>1509</v>
      </c>
      <c r="G902" s="76">
        <v>45819</v>
      </c>
      <c r="H902" s="75" t="s">
        <v>9</v>
      </c>
      <c r="I902" s="75" t="s">
        <v>54</v>
      </c>
      <c r="J902" s="75">
        <v>500</v>
      </c>
      <c r="K902" s="75" t="str">
        <f t="shared" si="14"/>
        <v>06-2025</v>
      </c>
      <c r="L902" s="51" t="s">
        <v>2600</v>
      </c>
    </row>
    <row r="903" spans="1:12" hidden="1" x14ac:dyDescent="0.35">
      <c r="A903" s="75">
        <v>1585</v>
      </c>
      <c r="B903" s="75" t="s">
        <v>258</v>
      </c>
      <c r="C903" s="75" t="s">
        <v>1508</v>
      </c>
      <c r="D903" s="75" t="s">
        <v>866</v>
      </c>
      <c r="E903" s="75" t="s">
        <v>2406</v>
      </c>
      <c r="F903" s="75" t="s">
        <v>1509</v>
      </c>
      <c r="G903" s="76">
        <v>45819</v>
      </c>
      <c r="H903" s="75" t="s">
        <v>53</v>
      </c>
      <c r="I903" s="75" t="s">
        <v>54</v>
      </c>
      <c r="J903" s="75">
        <v>500</v>
      </c>
      <c r="K903" s="75" t="str">
        <f t="shared" si="14"/>
        <v>06-2025</v>
      </c>
      <c r="L903" s="51" t="s">
        <v>2600</v>
      </c>
    </row>
    <row r="904" spans="1:12" hidden="1" x14ac:dyDescent="0.35">
      <c r="A904" s="75">
        <v>7904</v>
      </c>
      <c r="B904" s="75" t="s">
        <v>2344</v>
      </c>
      <c r="C904" s="75" t="s">
        <v>1508</v>
      </c>
      <c r="D904" s="75" t="s">
        <v>866</v>
      </c>
      <c r="E904" s="75" t="s">
        <v>2407</v>
      </c>
      <c r="F904" s="75" t="s">
        <v>1509</v>
      </c>
      <c r="G904" s="76">
        <v>45819</v>
      </c>
      <c r="H904" s="75" t="s">
        <v>16</v>
      </c>
      <c r="I904" s="75" t="s">
        <v>10</v>
      </c>
      <c r="J904" s="75">
        <v>500</v>
      </c>
      <c r="K904" s="75" t="str">
        <f t="shared" si="14"/>
        <v>06-2025</v>
      </c>
      <c r="L904" s="51" t="s">
        <v>2600</v>
      </c>
    </row>
    <row r="905" spans="1:12" hidden="1" x14ac:dyDescent="0.35">
      <c r="A905" s="75">
        <v>4379</v>
      </c>
      <c r="B905" s="75" t="s">
        <v>468</v>
      </c>
      <c r="C905" s="75" t="s">
        <v>1508</v>
      </c>
      <c r="D905" s="75" t="s">
        <v>866</v>
      </c>
      <c r="E905" s="75" t="s">
        <v>2408</v>
      </c>
      <c r="F905" s="75" t="s">
        <v>1509</v>
      </c>
      <c r="G905" s="76">
        <v>45819</v>
      </c>
      <c r="H905" s="75" t="s">
        <v>9</v>
      </c>
      <c r="I905" s="75" t="s">
        <v>54</v>
      </c>
      <c r="J905" s="75">
        <v>500</v>
      </c>
      <c r="K905" s="75" t="str">
        <f t="shared" si="14"/>
        <v>06-2025</v>
      </c>
      <c r="L905" s="51" t="s">
        <v>2600</v>
      </c>
    </row>
    <row r="906" spans="1:12" hidden="1" x14ac:dyDescent="0.35">
      <c r="A906" s="75">
        <v>7471</v>
      </c>
      <c r="B906" s="75" t="s">
        <v>813</v>
      </c>
      <c r="C906" s="75" t="s">
        <v>1508</v>
      </c>
      <c r="D906" s="75" t="s">
        <v>866</v>
      </c>
      <c r="E906" s="75" t="s">
        <v>2409</v>
      </c>
      <c r="F906" s="75" t="s">
        <v>1509</v>
      </c>
      <c r="G906" s="76">
        <v>45819</v>
      </c>
      <c r="H906" s="75" t="s">
        <v>16</v>
      </c>
      <c r="I906" s="75" t="s">
        <v>10</v>
      </c>
      <c r="J906" s="75">
        <v>500</v>
      </c>
      <c r="K906" s="75" t="str">
        <f t="shared" si="14"/>
        <v>06-2025</v>
      </c>
      <c r="L906" s="51" t="s">
        <v>2600</v>
      </c>
    </row>
    <row r="907" spans="1:12" hidden="1" x14ac:dyDescent="0.35">
      <c r="A907" s="75">
        <v>7249</v>
      </c>
      <c r="B907" s="75" t="s">
        <v>604</v>
      </c>
      <c r="C907" s="75" t="s">
        <v>1508</v>
      </c>
      <c r="D907" s="75" t="s">
        <v>866</v>
      </c>
      <c r="E907" s="75" t="s">
        <v>2409</v>
      </c>
      <c r="F907" s="75" t="s">
        <v>1509</v>
      </c>
      <c r="G907" s="76">
        <v>45819</v>
      </c>
      <c r="H907" s="75" t="s">
        <v>24</v>
      </c>
      <c r="I907" s="75" t="s">
        <v>10</v>
      </c>
      <c r="J907" s="75">
        <v>500</v>
      </c>
      <c r="K907" s="75" t="str">
        <f t="shared" si="14"/>
        <v>06-2025</v>
      </c>
      <c r="L907" s="51" t="s">
        <v>2600</v>
      </c>
    </row>
    <row r="908" spans="1:12" hidden="1" x14ac:dyDescent="0.35">
      <c r="A908" s="75">
        <v>7827</v>
      </c>
      <c r="B908" s="75" t="s">
        <v>349</v>
      </c>
      <c r="C908" s="75" t="s">
        <v>1508</v>
      </c>
      <c r="D908" s="75" t="s">
        <v>866</v>
      </c>
      <c r="E908" s="75" t="s">
        <v>2410</v>
      </c>
      <c r="F908" s="75" t="s">
        <v>1509</v>
      </c>
      <c r="G908" s="76">
        <v>45819</v>
      </c>
      <c r="H908" s="75" t="s">
        <v>395</v>
      </c>
      <c r="I908" s="75" t="s">
        <v>10</v>
      </c>
      <c r="J908" s="75">
        <v>500</v>
      </c>
      <c r="K908" s="75" t="str">
        <f t="shared" si="14"/>
        <v>06-2025</v>
      </c>
      <c r="L908" s="51" t="s">
        <v>2600</v>
      </c>
    </row>
    <row r="909" spans="1:12" hidden="1" x14ac:dyDescent="0.35">
      <c r="A909" s="75">
        <v>6289</v>
      </c>
      <c r="B909" s="75" t="s">
        <v>641</v>
      </c>
      <c r="C909" s="75" t="s">
        <v>1508</v>
      </c>
      <c r="D909" s="75" t="s">
        <v>866</v>
      </c>
      <c r="E909" s="75" t="s">
        <v>2411</v>
      </c>
      <c r="F909" s="75" t="s">
        <v>1509</v>
      </c>
      <c r="G909" s="76">
        <v>45819</v>
      </c>
      <c r="H909" s="75" t="s">
        <v>9</v>
      </c>
      <c r="I909" s="75" t="s">
        <v>54</v>
      </c>
      <c r="J909" s="75">
        <v>500</v>
      </c>
      <c r="K909" s="75" t="str">
        <f t="shared" si="14"/>
        <v>06-2025</v>
      </c>
      <c r="L909" s="51" t="s">
        <v>2600</v>
      </c>
    </row>
    <row r="910" spans="1:12" hidden="1" x14ac:dyDescent="0.35">
      <c r="A910" s="75">
        <v>7776</v>
      </c>
      <c r="B910" s="75" t="s">
        <v>2044</v>
      </c>
      <c r="C910" s="75" t="s">
        <v>1508</v>
      </c>
      <c r="D910" s="75" t="s">
        <v>866</v>
      </c>
      <c r="E910" s="75" t="s">
        <v>2412</v>
      </c>
      <c r="F910" s="75" t="s">
        <v>1509</v>
      </c>
      <c r="G910" s="76">
        <v>45818</v>
      </c>
      <c r="H910" s="75" t="s">
        <v>9</v>
      </c>
      <c r="I910" s="75" t="s">
        <v>54</v>
      </c>
      <c r="J910" s="75">
        <v>500</v>
      </c>
      <c r="K910" s="75" t="str">
        <f t="shared" si="14"/>
        <v>06-2025</v>
      </c>
      <c r="L910" s="51" t="s">
        <v>2600</v>
      </c>
    </row>
    <row r="911" spans="1:12" hidden="1" x14ac:dyDescent="0.35">
      <c r="A911" s="75">
        <v>3458</v>
      </c>
      <c r="B911" s="75" t="s">
        <v>452</v>
      </c>
      <c r="C911" s="75" t="s">
        <v>1508</v>
      </c>
      <c r="D911" s="75" t="s">
        <v>866</v>
      </c>
      <c r="E911" s="75" t="s">
        <v>2413</v>
      </c>
      <c r="F911" s="75" t="s">
        <v>1509</v>
      </c>
      <c r="G911" s="76">
        <v>45818</v>
      </c>
      <c r="H911" s="75" t="s">
        <v>9</v>
      </c>
      <c r="I911" s="75" t="s">
        <v>251</v>
      </c>
      <c r="J911" s="75">
        <v>500</v>
      </c>
      <c r="K911" s="75" t="str">
        <f t="shared" si="14"/>
        <v>06-2025</v>
      </c>
      <c r="L911" s="51" t="s">
        <v>2600</v>
      </c>
    </row>
    <row r="912" spans="1:12" hidden="1" x14ac:dyDescent="0.35">
      <c r="A912" s="75">
        <v>3358</v>
      </c>
      <c r="B912" s="75" t="s">
        <v>632</v>
      </c>
      <c r="C912" s="75" t="s">
        <v>1508</v>
      </c>
      <c r="D912" s="75" t="s">
        <v>866</v>
      </c>
      <c r="E912" s="75" t="s">
        <v>2414</v>
      </c>
      <c r="F912" s="75" t="s">
        <v>1509</v>
      </c>
      <c r="G912" s="76">
        <v>45818</v>
      </c>
      <c r="H912" s="75" t="s">
        <v>40</v>
      </c>
      <c r="I912" s="75" t="s">
        <v>32</v>
      </c>
      <c r="J912" s="75">
        <v>500</v>
      </c>
      <c r="K912" s="75" t="str">
        <f t="shared" si="14"/>
        <v>06-2025</v>
      </c>
      <c r="L912" s="51" t="s">
        <v>2600</v>
      </c>
    </row>
    <row r="913" spans="1:12" hidden="1" x14ac:dyDescent="0.35">
      <c r="A913" s="75">
        <v>7216</v>
      </c>
      <c r="B913" s="75" t="s">
        <v>36</v>
      </c>
      <c r="C913" s="75" t="s">
        <v>1508</v>
      </c>
      <c r="D913" s="75" t="s">
        <v>866</v>
      </c>
      <c r="E913" s="75" t="s">
        <v>2415</v>
      </c>
      <c r="F913" s="75" t="s">
        <v>1509</v>
      </c>
      <c r="G913" s="76">
        <v>45818</v>
      </c>
      <c r="H913" s="75" t="s">
        <v>35</v>
      </c>
      <c r="I913" s="75" t="s">
        <v>10</v>
      </c>
      <c r="J913" s="75">
        <v>500</v>
      </c>
      <c r="K913" s="75" t="str">
        <f t="shared" si="14"/>
        <v>06-2025</v>
      </c>
      <c r="L913" s="51" t="s">
        <v>2600</v>
      </c>
    </row>
    <row r="914" spans="1:12" hidden="1" x14ac:dyDescent="0.35">
      <c r="A914" s="75">
        <v>7739</v>
      </c>
      <c r="B914" s="75" t="s">
        <v>344</v>
      </c>
      <c r="C914" s="75" t="s">
        <v>1508</v>
      </c>
      <c r="D914" s="75" t="s">
        <v>866</v>
      </c>
      <c r="E914" s="75" t="s">
        <v>2416</v>
      </c>
      <c r="F914" s="75" t="s">
        <v>1509</v>
      </c>
      <c r="G914" s="76">
        <v>45818</v>
      </c>
      <c r="H914" s="75" t="s">
        <v>9</v>
      </c>
      <c r="I914" s="75" t="s">
        <v>10</v>
      </c>
      <c r="J914" s="75">
        <v>500</v>
      </c>
      <c r="K914" s="75" t="str">
        <f t="shared" si="14"/>
        <v>06-2025</v>
      </c>
      <c r="L914" s="51" t="s">
        <v>2600</v>
      </c>
    </row>
    <row r="915" spans="1:12" hidden="1" x14ac:dyDescent="0.35">
      <c r="A915" s="75">
        <v>7740</v>
      </c>
      <c r="B915" s="75" t="s">
        <v>2345</v>
      </c>
      <c r="C915" s="75" t="s">
        <v>1508</v>
      </c>
      <c r="D915" s="75" t="s">
        <v>866</v>
      </c>
      <c r="E915" s="75" t="s">
        <v>2417</v>
      </c>
      <c r="F915" s="75" t="s">
        <v>1509</v>
      </c>
      <c r="G915" s="76">
        <v>45818</v>
      </c>
      <c r="H915" s="75" t="s">
        <v>9</v>
      </c>
      <c r="I915" s="75" t="s">
        <v>10</v>
      </c>
      <c r="J915" s="75">
        <v>500</v>
      </c>
      <c r="K915" s="75" t="str">
        <f t="shared" si="14"/>
        <v>06-2025</v>
      </c>
      <c r="L915" s="51" t="s">
        <v>2600</v>
      </c>
    </row>
    <row r="916" spans="1:12" hidden="1" x14ac:dyDescent="0.35">
      <c r="A916" s="75">
        <v>6890</v>
      </c>
      <c r="B916" s="75" t="s">
        <v>302</v>
      </c>
      <c r="C916" s="75" t="s">
        <v>1508</v>
      </c>
      <c r="D916" s="75" t="s">
        <v>866</v>
      </c>
      <c r="E916" s="75" t="s">
        <v>2418</v>
      </c>
      <c r="F916" s="75" t="s">
        <v>1509</v>
      </c>
      <c r="G916" s="76">
        <v>45818</v>
      </c>
      <c r="H916" s="75" t="s">
        <v>9</v>
      </c>
      <c r="I916" s="75" t="s">
        <v>10</v>
      </c>
      <c r="J916" s="75">
        <v>500</v>
      </c>
      <c r="K916" s="75" t="str">
        <f t="shared" si="14"/>
        <v>06-2025</v>
      </c>
      <c r="L916" s="51" t="s">
        <v>2600</v>
      </c>
    </row>
    <row r="917" spans="1:12" hidden="1" x14ac:dyDescent="0.35">
      <c r="A917" s="75">
        <v>7455</v>
      </c>
      <c r="B917" s="75" t="s">
        <v>712</v>
      </c>
      <c r="C917" s="75" t="s">
        <v>1508</v>
      </c>
      <c r="D917" s="75" t="s">
        <v>866</v>
      </c>
      <c r="E917" s="75" t="s">
        <v>2419</v>
      </c>
      <c r="F917" s="75" t="s">
        <v>1509</v>
      </c>
      <c r="G917" s="76">
        <v>45818</v>
      </c>
      <c r="H917" s="75" t="s">
        <v>9</v>
      </c>
      <c r="I917" s="75" t="s">
        <v>10</v>
      </c>
      <c r="J917" s="75">
        <v>500</v>
      </c>
      <c r="K917" s="75" t="str">
        <f t="shared" si="14"/>
        <v>06-2025</v>
      </c>
      <c r="L917" s="51" t="s">
        <v>2600</v>
      </c>
    </row>
    <row r="918" spans="1:12" hidden="1" x14ac:dyDescent="0.35">
      <c r="A918" s="75">
        <v>7742</v>
      </c>
      <c r="B918" s="75" t="s">
        <v>339</v>
      </c>
      <c r="C918" s="75">
        <v>7690</v>
      </c>
      <c r="D918" s="75" t="s">
        <v>359</v>
      </c>
      <c r="E918" s="75" t="s">
        <v>2420</v>
      </c>
      <c r="F918" s="75" t="s">
        <v>1510</v>
      </c>
      <c r="G918" s="76">
        <v>45817</v>
      </c>
      <c r="H918" s="75" t="s">
        <v>21</v>
      </c>
      <c r="I918" s="75" t="s">
        <v>10</v>
      </c>
      <c r="J918" s="75">
        <v>0</v>
      </c>
      <c r="K918" s="75" t="str">
        <f t="shared" si="14"/>
        <v>06-2025</v>
      </c>
      <c r="L918" s="51" t="s">
        <v>2600</v>
      </c>
    </row>
    <row r="919" spans="1:12" hidden="1" x14ac:dyDescent="0.35">
      <c r="A919" s="75">
        <v>7675</v>
      </c>
      <c r="B919" s="75" t="s">
        <v>2346</v>
      </c>
      <c r="C919" s="75">
        <v>5252</v>
      </c>
      <c r="D919" s="75" t="s">
        <v>476</v>
      </c>
      <c r="E919" s="75" t="s">
        <v>2421</v>
      </c>
      <c r="F919" s="75" t="s">
        <v>1510</v>
      </c>
      <c r="G919" s="76">
        <v>45817</v>
      </c>
      <c r="H919" s="75" t="s">
        <v>21</v>
      </c>
      <c r="I919" s="75" t="s">
        <v>54</v>
      </c>
      <c r="J919" s="75">
        <v>0</v>
      </c>
      <c r="K919" s="75" t="str">
        <f t="shared" si="14"/>
        <v>06-2025</v>
      </c>
      <c r="L919" s="51" t="s">
        <v>2600</v>
      </c>
    </row>
    <row r="920" spans="1:12" hidden="1" x14ac:dyDescent="0.35">
      <c r="A920" s="75">
        <v>7175</v>
      </c>
      <c r="B920" s="75" t="s">
        <v>1734</v>
      </c>
      <c r="C920" s="75">
        <v>1523</v>
      </c>
      <c r="D920" s="75" t="s">
        <v>1743</v>
      </c>
      <c r="E920" s="75" t="s">
        <v>2422</v>
      </c>
      <c r="F920" s="75" t="s">
        <v>1510</v>
      </c>
      <c r="G920" s="76">
        <v>45812</v>
      </c>
      <c r="H920" s="75" t="s">
        <v>40</v>
      </c>
      <c r="I920" s="75" t="s">
        <v>54</v>
      </c>
      <c r="J920" s="75">
        <v>0</v>
      </c>
      <c r="K920" s="75" t="str">
        <f t="shared" si="14"/>
        <v>06-2025</v>
      </c>
      <c r="L920" s="51" t="s">
        <v>2600</v>
      </c>
    </row>
    <row r="921" spans="1:12" hidden="1" x14ac:dyDescent="0.35">
      <c r="A921" s="75">
        <v>6835</v>
      </c>
      <c r="B921" s="75" t="s">
        <v>839</v>
      </c>
      <c r="C921" s="75">
        <v>1523</v>
      </c>
      <c r="D921" s="75" t="s">
        <v>1743</v>
      </c>
      <c r="E921" s="75" t="s">
        <v>2422</v>
      </c>
      <c r="F921" s="75" t="s">
        <v>1510</v>
      </c>
      <c r="G921" s="76">
        <v>45812</v>
      </c>
      <c r="H921" s="75" t="s">
        <v>40</v>
      </c>
      <c r="I921" s="75" t="s">
        <v>54</v>
      </c>
      <c r="J921" s="75">
        <v>0</v>
      </c>
      <c r="K921" s="75" t="str">
        <f t="shared" si="14"/>
        <v>06-2025</v>
      </c>
      <c r="L921" s="51" t="s">
        <v>2600</v>
      </c>
    </row>
    <row r="922" spans="1:12" hidden="1" x14ac:dyDescent="0.35">
      <c r="A922" s="75">
        <v>7847</v>
      </c>
      <c r="B922" s="75" t="s">
        <v>2347</v>
      </c>
      <c r="C922" s="75">
        <v>1523</v>
      </c>
      <c r="D922" s="75" t="s">
        <v>1743</v>
      </c>
      <c r="E922" s="75" t="s">
        <v>2423</v>
      </c>
      <c r="F922" s="75" t="s">
        <v>1510</v>
      </c>
      <c r="G922" s="76">
        <v>45812</v>
      </c>
      <c r="H922" s="75" t="s">
        <v>40</v>
      </c>
      <c r="I922" s="75" t="s">
        <v>54</v>
      </c>
      <c r="J922" s="75">
        <v>0</v>
      </c>
      <c r="K922" s="75" t="str">
        <f t="shared" si="14"/>
        <v>06-2025</v>
      </c>
      <c r="L922" s="51" t="s">
        <v>2600</v>
      </c>
    </row>
    <row r="923" spans="1:12" hidden="1" x14ac:dyDescent="0.35">
      <c r="A923" s="75">
        <v>4396</v>
      </c>
      <c r="B923" s="75" t="s">
        <v>2348</v>
      </c>
      <c r="C923" s="75">
        <v>1523</v>
      </c>
      <c r="D923" s="75" t="s">
        <v>1743</v>
      </c>
      <c r="E923" s="75" t="s">
        <v>2423</v>
      </c>
      <c r="F923" s="75" t="s">
        <v>1510</v>
      </c>
      <c r="G923" s="76">
        <v>45812</v>
      </c>
      <c r="H923" s="75" t="s">
        <v>40</v>
      </c>
      <c r="I923" s="75" t="s">
        <v>54</v>
      </c>
      <c r="J923" s="75">
        <v>0</v>
      </c>
      <c r="K923" s="75" t="str">
        <f t="shared" si="14"/>
        <v>06-2025</v>
      </c>
      <c r="L923" s="51" t="s">
        <v>2600</v>
      </c>
    </row>
    <row r="924" spans="1:12" hidden="1" x14ac:dyDescent="0.35">
      <c r="A924" s="75">
        <v>7736</v>
      </c>
      <c r="B924" s="75" t="s">
        <v>2349</v>
      </c>
      <c r="C924" s="75">
        <v>1523</v>
      </c>
      <c r="D924" s="75" t="s">
        <v>1743</v>
      </c>
      <c r="E924" s="75" t="s">
        <v>2423</v>
      </c>
      <c r="F924" s="75" t="s">
        <v>1510</v>
      </c>
      <c r="G924" s="76">
        <v>45812</v>
      </c>
      <c r="H924" s="75" t="s">
        <v>40</v>
      </c>
      <c r="I924" s="75" t="s">
        <v>54</v>
      </c>
      <c r="J924" s="75">
        <v>0</v>
      </c>
      <c r="K924" s="75" t="str">
        <f t="shared" si="14"/>
        <v>06-2025</v>
      </c>
      <c r="L924" s="51" t="s">
        <v>2600</v>
      </c>
    </row>
    <row r="925" spans="1:12" hidden="1" x14ac:dyDescent="0.35">
      <c r="A925" s="75">
        <v>5751</v>
      </c>
      <c r="B925" s="75" t="s">
        <v>1841</v>
      </c>
      <c r="C925" s="75">
        <v>1523</v>
      </c>
      <c r="D925" s="75" t="s">
        <v>1743</v>
      </c>
      <c r="E925" s="75" t="s">
        <v>2423</v>
      </c>
      <c r="F925" s="75" t="s">
        <v>1510</v>
      </c>
      <c r="G925" s="76">
        <v>45812</v>
      </c>
      <c r="H925" s="75" t="s">
        <v>40</v>
      </c>
      <c r="I925" s="75" t="s">
        <v>54</v>
      </c>
      <c r="J925" s="75">
        <v>0</v>
      </c>
      <c r="K925" s="75" t="str">
        <f t="shared" si="14"/>
        <v>06-2025</v>
      </c>
      <c r="L925" s="51" t="s">
        <v>2600</v>
      </c>
    </row>
    <row r="926" spans="1:12" hidden="1" x14ac:dyDescent="0.35">
      <c r="A926" s="75">
        <v>6645</v>
      </c>
      <c r="B926" s="75" t="s">
        <v>2350</v>
      </c>
      <c r="C926" s="75">
        <v>1523</v>
      </c>
      <c r="D926" s="75" t="s">
        <v>1743</v>
      </c>
      <c r="E926" s="75" t="s">
        <v>2424</v>
      </c>
      <c r="F926" s="75" t="s">
        <v>1510</v>
      </c>
      <c r="G926" s="76">
        <v>45811</v>
      </c>
      <c r="H926" s="75" t="s">
        <v>40</v>
      </c>
      <c r="I926" s="75" t="s">
        <v>54</v>
      </c>
      <c r="J926" s="75">
        <v>0</v>
      </c>
      <c r="K926" s="75" t="str">
        <f t="shared" si="14"/>
        <v>06-2025</v>
      </c>
      <c r="L926" s="51" t="s">
        <v>2600</v>
      </c>
    </row>
    <row r="927" spans="1:12" hidden="1" x14ac:dyDescent="0.35">
      <c r="A927" s="75">
        <v>7716</v>
      </c>
      <c r="B927" s="75" t="s">
        <v>2351</v>
      </c>
      <c r="C927" s="75">
        <v>1523</v>
      </c>
      <c r="D927" s="75" t="s">
        <v>1743</v>
      </c>
      <c r="E927" s="75" t="s">
        <v>2425</v>
      </c>
      <c r="F927" s="75" t="s">
        <v>1510</v>
      </c>
      <c r="G927" s="76">
        <v>45811</v>
      </c>
      <c r="H927" s="75" t="s">
        <v>40</v>
      </c>
      <c r="I927" s="75" t="s">
        <v>54</v>
      </c>
      <c r="J927" s="75">
        <v>0</v>
      </c>
      <c r="K927" s="75" t="str">
        <f t="shared" si="14"/>
        <v>06-2025</v>
      </c>
      <c r="L927" s="51" t="s">
        <v>2600</v>
      </c>
    </row>
    <row r="928" spans="1:12" hidden="1" x14ac:dyDescent="0.35">
      <c r="A928" s="75">
        <v>5443</v>
      </c>
      <c r="B928" s="75" t="s">
        <v>2352</v>
      </c>
      <c r="C928" s="75">
        <v>1523</v>
      </c>
      <c r="D928" s="75" t="s">
        <v>1743</v>
      </c>
      <c r="E928" s="75" t="s">
        <v>2426</v>
      </c>
      <c r="F928" s="75" t="s">
        <v>1510</v>
      </c>
      <c r="G928" s="76">
        <v>45811</v>
      </c>
      <c r="H928" s="75" t="s">
        <v>40</v>
      </c>
      <c r="I928" s="75" t="s">
        <v>32</v>
      </c>
      <c r="J928" s="75">
        <v>0</v>
      </c>
      <c r="K928" s="75" t="str">
        <f t="shared" si="14"/>
        <v>06-2025</v>
      </c>
      <c r="L928" s="51" t="s">
        <v>2600</v>
      </c>
    </row>
    <row r="929" spans="1:12" hidden="1" x14ac:dyDescent="0.35">
      <c r="A929" s="75">
        <v>7978</v>
      </c>
      <c r="B929" s="75" t="s">
        <v>2079</v>
      </c>
      <c r="C929" s="75">
        <v>7777</v>
      </c>
      <c r="D929" s="75" t="s">
        <v>652</v>
      </c>
      <c r="E929" s="75" t="s">
        <v>2427</v>
      </c>
      <c r="F929" s="75" t="s">
        <v>1509</v>
      </c>
      <c r="G929" s="76">
        <v>45810</v>
      </c>
      <c r="H929" s="75" t="s">
        <v>73</v>
      </c>
      <c r="I929" s="75" t="s">
        <v>32</v>
      </c>
      <c r="J929" s="75">
        <v>500</v>
      </c>
      <c r="K929" s="75" t="str">
        <f t="shared" si="14"/>
        <v>06-2025</v>
      </c>
      <c r="L929" s="51" t="s">
        <v>2600</v>
      </c>
    </row>
    <row r="930" spans="1:12" hidden="1" x14ac:dyDescent="0.35">
      <c r="A930" s="75">
        <v>7503</v>
      </c>
      <c r="B930" s="75" t="s">
        <v>2337</v>
      </c>
      <c r="C930" s="75">
        <v>6890</v>
      </c>
      <c r="D930" s="75" t="s">
        <v>302</v>
      </c>
      <c r="E930" s="75" t="s">
        <v>2428</v>
      </c>
      <c r="F930" s="75" t="s">
        <v>1510</v>
      </c>
      <c r="G930" s="76">
        <v>45807</v>
      </c>
      <c r="H930" s="75" t="s">
        <v>73</v>
      </c>
      <c r="I930" s="75" t="s">
        <v>54</v>
      </c>
      <c r="J930" s="75">
        <v>0</v>
      </c>
      <c r="K930" s="75" t="str">
        <f t="shared" si="14"/>
        <v>05-2025</v>
      </c>
      <c r="L930" s="51" t="s">
        <v>2600</v>
      </c>
    </row>
    <row r="931" spans="1:12" hidden="1" x14ac:dyDescent="0.35">
      <c r="A931" s="75">
        <v>2186</v>
      </c>
      <c r="B931" s="75" t="s">
        <v>2336</v>
      </c>
      <c r="C931" s="75">
        <v>1591</v>
      </c>
      <c r="D931" s="75" t="s">
        <v>590</v>
      </c>
      <c r="E931" s="75" t="s">
        <v>2429</v>
      </c>
      <c r="F931" s="75" t="s">
        <v>1510</v>
      </c>
      <c r="G931" s="76">
        <v>45806</v>
      </c>
      <c r="H931" s="75" t="s">
        <v>9</v>
      </c>
      <c r="I931" s="75" t="s">
        <v>251</v>
      </c>
      <c r="J931" s="75">
        <v>0</v>
      </c>
      <c r="K931" s="75" t="str">
        <f t="shared" si="14"/>
        <v>05-2025</v>
      </c>
      <c r="L931" s="51" t="s">
        <v>2600</v>
      </c>
    </row>
    <row r="932" spans="1:12" hidden="1" x14ac:dyDescent="0.35">
      <c r="A932" s="75">
        <v>6637</v>
      </c>
      <c r="B932" s="75" t="s">
        <v>2120</v>
      </c>
      <c r="C932" s="75">
        <v>3279</v>
      </c>
      <c r="D932" s="75" t="s">
        <v>2143</v>
      </c>
      <c r="E932" s="75" t="s">
        <v>2430</v>
      </c>
      <c r="F932" s="75" t="s">
        <v>1510</v>
      </c>
      <c r="G932" s="76">
        <v>45806</v>
      </c>
      <c r="H932" s="75" t="s">
        <v>40</v>
      </c>
      <c r="I932" s="75" t="s">
        <v>54</v>
      </c>
      <c r="J932" s="75">
        <v>0</v>
      </c>
      <c r="K932" s="75" t="str">
        <f t="shared" si="14"/>
        <v>05-2025</v>
      </c>
      <c r="L932" s="51" t="s">
        <v>2600</v>
      </c>
    </row>
    <row r="933" spans="1:12" hidden="1" x14ac:dyDescent="0.35">
      <c r="A933" s="75">
        <v>1363</v>
      </c>
      <c r="B933" s="75" t="s">
        <v>2339</v>
      </c>
      <c r="C933" s="75">
        <v>1523</v>
      </c>
      <c r="D933" s="75" t="s">
        <v>1743</v>
      </c>
      <c r="E933" s="75" t="s">
        <v>2431</v>
      </c>
      <c r="F933" s="75" t="s">
        <v>1510</v>
      </c>
      <c r="G933" s="76">
        <v>45801</v>
      </c>
      <c r="H933" s="75" t="s">
        <v>40</v>
      </c>
      <c r="I933" s="75" t="s">
        <v>54</v>
      </c>
      <c r="J933" s="75">
        <v>0</v>
      </c>
      <c r="K933" s="75" t="str">
        <f t="shared" si="14"/>
        <v>05-2025</v>
      </c>
      <c r="L933" s="51" t="s">
        <v>2600</v>
      </c>
    </row>
    <row r="934" spans="1:12" hidden="1" x14ac:dyDescent="0.35">
      <c r="A934" s="75">
        <v>5429</v>
      </c>
      <c r="B934" s="75" t="s">
        <v>2338</v>
      </c>
      <c r="C934" s="75">
        <v>1523</v>
      </c>
      <c r="D934" s="75" t="s">
        <v>1743</v>
      </c>
      <c r="E934" s="75" t="s">
        <v>2432</v>
      </c>
      <c r="F934" s="75" t="s">
        <v>1510</v>
      </c>
      <c r="G934" s="76">
        <v>45801</v>
      </c>
      <c r="H934" s="75" t="s">
        <v>40</v>
      </c>
      <c r="I934" s="75" t="s">
        <v>54</v>
      </c>
      <c r="J934" s="75">
        <v>0</v>
      </c>
      <c r="K934" s="75" t="str">
        <f t="shared" si="14"/>
        <v>05-2025</v>
      </c>
      <c r="L934" s="51" t="s">
        <v>2600</v>
      </c>
    </row>
    <row r="935" spans="1:12" hidden="1" x14ac:dyDescent="0.35">
      <c r="A935" s="75">
        <v>7756</v>
      </c>
      <c r="B935" s="75" t="s">
        <v>65</v>
      </c>
      <c r="C935" s="75">
        <v>4004</v>
      </c>
      <c r="D935" s="75" t="s">
        <v>172</v>
      </c>
      <c r="E935" s="75" t="s">
        <v>2433</v>
      </c>
      <c r="F935" s="75" t="s">
        <v>1510</v>
      </c>
      <c r="G935" s="76">
        <v>45800</v>
      </c>
      <c r="H935" s="75" t="s">
        <v>9</v>
      </c>
      <c r="I935" s="75" t="s">
        <v>32</v>
      </c>
      <c r="J935" s="75">
        <v>0</v>
      </c>
      <c r="K935" s="75" t="str">
        <f t="shared" si="14"/>
        <v>05-2025</v>
      </c>
      <c r="L935" s="51" t="s">
        <v>2600</v>
      </c>
    </row>
    <row r="936" spans="1:12" hidden="1" x14ac:dyDescent="0.35">
      <c r="A936" s="75">
        <v>3926</v>
      </c>
      <c r="B936" s="75" t="s">
        <v>852</v>
      </c>
      <c r="C936" s="75">
        <v>4728</v>
      </c>
      <c r="D936" s="75" t="s">
        <v>2356</v>
      </c>
      <c r="E936" s="75" t="s">
        <v>2434</v>
      </c>
      <c r="F936" s="75" t="s">
        <v>1510</v>
      </c>
      <c r="G936" s="76">
        <v>45798</v>
      </c>
      <c r="H936" s="75" t="s">
        <v>40</v>
      </c>
      <c r="I936" s="75" t="s">
        <v>32</v>
      </c>
      <c r="J936" s="75">
        <v>0</v>
      </c>
      <c r="K936" s="75" t="str">
        <f t="shared" si="14"/>
        <v>05-2025</v>
      </c>
      <c r="L936" s="51" t="s">
        <v>2600</v>
      </c>
    </row>
    <row r="937" spans="1:12" hidden="1" x14ac:dyDescent="0.35">
      <c r="A937" s="75">
        <v>7576</v>
      </c>
      <c r="B937" s="75" t="s">
        <v>422</v>
      </c>
      <c r="C937" s="75">
        <v>7957</v>
      </c>
      <c r="D937" s="75" t="s">
        <v>2357</v>
      </c>
      <c r="E937" s="75" t="s">
        <v>2435</v>
      </c>
      <c r="F937" s="75" t="s">
        <v>1510</v>
      </c>
      <c r="G937" s="76">
        <v>45797</v>
      </c>
      <c r="H937" s="75" t="s">
        <v>73</v>
      </c>
      <c r="I937" s="75" t="s">
        <v>10</v>
      </c>
      <c r="J937" s="75">
        <v>0</v>
      </c>
      <c r="K937" s="75" t="str">
        <f t="shared" si="14"/>
        <v>05-2025</v>
      </c>
      <c r="L937" s="51" t="s">
        <v>2600</v>
      </c>
    </row>
    <row r="938" spans="1:12" hidden="1" x14ac:dyDescent="0.35">
      <c r="A938" s="75">
        <v>7807</v>
      </c>
      <c r="B938" s="75" t="s">
        <v>458</v>
      </c>
      <c r="C938" s="75">
        <v>3469</v>
      </c>
      <c r="D938" s="75" t="s">
        <v>459</v>
      </c>
      <c r="E938" s="75" t="s">
        <v>2436</v>
      </c>
      <c r="F938" s="75" t="s">
        <v>1509</v>
      </c>
      <c r="G938" s="76">
        <v>45792</v>
      </c>
      <c r="H938" s="75" t="s">
        <v>21</v>
      </c>
      <c r="I938" s="75" t="s">
        <v>54</v>
      </c>
      <c r="J938" s="75">
        <v>500</v>
      </c>
      <c r="K938" s="75" t="str">
        <f t="shared" si="14"/>
        <v>05-2025</v>
      </c>
      <c r="L938" s="51" t="s">
        <v>2600</v>
      </c>
    </row>
    <row r="939" spans="1:12" hidden="1" x14ac:dyDescent="0.35">
      <c r="A939" s="75">
        <v>2321</v>
      </c>
      <c r="B939" s="75" t="s">
        <v>795</v>
      </c>
      <c r="C939" s="75">
        <v>4004</v>
      </c>
      <c r="D939" s="75" t="s">
        <v>172</v>
      </c>
      <c r="E939" s="75" t="s">
        <v>2437</v>
      </c>
      <c r="F939" s="75" t="s">
        <v>1510</v>
      </c>
      <c r="G939" s="76">
        <v>45790</v>
      </c>
      <c r="H939" s="75" t="s">
        <v>16</v>
      </c>
      <c r="I939" s="75" t="s">
        <v>54</v>
      </c>
      <c r="J939" s="75">
        <v>0</v>
      </c>
      <c r="K939" s="75" t="str">
        <f t="shared" si="14"/>
        <v>05-2025</v>
      </c>
      <c r="L939" s="51" t="s">
        <v>2600</v>
      </c>
    </row>
    <row r="940" spans="1:12" hidden="1" x14ac:dyDescent="0.35">
      <c r="A940" s="75">
        <v>1585</v>
      </c>
      <c r="B940" s="75" t="s">
        <v>258</v>
      </c>
      <c r="C940" s="75">
        <v>4004</v>
      </c>
      <c r="D940" s="75" t="s">
        <v>172</v>
      </c>
      <c r="E940" s="75" t="s">
        <v>2438</v>
      </c>
      <c r="F940" s="75" t="s">
        <v>1510</v>
      </c>
      <c r="G940" s="76">
        <v>45790</v>
      </c>
      <c r="H940" s="75" t="s">
        <v>53</v>
      </c>
      <c r="I940" s="75" t="s">
        <v>54</v>
      </c>
      <c r="J940" s="75">
        <v>0</v>
      </c>
      <c r="K940" s="75" t="str">
        <f t="shared" si="14"/>
        <v>05-2025</v>
      </c>
      <c r="L940" s="51" t="s">
        <v>2600</v>
      </c>
    </row>
    <row r="941" spans="1:12" hidden="1" x14ac:dyDescent="0.35">
      <c r="A941" s="75">
        <v>2244</v>
      </c>
      <c r="B941" s="75" t="s">
        <v>416</v>
      </c>
      <c r="C941" s="75">
        <v>4004</v>
      </c>
      <c r="D941" s="75" t="s">
        <v>172</v>
      </c>
      <c r="E941" s="75" t="s">
        <v>2439</v>
      </c>
      <c r="F941" s="75" t="s">
        <v>1510</v>
      </c>
      <c r="G941" s="76">
        <v>45790</v>
      </c>
      <c r="H941" s="75" t="s">
        <v>53</v>
      </c>
      <c r="I941" s="75" t="s">
        <v>54</v>
      </c>
      <c r="J941" s="75">
        <v>0</v>
      </c>
      <c r="K941" s="75" t="str">
        <f t="shared" si="14"/>
        <v>05-2025</v>
      </c>
      <c r="L941" s="51" t="s">
        <v>2600</v>
      </c>
    </row>
    <row r="942" spans="1:12" hidden="1" x14ac:dyDescent="0.35">
      <c r="A942" s="75">
        <v>5387</v>
      </c>
      <c r="B942" s="75" t="s">
        <v>807</v>
      </c>
      <c r="C942" s="75">
        <v>4004</v>
      </c>
      <c r="D942" s="75" t="s">
        <v>172</v>
      </c>
      <c r="E942" s="75" t="s">
        <v>2440</v>
      </c>
      <c r="F942" s="75" t="s">
        <v>1510</v>
      </c>
      <c r="G942" s="76">
        <v>45790</v>
      </c>
      <c r="H942" s="75" t="s">
        <v>73</v>
      </c>
      <c r="I942" s="75" t="s">
        <v>54</v>
      </c>
      <c r="J942" s="75">
        <v>0</v>
      </c>
      <c r="K942" s="75" t="str">
        <f t="shared" si="14"/>
        <v>05-2025</v>
      </c>
      <c r="L942" s="51" t="s">
        <v>2600</v>
      </c>
    </row>
    <row r="943" spans="1:12" hidden="1" x14ac:dyDescent="0.35">
      <c r="A943" s="75">
        <v>7594</v>
      </c>
      <c r="B943" s="75" t="s">
        <v>846</v>
      </c>
      <c r="C943" s="75">
        <v>4004</v>
      </c>
      <c r="D943" s="75" t="s">
        <v>172</v>
      </c>
      <c r="E943" s="75" t="s">
        <v>2441</v>
      </c>
      <c r="F943" s="75" t="s">
        <v>1510</v>
      </c>
      <c r="G943" s="76">
        <v>45790</v>
      </c>
      <c r="H943" s="75" t="s">
        <v>53</v>
      </c>
      <c r="I943" s="75" t="s">
        <v>54</v>
      </c>
      <c r="J943" s="75">
        <v>0</v>
      </c>
      <c r="K943" s="75" t="str">
        <f t="shared" si="14"/>
        <v>05-2025</v>
      </c>
      <c r="L943" s="51" t="s">
        <v>2600</v>
      </c>
    </row>
    <row r="944" spans="1:12" hidden="1" x14ac:dyDescent="0.35">
      <c r="A944" s="75">
        <v>2366</v>
      </c>
      <c r="B944" s="75" t="s">
        <v>2353</v>
      </c>
      <c r="C944" s="75">
        <v>107</v>
      </c>
      <c r="D944" s="75" t="s">
        <v>1535</v>
      </c>
      <c r="E944" s="75" t="s">
        <v>2442</v>
      </c>
      <c r="F944" s="75" t="s">
        <v>1510</v>
      </c>
      <c r="G944" s="76">
        <v>45786</v>
      </c>
      <c r="H944" s="75" t="s">
        <v>73</v>
      </c>
      <c r="I944" s="75" t="s">
        <v>54</v>
      </c>
      <c r="J944" s="75">
        <v>0</v>
      </c>
      <c r="K944" s="75" t="str">
        <f t="shared" si="14"/>
        <v>05-2025</v>
      </c>
      <c r="L944" s="51" t="s">
        <v>2600</v>
      </c>
    </row>
    <row r="945" spans="1:12" hidden="1" x14ac:dyDescent="0.35">
      <c r="A945" s="75">
        <v>7430</v>
      </c>
      <c r="B945" s="75" t="s">
        <v>1520</v>
      </c>
      <c r="C945" s="75">
        <v>107</v>
      </c>
      <c r="D945" s="75" t="s">
        <v>1535</v>
      </c>
      <c r="E945" s="75" t="s">
        <v>2442</v>
      </c>
      <c r="F945" s="75" t="s">
        <v>1510</v>
      </c>
      <c r="G945" s="76">
        <v>45786</v>
      </c>
      <c r="H945" s="75" t="s">
        <v>16</v>
      </c>
      <c r="I945" s="75" t="s">
        <v>54</v>
      </c>
      <c r="J945" s="75">
        <v>0</v>
      </c>
      <c r="K945" s="75" t="str">
        <f t="shared" si="14"/>
        <v>05-2025</v>
      </c>
      <c r="L945" s="51" t="s">
        <v>2600</v>
      </c>
    </row>
    <row r="946" spans="1:12" hidden="1" x14ac:dyDescent="0.35">
      <c r="A946" s="75">
        <v>2026</v>
      </c>
      <c r="B946" s="75" t="s">
        <v>465</v>
      </c>
      <c r="C946" s="75">
        <v>107</v>
      </c>
      <c r="D946" s="75" t="s">
        <v>1535</v>
      </c>
      <c r="E946" s="75" t="s">
        <v>2442</v>
      </c>
      <c r="F946" s="75" t="s">
        <v>1510</v>
      </c>
      <c r="G946" s="76">
        <v>45786</v>
      </c>
      <c r="H946" s="75" t="s">
        <v>16</v>
      </c>
      <c r="I946" s="75" t="s">
        <v>10</v>
      </c>
      <c r="J946" s="75">
        <v>0</v>
      </c>
      <c r="K946" s="75" t="str">
        <f t="shared" si="14"/>
        <v>05-2025</v>
      </c>
      <c r="L946" s="51" t="s">
        <v>2600</v>
      </c>
    </row>
    <row r="947" spans="1:12" hidden="1" x14ac:dyDescent="0.35">
      <c r="A947" s="75">
        <v>6968</v>
      </c>
      <c r="B947" s="75" t="s">
        <v>2354</v>
      </c>
      <c r="C947" s="75">
        <v>107</v>
      </c>
      <c r="D947" s="75" t="s">
        <v>1535</v>
      </c>
      <c r="E947" s="75" t="s">
        <v>2442</v>
      </c>
      <c r="F947" s="75" t="s">
        <v>1510</v>
      </c>
      <c r="G947" s="76">
        <v>45786</v>
      </c>
      <c r="H947" s="75" t="s">
        <v>24</v>
      </c>
      <c r="I947" s="75" t="s">
        <v>54</v>
      </c>
      <c r="J947" s="75">
        <v>0</v>
      </c>
      <c r="K947" s="75" t="str">
        <f t="shared" si="14"/>
        <v>05-2025</v>
      </c>
      <c r="L947" s="51" t="s">
        <v>2600</v>
      </c>
    </row>
    <row r="948" spans="1:12" hidden="1" x14ac:dyDescent="0.35">
      <c r="A948" s="75">
        <v>1363</v>
      </c>
      <c r="B948" s="75" t="s">
        <v>2339</v>
      </c>
      <c r="C948" s="75">
        <v>1523</v>
      </c>
      <c r="D948" s="75" t="s">
        <v>1743</v>
      </c>
      <c r="E948" s="75" t="s">
        <v>2443</v>
      </c>
      <c r="F948" s="75" t="s">
        <v>1510</v>
      </c>
      <c r="G948" s="76">
        <v>45785</v>
      </c>
      <c r="H948" s="75" t="s">
        <v>40</v>
      </c>
      <c r="I948" s="75" t="s">
        <v>54</v>
      </c>
      <c r="J948" s="75">
        <v>0</v>
      </c>
      <c r="K948" s="75" t="str">
        <f t="shared" si="14"/>
        <v>05-2025</v>
      </c>
      <c r="L948" s="51" t="s">
        <v>2600</v>
      </c>
    </row>
    <row r="949" spans="1:12" hidden="1" x14ac:dyDescent="0.35">
      <c r="A949" s="75">
        <v>5429</v>
      </c>
      <c r="B949" s="75" t="s">
        <v>2338</v>
      </c>
      <c r="C949" s="75">
        <v>1523</v>
      </c>
      <c r="D949" s="75" t="s">
        <v>1743</v>
      </c>
      <c r="E949" s="75" t="s">
        <v>2444</v>
      </c>
      <c r="F949" s="75" t="s">
        <v>1510</v>
      </c>
      <c r="G949" s="76">
        <v>45785</v>
      </c>
      <c r="H949" s="75" t="s">
        <v>40</v>
      </c>
      <c r="I949" s="75" t="s">
        <v>54</v>
      </c>
      <c r="J949" s="75">
        <v>0</v>
      </c>
      <c r="K949" s="75" t="str">
        <f t="shared" si="14"/>
        <v>05-2025</v>
      </c>
      <c r="L949" s="51" t="s">
        <v>2600</v>
      </c>
    </row>
    <row r="950" spans="1:12" hidden="1" x14ac:dyDescent="0.35">
      <c r="A950" s="75">
        <v>7776</v>
      </c>
      <c r="B950" s="75" t="s">
        <v>2044</v>
      </c>
      <c r="C950" s="75">
        <v>4009</v>
      </c>
      <c r="D950" s="75" t="s">
        <v>602</v>
      </c>
      <c r="E950" s="75" t="s">
        <v>2445</v>
      </c>
      <c r="F950" s="75" t="s">
        <v>1510</v>
      </c>
      <c r="G950" s="76">
        <v>45783</v>
      </c>
      <c r="H950" s="75" t="s">
        <v>9</v>
      </c>
      <c r="I950" s="75" t="s">
        <v>10</v>
      </c>
      <c r="J950" s="75">
        <v>0</v>
      </c>
      <c r="K950" s="75" t="str">
        <f t="shared" si="14"/>
        <v>05-2025</v>
      </c>
      <c r="L950" s="51" t="s">
        <v>2600</v>
      </c>
    </row>
    <row r="951" spans="1:12" hidden="1" x14ac:dyDescent="0.35">
      <c r="A951" s="75">
        <v>7238</v>
      </c>
      <c r="B951" s="75" t="s">
        <v>798</v>
      </c>
      <c r="C951" s="75">
        <v>7634</v>
      </c>
      <c r="D951" s="75" t="s">
        <v>117</v>
      </c>
      <c r="E951" s="75" t="s">
        <v>2446</v>
      </c>
      <c r="F951" s="75" t="s">
        <v>1509</v>
      </c>
      <c r="G951" s="76">
        <v>45782</v>
      </c>
      <c r="H951" s="75" t="s">
        <v>168</v>
      </c>
      <c r="I951" s="75" t="s">
        <v>10</v>
      </c>
      <c r="J951" s="75">
        <v>500</v>
      </c>
      <c r="K951" s="75" t="str">
        <f t="shared" si="14"/>
        <v>05-2025</v>
      </c>
      <c r="L951" s="51" t="s">
        <v>2600</v>
      </c>
    </row>
    <row r="952" spans="1:12" hidden="1" x14ac:dyDescent="0.35">
      <c r="A952" s="75">
        <v>7455</v>
      </c>
      <c r="B952" s="75" t="s">
        <v>712</v>
      </c>
      <c r="C952" s="75">
        <v>7808</v>
      </c>
      <c r="D952" s="75" t="s">
        <v>177</v>
      </c>
      <c r="E952" s="75" t="s">
        <v>2447</v>
      </c>
      <c r="F952" s="75" t="s">
        <v>1510</v>
      </c>
      <c r="G952" s="76">
        <v>45775</v>
      </c>
      <c r="H952" s="75" t="s">
        <v>9</v>
      </c>
      <c r="I952" s="75" t="s">
        <v>10</v>
      </c>
      <c r="J952" s="75">
        <v>0</v>
      </c>
      <c r="K952" s="75" t="str">
        <f t="shared" si="14"/>
        <v>04-2025</v>
      </c>
      <c r="L952" s="51" t="s">
        <v>2600</v>
      </c>
    </row>
    <row r="953" spans="1:12" hidden="1" x14ac:dyDescent="0.35">
      <c r="A953" s="75">
        <v>6890</v>
      </c>
      <c r="B953" s="75" t="s">
        <v>302</v>
      </c>
      <c r="C953" s="75">
        <v>7811</v>
      </c>
      <c r="D953" s="75" t="s">
        <v>355</v>
      </c>
      <c r="E953" s="75" t="s">
        <v>2448</v>
      </c>
      <c r="F953" s="75" t="s">
        <v>1510</v>
      </c>
      <c r="G953" s="76">
        <v>45775</v>
      </c>
      <c r="H953" s="75" t="s">
        <v>9</v>
      </c>
      <c r="I953" s="75" t="s">
        <v>251</v>
      </c>
      <c r="J953" s="75">
        <v>0</v>
      </c>
      <c r="K953" s="75" t="str">
        <f t="shared" si="14"/>
        <v>04-2025</v>
      </c>
      <c r="L953" s="51" t="s">
        <v>2600</v>
      </c>
    </row>
    <row r="954" spans="1:12" hidden="1" x14ac:dyDescent="0.35">
      <c r="A954" s="75">
        <v>3358</v>
      </c>
      <c r="B954" s="75" t="s">
        <v>632</v>
      </c>
      <c r="C954" s="75">
        <v>7689</v>
      </c>
      <c r="D954" s="75" t="s">
        <v>658</v>
      </c>
      <c r="E954" s="75" t="s">
        <v>2449</v>
      </c>
      <c r="F954" s="75" t="s">
        <v>1510</v>
      </c>
      <c r="G954" s="76">
        <v>45772</v>
      </c>
      <c r="H954" s="75" t="s">
        <v>40</v>
      </c>
      <c r="I954" s="75" t="s">
        <v>54</v>
      </c>
      <c r="J954" s="75">
        <v>0</v>
      </c>
      <c r="K954" s="75" t="str">
        <f t="shared" si="14"/>
        <v>04-2025</v>
      </c>
      <c r="L954" s="51" t="s">
        <v>2600</v>
      </c>
    </row>
    <row r="955" spans="1:12" hidden="1" x14ac:dyDescent="0.35">
      <c r="A955" s="75">
        <v>4935</v>
      </c>
      <c r="B955" s="75" t="s">
        <v>753</v>
      </c>
      <c r="C955" s="75" t="s">
        <v>1508</v>
      </c>
      <c r="D955" s="75" t="s">
        <v>866</v>
      </c>
      <c r="E955" s="75" t="s">
        <v>2450</v>
      </c>
      <c r="F955" s="75" t="s">
        <v>1509</v>
      </c>
      <c r="G955" s="76">
        <v>45770</v>
      </c>
      <c r="H955" s="75" t="s">
        <v>35</v>
      </c>
      <c r="I955" s="75" t="s">
        <v>10</v>
      </c>
      <c r="J955" s="75">
        <v>500</v>
      </c>
      <c r="K955" s="75" t="str">
        <f t="shared" si="14"/>
        <v>04-2025</v>
      </c>
      <c r="L955" s="51" t="s">
        <v>2600</v>
      </c>
    </row>
    <row r="956" spans="1:12" hidden="1" x14ac:dyDescent="0.35">
      <c r="A956" s="75">
        <v>7819</v>
      </c>
      <c r="B956" s="75" t="s">
        <v>2115</v>
      </c>
      <c r="C956" s="75" t="s">
        <v>1508</v>
      </c>
      <c r="D956" s="75" t="s">
        <v>866</v>
      </c>
      <c r="E956" s="75" t="s">
        <v>2451</v>
      </c>
      <c r="F956" s="75" t="s">
        <v>1509</v>
      </c>
      <c r="G956" s="76">
        <v>45770</v>
      </c>
      <c r="H956" s="75" t="s">
        <v>9</v>
      </c>
      <c r="I956" s="75" t="s">
        <v>32</v>
      </c>
      <c r="J956" s="75">
        <v>500</v>
      </c>
      <c r="K956" s="75" t="str">
        <f t="shared" si="14"/>
        <v>04-2025</v>
      </c>
      <c r="L956" s="51" t="s">
        <v>2600</v>
      </c>
    </row>
    <row r="957" spans="1:12" hidden="1" x14ac:dyDescent="0.35">
      <c r="A957" s="75">
        <v>7287</v>
      </c>
      <c r="B957" s="75" t="s">
        <v>744</v>
      </c>
      <c r="C957" s="75" t="s">
        <v>1508</v>
      </c>
      <c r="D957" s="75" t="s">
        <v>866</v>
      </c>
      <c r="E957" s="75" t="s">
        <v>2452</v>
      </c>
      <c r="F957" s="75" t="s">
        <v>1509</v>
      </c>
      <c r="G957" s="76">
        <v>45770</v>
      </c>
      <c r="H957" s="75" t="s">
        <v>35</v>
      </c>
      <c r="I957" s="75" t="s">
        <v>251</v>
      </c>
      <c r="J957" s="75">
        <v>500</v>
      </c>
      <c r="K957" s="75" t="str">
        <f t="shared" si="14"/>
        <v>04-2025</v>
      </c>
      <c r="L957" s="51" t="s">
        <v>2600</v>
      </c>
    </row>
    <row r="958" spans="1:12" hidden="1" x14ac:dyDescent="0.35">
      <c r="A958" s="75">
        <v>7921</v>
      </c>
      <c r="B958" s="75" t="s">
        <v>2116</v>
      </c>
      <c r="C958" s="75" t="s">
        <v>1508</v>
      </c>
      <c r="D958" s="75" t="s">
        <v>866</v>
      </c>
      <c r="E958" s="75" t="s">
        <v>2453</v>
      </c>
      <c r="F958" s="75" t="s">
        <v>1509</v>
      </c>
      <c r="G958" s="76">
        <v>45770</v>
      </c>
      <c r="H958" s="75" t="s">
        <v>73</v>
      </c>
      <c r="I958" s="75" t="e">
        <v>#N/A</v>
      </c>
      <c r="J958" s="75">
        <v>500</v>
      </c>
      <c r="K958" s="75" t="str">
        <f t="shared" si="14"/>
        <v>04-2025</v>
      </c>
      <c r="L958" s="51" t="s">
        <v>2600</v>
      </c>
    </row>
    <row r="959" spans="1:12" hidden="1" x14ac:dyDescent="0.35">
      <c r="A959" s="75">
        <v>6762</v>
      </c>
      <c r="B959" s="75" t="s">
        <v>2117</v>
      </c>
      <c r="C959" s="75" t="s">
        <v>1508</v>
      </c>
      <c r="D959" s="75" t="s">
        <v>866</v>
      </c>
      <c r="E959" s="75" t="s">
        <v>2453</v>
      </c>
      <c r="F959" s="75" t="s">
        <v>1509</v>
      </c>
      <c r="G959" s="76">
        <v>45770</v>
      </c>
      <c r="H959" s="75" t="s">
        <v>73</v>
      </c>
      <c r="I959" s="75" t="s">
        <v>251</v>
      </c>
      <c r="J959" s="75">
        <v>500</v>
      </c>
      <c r="K959" s="75" t="str">
        <f t="shared" si="14"/>
        <v>04-2025</v>
      </c>
      <c r="L959" s="51" t="s">
        <v>2600</v>
      </c>
    </row>
    <row r="960" spans="1:12" hidden="1" x14ac:dyDescent="0.35">
      <c r="A960" s="75">
        <v>7923</v>
      </c>
      <c r="B960" s="75" t="s">
        <v>1847</v>
      </c>
      <c r="C960" s="75" t="s">
        <v>1508</v>
      </c>
      <c r="D960" s="75" t="s">
        <v>866</v>
      </c>
      <c r="E960" s="75" t="s">
        <v>2453</v>
      </c>
      <c r="F960" s="75" t="s">
        <v>1509</v>
      </c>
      <c r="G960" s="76">
        <v>45770</v>
      </c>
      <c r="H960" s="75" t="s">
        <v>73</v>
      </c>
      <c r="I960" s="75" t="s">
        <v>32</v>
      </c>
      <c r="J960" s="75">
        <v>500</v>
      </c>
      <c r="K960" s="75" t="str">
        <f t="shared" si="14"/>
        <v>04-2025</v>
      </c>
      <c r="L960" s="51" t="s">
        <v>2600</v>
      </c>
    </row>
    <row r="961" spans="1:12" hidden="1" x14ac:dyDescent="0.35">
      <c r="A961" s="75">
        <v>1470</v>
      </c>
      <c r="B961" s="75" t="s">
        <v>2118</v>
      </c>
      <c r="C961" s="75" t="s">
        <v>1508</v>
      </c>
      <c r="D961" s="75" t="s">
        <v>866</v>
      </c>
      <c r="E961" s="75" t="s">
        <v>2454</v>
      </c>
      <c r="F961" s="75" t="s">
        <v>1509</v>
      </c>
      <c r="G961" s="76">
        <v>45770</v>
      </c>
      <c r="H961" s="75" t="s">
        <v>40</v>
      </c>
      <c r="I961" s="75" t="s">
        <v>54</v>
      </c>
      <c r="J961" s="75">
        <v>500</v>
      </c>
      <c r="K961" s="75" t="str">
        <f t="shared" si="14"/>
        <v>04-2025</v>
      </c>
      <c r="L961" s="51" t="s">
        <v>2600</v>
      </c>
    </row>
    <row r="962" spans="1:12" hidden="1" x14ac:dyDescent="0.35">
      <c r="A962" s="75">
        <v>7644</v>
      </c>
      <c r="B962" s="75" t="s">
        <v>67</v>
      </c>
      <c r="C962" s="75" t="s">
        <v>1508</v>
      </c>
      <c r="D962" s="75" t="s">
        <v>866</v>
      </c>
      <c r="E962" s="75" t="s">
        <v>2455</v>
      </c>
      <c r="F962" s="75" t="s">
        <v>1509</v>
      </c>
      <c r="G962" s="76">
        <v>45770</v>
      </c>
      <c r="H962" s="75" t="s">
        <v>9</v>
      </c>
      <c r="I962" s="75" t="s">
        <v>54</v>
      </c>
      <c r="J962" s="75">
        <v>500</v>
      </c>
      <c r="K962" s="75" t="str">
        <f t="shared" si="14"/>
        <v>04-2025</v>
      </c>
      <c r="L962" s="51" t="s">
        <v>2600</v>
      </c>
    </row>
    <row r="963" spans="1:12" hidden="1" x14ac:dyDescent="0.35">
      <c r="A963" s="75">
        <v>7776</v>
      </c>
      <c r="B963" s="75" t="s">
        <v>2044</v>
      </c>
      <c r="C963" s="75" t="s">
        <v>1508</v>
      </c>
      <c r="D963" s="75" t="s">
        <v>866</v>
      </c>
      <c r="E963" s="75" t="s">
        <v>2456</v>
      </c>
      <c r="F963" s="75" t="s">
        <v>1509</v>
      </c>
      <c r="G963" s="76">
        <v>45770</v>
      </c>
      <c r="H963" s="75" t="s">
        <v>9</v>
      </c>
      <c r="I963" s="75" t="s">
        <v>32</v>
      </c>
      <c r="J963" s="75">
        <v>500</v>
      </c>
      <c r="K963" s="75" t="str">
        <f t="shared" ref="K963:K1026" si="15">TEXT(G963,"mm-yyyy")</f>
        <v>04-2025</v>
      </c>
      <c r="L963" s="51" t="s">
        <v>2600</v>
      </c>
    </row>
    <row r="964" spans="1:12" hidden="1" x14ac:dyDescent="0.35">
      <c r="A964" s="75">
        <v>7274</v>
      </c>
      <c r="B964" s="75" t="s">
        <v>2119</v>
      </c>
      <c r="C964" s="75" t="s">
        <v>1508</v>
      </c>
      <c r="D964" s="75" t="s">
        <v>866</v>
      </c>
      <c r="E964" s="75" t="s">
        <v>2457</v>
      </c>
      <c r="F964" s="75" t="s">
        <v>1509</v>
      </c>
      <c r="G964" s="76">
        <v>45770</v>
      </c>
      <c r="H964" s="75" t="s">
        <v>35</v>
      </c>
      <c r="I964" s="75" t="s">
        <v>10</v>
      </c>
      <c r="J964" s="75">
        <v>500</v>
      </c>
      <c r="K964" s="75" t="str">
        <f t="shared" si="15"/>
        <v>04-2025</v>
      </c>
      <c r="L964" s="51" t="s">
        <v>2600</v>
      </c>
    </row>
    <row r="965" spans="1:12" hidden="1" x14ac:dyDescent="0.35">
      <c r="A965" s="75">
        <v>6289</v>
      </c>
      <c r="B965" s="75" t="s">
        <v>641</v>
      </c>
      <c r="C965" s="75" t="s">
        <v>1508</v>
      </c>
      <c r="D965" s="75" t="s">
        <v>866</v>
      </c>
      <c r="E965" s="75" t="s">
        <v>2458</v>
      </c>
      <c r="F965" s="75" t="s">
        <v>1509</v>
      </c>
      <c r="G965" s="76">
        <v>45770</v>
      </c>
      <c r="H965" s="75" t="s">
        <v>9</v>
      </c>
      <c r="I965" s="75" t="s">
        <v>10</v>
      </c>
      <c r="J965" s="75">
        <v>500</v>
      </c>
      <c r="K965" s="75" t="str">
        <f t="shared" si="15"/>
        <v>04-2025</v>
      </c>
      <c r="L965" s="51" t="s">
        <v>2600</v>
      </c>
    </row>
    <row r="966" spans="1:12" hidden="1" x14ac:dyDescent="0.35">
      <c r="A966" s="75">
        <v>7656</v>
      </c>
      <c r="B966" s="75" t="s">
        <v>25</v>
      </c>
      <c r="C966" s="75" t="s">
        <v>1508</v>
      </c>
      <c r="D966" s="75" t="s">
        <v>866</v>
      </c>
      <c r="E966" s="75" t="s">
        <v>2459</v>
      </c>
      <c r="F966" s="75" t="s">
        <v>1509</v>
      </c>
      <c r="G966" s="76">
        <v>45770</v>
      </c>
      <c r="H966" s="75" t="s">
        <v>21</v>
      </c>
      <c r="I966" s="75" t="s">
        <v>10</v>
      </c>
      <c r="J966" s="75">
        <v>500</v>
      </c>
      <c r="K966" s="75" t="str">
        <f t="shared" si="15"/>
        <v>04-2025</v>
      </c>
      <c r="L966" s="51" t="s">
        <v>2600</v>
      </c>
    </row>
    <row r="967" spans="1:12" hidden="1" x14ac:dyDescent="0.35">
      <c r="A967" s="75">
        <v>7811</v>
      </c>
      <c r="B967" s="75" t="s">
        <v>355</v>
      </c>
      <c r="C967" s="75" t="s">
        <v>1508</v>
      </c>
      <c r="D967" s="75" t="s">
        <v>866</v>
      </c>
      <c r="E967" s="75" t="s">
        <v>2460</v>
      </c>
      <c r="F967" s="75" t="s">
        <v>1509</v>
      </c>
      <c r="G967" s="76">
        <v>45770</v>
      </c>
      <c r="H967" s="75" t="s">
        <v>21</v>
      </c>
      <c r="I967" s="75" t="s">
        <v>10</v>
      </c>
      <c r="J967" s="75">
        <v>500</v>
      </c>
      <c r="K967" s="75" t="str">
        <f t="shared" si="15"/>
        <v>04-2025</v>
      </c>
      <c r="L967" s="51" t="s">
        <v>2600</v>
      </c>
    </row>
    <row r="968" spans="1:12" hidden="1" x14ac:dyDescent="0.35">
      <c r="A968" s="75">
        <v>7808</v>
      </c>
      <c r="B968" s="75" t="s">
        <v>177</v>
      </c>
      <c r="C968" s="75" t="s">
        <v>1508</v>
      </c>
      <c r="D968" s="75" t="s">
        <v>866</v>
      </c>
      <c r="E968" s="75" t="s">
        <v>2461</v>
      </c>
      <c r="F968" s="75" t="s">
        <v>1509</v>
      </c>
      <c r="G968" s="76">
        <v>45770</v>
      </c>
      <c r="H968" s="75" t="s">
        <v>21</v>
      </c>
      <c r="I968" s="75" t="s">
        <v>54</v>
      </c>
      <c r="J968" s="75">
        <v>500</v>
      </c>
      <c r="K968" s="75" t="str">
        <f t="shared" si="15"/>
        <v>04-2025</v>
      </c>
      <c r="L968" s="51" t="s">
        <v>2600</v>
      </c>
    </row>
    <row r="969" spans="1:12" hidden="1" x14ac:dyDescent="0.35">
      <c r="A969" s="75">
        <v>7961</v>
      </c>
      <c r="B969" s="75" t="s">
        <v>2077</v>
      </c>
      <c r="C969" s="75" t="s">
        <v>1508</v>
      </c>
      <c r="D969" s="75" t="s">
        <v>866</v>
      </c>
      <c r="E969" s="75" t="s">
        <v>2462</v>
      </c>
      <c r="F969" s="75" t="s">
        <v>1509</v>
      </c>
      <c r="G969" s="76">
        <v>45770</v>
      </c>
      <c r="H969" s="75" t="s">
        <v>9</v>
      </c>
      <c r="I969" s="75" t="s">
        <v>54</v>
      </c>
      <c r="J969" s="75">
        <v>500</v>
      </c>
      <c r="K969" s="75" t="str">
        <f t="shared" si="15"/>
        <v>04-2025</v>
      </c>
      <c r="L969" s="51" t="s">
        <v>2600</v>
      </c>
    </row>
    <row r="970" spans="1:12" hidden="1" x14ac:dyDescent="0.35">
      <c r="A970" s="75">
        <v>6406</v>
      </c>
      <c r="B970" s="75" t="s">
        <v>448</v>
      </c>
      <c r="C970" s="75" t="s">
        <v>1508</v>
      </c>
      <c r="D970" s="75" t="s">
        <v>866</v>
      </c>
      <c r="E970" s="75" t="s">
        <v>2463</v>
      </c>
      <c r="F970" s="75" t="s">
        <v>1509</v>
      </c>
      <c r="G970" s="76">
        <v>45770</v>
      </c>
      <c r="H970" s="75" t="s">
        <v>16</v>
      </c>
      <c r="I970" s="75" t="s">
        <v>54</v>
      </c>
      <c r="J970" s="75">
        <v>500</v>
      </c>
      <c r="K970" s="75" t="str">
        <f t="shared" si="15"/>
        <v>04-2025</v>
      </c>
      <c r="L970" s="51" t="s">
        <v>2600</v>
      </c>
    </row>
    <row r="971" spans="1:12" hidden="1" x14ac:dyDescent="0.35">
      <c r="A971" s="75">
        <v>6690</v>
      </c>
      <c r="B971" s="75" t="s">
        <v>280</v>
      </c>
      <c r="C971" s="75" t="s">
        <v>1508</v>
      </c>
      <c r="D971" s="75" t="s">
        <v>866</v>
      </c>
      <c r="E971" s="75" t="s">
        <v>2464</v>
      </c>
      <c r="F971" s="75" t="s">
        <v>1509</v>
      </c>
      <c r="G971" s="76">
        <v>45770</v>
      </c>
      <c r="H971" s="75" t="s">
        <v>16</v>
      </c>
      <c r="I971" s="75" t="s">
        <v>32</v>
      </c>
      <c r="J971" s="75">
        <v>500</v>
      </c>
      <c r="K971" s="75" t="str">
        <f t="shared" si="15"/>
        <v>04-2025</v>
      </c>
      <c r="L971" s="51" t="s">
        <v>2600</v>
      </c>
    </row>
    <row r="972" spans="1:12" hidden="1" x14ac:dyDescent="0.35">
      <c r="A972" s="75">
        <v>7434</v>
      </c>
      <c r="B972" s="75" t="s">
        <v>285</v>
      </c>
      <c r="C972" s="75" t="s">
        <v>1508</v>
      </c>
      <c r="D972" s="75" t="s">
        <v>866</v>
      </c>
      <c r="E972" s="75" t="s">
        <v>2465</v>
      </c>
      <c r="F972" s="75" t="s">
        <v>1509</v>
      </c>
      <c r="G972" s="76">
        <v>45770</v>
      </c>
      <c r="H972" s="75" t="s">
        <v>35</v>
      </c>
      <c r="I972" s="75" t="s">
        <v>251</v>
      </c>
      <c r="J972" s="75">
        <v>500</v>
      </c>
      <c r="K972" s="75" t="str">
        <f t="shared" si="15"/>
        <v>04-2025</v>
      </c>
      <c r="L972" s="51" t="s">
        <v>2600</v>
      </c>
    </row>
    <row r="973" spans="1:12" hidden="1" x14ac:dyDescent="0.35">
      <c r="A973" s="75">
        <v>6637</v>
      </c>
      <c r="B973" s="75" t="s">
        <v>2120</v>
      </c>
      <c r="C973" s="75" t="s">
        <v>1508</v>
      </c>
      <c r="D973" s="75" t="s">
        <v>866</v>
      </c>
      <c r="E973" s="75" t="s">
        <v>2466</v>
      </c>
      <c r="F973" s="75" t="s">
        <v>1509</v>
      </c>
      <c r="G973" s="76">
        <v>45770</v>
      </c>
      <c r="H973" s="75" t="s">
        <v>40</v>
      </c>
      <c r="I973" s="75" t="s">
        <v>54</v>
      </c>
      <c r="J973" s="75">
        <v>500</v>
      </c>
      <c r="K973" s="75" t="str">
        <f t="shared" si="15"/>
        <v>04-2025</v>
      </c>
      <c r="L973" s="51" t="s">
        <v>2600</v>
      </c>
    </row>
    <row r="974" spans="1:12" hidden="1" x14ac:dyDescent="0.35">
      <c r="A974" s="75">
        <v>3458</v>
      </c>
      <c r="B974" s="75" t="s">
        <v>452</v>
      </c>
      <c r="C974" s="75" t="s">
        <v>1508</v>
      </c>
      <c r="D974" s="75" t="s">
        <v>866</v>
      </c>
      <c r="E974" s="75" t="s">
        <v>2467</v>
      </c>
      <c r="F974" s="75" t="s">
        <v>1509</v>
      </c>
      <c r="G974" s="76">
        <v>45770</v>
      </c>
      <c r="H974" s="75" t="s">
        <v>9</v>
      </c>
      <c r="I974" s="75" t="s">
        <v>32</v>
      </c>
      <c r="J974" s="75">
        <v>500</v>
      </c>
      <c r="K974" s="75" t="str">
        <f t="shared" si="15"/>
        <v>04-2025</v>
      </c>
      <c r="L974" s="51" t="s">
        <v>2600</v>
      </c>
    </row>
    <row r="975" spans="1:12" hidden="1" x14ac:dyDescent="0.35">
      <c r="A975" s="75">
        <v>4416</v>
      </c>
      <c r="B975" s="75" t="s">
        <v>269</v>
      </c>
      <c r="C975" s="75" t="s">
        <v>1508</v>
      </c>
      <c r="D975" s="75" t="s">
        <v>866</v>
      </c>
      <c r="E975" s="75" t="s">
        <v>2468</v>
      </c>
      <c r="F975" s="75" t="s">
        <v>1509</v>
      </c>
      <c r="G975" s="76">
        <v>45770</v>
      </c>
      <c r="H975" s="75" t="s">
        <v>35</v>
      </c>
      <c r="I975" s="75" t="s">
        <v>10</v>
      </c>
      <c r="J975" s="75">
        <v>500</v>
      </c>
      <c r="K975" s="75" t="str">
        <f t="shared" si="15"/>
        <v>04-2025</v>
      </c>
      <c r="L975" s="51" t="s">
        <v>2600</v>
      </c>
    </row>
    <row r="976" spans="1:12" hidden="1" x14ac:dyDescent="0.35">
      <c r="A976" s="75">
        <v>7426</v>
      </c>
      <c r="B976" s="75" t="s">
        <v>19</v>
      </c>
      <c r="C976" s="75" t="s">
        <v>1508</v>
      </c>
      <c r="D976" s="75" t="s">
        <v>866</v>
      </c>
      <c r="E976" s="75" t="s">
        <v>2469</v>
      </c>
      <c r="F976" s="75" t="s">
        <v>1509</v>
      </c>
      <c r="G976" s="76">
        <v>45770</v>
      </c>
      <c r="H976" s="75" t="s">
        <v>21</v>
      </c>
      <c r="I976" s="75" t="s">
        <v>54</v>
      </c>
      <c r="J976" s="75">
        <v>500</v>
      </c>
      <c r="K976" s="75" t="str">
        <f t="shared" si="15"/>
        <v>04-2025</v>
      </c>
      <c r="L976" s="51" t="s">
        <v>2600</v>
      </c>
    </row>
    <row r="977" spans="1:12" hidden="1" x14ac:dyDescent="0.35">
      <c r="A977" s="75">
        <v>3458</v>
      </c>
      <c r="B977" s="75" t="s">
        <v>452</v>
      </c>
      <c r="C977" s="75">
        <v>2826</v>
      </c>
      <c r="D977" s="75" t="s">
        <v>169</v>
      </c>
      <c r="E977" s="75" t="s">
        <v>2470</v>
      </c>
      <c r="F977" s="75" t="s">
        <v>1510</v>
      </c>
      <c r="G977" s="76">
        <v>45768</v>
      </c>
      <c r="H977" s="75" t="s">
        <v>9</v>
      </c>
      <c r="I977" s="75" t="s">
        <v>54</v>
      </c>
      <c r="J977" s="75">
        <v>0</v>
      </c>
      <c r="K977" s="75" t="str">
        <f t="shared" si="15"/>
        <v>04-2025</v>
      </c>
      <c r="L977" s="51" t="s">
        <v>2600</v>
      </c>
    </row>
    <row r="978" spans="1:12" hidden="1" x14ac:dyDescent="0.35">
      <c r="A978" s="75">
        <v>7776</v>
      </c>
      <c r="B978" s="75" t="s">
        <v>2044</v>
      </c>
      <c r="C978" s="75">
        <v>2826</v>
      </c>
      <c r="D978" s="75" t="s">
        <v>169</v>
      </c>
      <c r="E978" s="75" t="s">
        <v>2471</v>
      </c>
      <c r="F978" s="75" t="s">
        <v>1510</v>
      </c>
      <c r="G978" s="76">
        <v>45768</v>
      </c>
      <c r="H978" s="75" t="s">
        <v>9</v>
      </c>
      <c r="I978" s="75" t="s">
        <v>54</v>
      </c>
      <c r="J978" s="75">
        <v>0</v>
      </c>
      <c r="K978" s="75" t="str">
        <f t="shared" si="15"/>
        <v>04-2025</v>
      </c>
      <c r="L978" s="51" t="s">
        <v>2600</v>
      </c>
    </row>
    <row r="979" spans="1:12" hidden="1" x14ac:dyDescent="0.35">
      <c r="A979" s="75">
        <v>1697</v>
      </c>
      <c r="B979" s="75" t="s">
        <v>820</v>
      </c>
      <c r="C979" s="75">
        <v>1458</v>
      </c>
      <c r="D979" s="75" t="s">
        <v>278</v>
      </c>
      <c r="E979" s="75" t="s">
        <v>2472</v>
      </c>
      <c r="F979" s="75" t="s">
        <v>1509</v>
      </c>
      <c r="G979" s="76">
        <v>45764</v>
      </c>
      <c r="H979" s="75" t="s">
        <v>53</v>
      </c>
      <c r="I979" s="75" t="s">
        <v>10</v>
      </c>
      <c r="J979" s="75">
        <v>500</v>
      </c>
      <c r="K979" s="75" t="str">
        <f t="shared" si="15"/>
        <v>04-2025</v>
      </c>
      <c r="L979" s="51" t="s">
        <v>2600</v>
      </c>
    </row>
    <row r="980" spans="1:12" hidden="1" x14ac:dyDescent="0.35">
      <c r="A980" s="75">
        <v>7740</v>
      </c>
      <c r="B980" s="75" t="s">
        <v>2345</v>
      </c>
      <c r="C980" s="75">
        <v>7808</v>
      </c>
      <c r="D980" s="75" t="s">
        <v>177</v>
      </c>
      <c r="E980" s="75" t="s">
        <v>2473</v>
      </c>
      <c r="F980" s="75" t="s">
        <v>1510</v>
      </c>
      <c r="G980" s="76">
        <v>45761</v>
      </c>
      <c r="H980" s="75" t="s">
        <v>9</v>
      </c>
      <c r="I980" s="75" t="s">
        <v>10</v>
      </c>
      <c r="J980" s="75">
        <v>0</v>
      </c>
      <c r="K980" s="75" t="str">
        <f t="shared" si="15"/>
        <v>04-2025</v>
      </c>
      <c r="L980" s="51" t="s">
        <v>2600</v>
      </c>
    </row>
    <row r="981" spans="1:12" hidden="1" x14ac:dyDescent="0.35">
      <c r="A981" s="75">
        <v>7739</v>
      </c>
      <c r="B981" s="75" t="s">
        <v>344</v>
      </c>
      <c r="C981" s="75">
        <v>7808</v>
      </c>
      <c r="D981" s="75" t="s">
        <v>177</v>
      </c>
      <c r="E981" s="75" t="s">
        <v>2474</v>
      </c>
      <c r="F981" s="75" t="s">
        <v>1510</v>
      </c>
      <c r="G981" s="76">
        <v>45761</v>
      </c>
      <c r="H981" s="75" t="s">
        <v>9</v>
      </c>
      <c r="I981" s="75" t="s">
        <v>10</v>
      </c>
      <c r="J981" s="75">
        <v>0</v>
      </c>
      <c r="K981" s="75" t="str">
        <f t="shared" si="15"/>
        <v>04-2025</v>
      </c>
      <c r="L981" s="51" t="s">
        <v>2600</v>
      </c>
    </row>
    <row r="982" spans="1:12" hidden="1" x14ac:dyDescent="0.35">
      <c r="A982" s="75">
        <v>107</v>
      </c>
      <c r="B982" s="75" t="s">
        <v>1535</v>
      </c>
      <c r="C982" s="75">
        <v>7460</v>
      </c>
      <c r="D982" s="75" t="s">
        <v>882</v>
      </c>
      <c r="E982" s="75" t="s">
        <v>2475</v>
      </c>
      <c r="F982" s="75" t="s">
        <v>1510</v>
      </c>
      <c r="G982" s="76">
        <v>45761</v>
      </c>
      <c r="H982" s="75" t="s">
        <v>24</v>
      </c>
      <c r="I982" s="75" t="s">
        <v>10</v>
      </c>
      <c r="J982" s="75">
        <v>0</v>
      </c>
      <c r="K982" s="75" t="str">
        <f t="shared" si="15"/>
        <v>04-2025</v>
      </c>
      <c r="L982" s="51" t="s">
        <v>2600</v>
      </c>
    </row>
    <row r="983" spans="1:12" hidden="1" x14ac:dyDescent="0.35">
      <c r="A983" s="75">
        <v>6289</v>
      </c>
      <c r="B983" s="75" t="s">
        <v>641</v>
      </c>
      <c r="C983" s="75">
        <v>6890</v>
      </c>
      <c r="D983" s="75" t="s">
        <v>302</v>
      </c>
      <c r="E983" s="75" t="s">
        <v>2476</v>
      </c>
      <c r="F983" s="75" t="s">
        <v>1510</v>
      </c>
      <c r="G983" s="76">
        <v>45758</v>
      </c>
      <c r="H983" s="75" t="s">
        <v>9</v>
      </c>
      <c r="I983" s="75" t="s">
        <v>10</v>
      </c>
      <c r="J983" s="75">
        <v>0</v>
      </c>
      <c r="K983" s="75" t="str">
        <f t="shared" si="15"/>
        <v>04-2025</v>
      </c>
      <c r="L983" s="51" t="s">
        <v>2600</v>
      </c>
    </row>
    <row r="984" spans="1:12" hidden="1" x14ac:dyDescent="0.35">
      <c r="A984" s="75">
        <v>7827</v>
      </c>
      <c r="B984" s="75" t="s">
        <v>349</v>
      </c>
      <c r="C984" s="75">
        <v>7244</v>
      </c>
      <c r="D984" s="75" t="s">
        <v>429</v>
      </c>
      <c r="E984" s="75" t="s">
        <v>2477</v>
      </c>
      <c r="F984" s="75" t="s">
        <v>1510</v>
      </c>
      <c r="G984" s="76">
        <v>45758</v>
      </c>
      <c r="H984" s="75" t="s">
        <v>395</v>
      </c>
      <c r="I984" s="75" t="s">
        <v>10</v>
      </c>
      <c r="J984" s="75">
        <v>0</v>
      </c>
      <c r="K984" s="75" t="str">
        <f t="shared" si="15"/>
        <v>04-2025</v>
      </c>
      <c r="L984" s="51" t="s">
        <v>2600</v>
      </c>
    </row>
    <row r="985" spans="1:12" hidden="1" x14ac:dyDescent="0.35">
      <c r="A985" s="75">
        <v>7739</v>
      </c>
      <c r="B985" s="75" t="s">
        <v>344</v>
      </c>
      <c r="C985" s="75">
        <v>6890</v>
      </c>
      <c r="D985" s="75" t="s">
        <v>302</v>
      </c>
      <c r="E985" s="75" t="s">
        <v>2478</v>
      </c>
      <c r="F985" s="75" t="s">
        <v>1510</v>
      </c>
      <c r="G985" s="76">
        <v>45758</v>
      </c>
      <c r="H985" s="75" t="s">
        <v>9</v>
      </c>
      <c r="I985" s="75" t="s">
        <v>10</v>
      </c>
      <c r="J985" s="75">
        <v>0</v>
      </c>
      <c r="K985" s="75" t="str">
        <f t="shared" si="15"/>
        <v>04-2025</v>
      </c>
      <c r="L985" s="51" t="s">
        <v>2600</v>
      </c>
    </row>
    <row r="986" spans="1:12" hidden="1" x14ac:dyDescent="0.35">
      <c r="A986" s="75">
        <v>7455</v>
      </c>
      <c r="B986" s="75" t="s">
        <v>712</v>
      </c>
      <c r="C986" s="75">
        <v>6890</v>
      </c>
      <c r="D986" s="75" t="s">
        <v>302</v>
      </c>
      <c r="E986" s="75" t="s">
        <v>2479</v>
      </c>
      <c r="F986" s="75" t="s">
        <v>1510</v>
      </c>
      <c r="G986" s="76">
        <v>45758</v>
      </c>
      <c r="H986" s="75" t="s">
        <v>9</v>
      </c>
      <c r="I986" s="75" t="s">
        <v>10</v>
      </c>
      <c r="J986" s="75">
        <v>0</v>
      </c>
      <c r="K986" s="75" t="str">
        <f t="shared" si="15"/>
        <v>04-2025</v>
      </c>
      <c r="L986" s="51" t="s">
        <v>2600</v>
      </c>
    </row>
    <row r="987" spans="1:12" hidden="1" x14ac:dyDescent="0.35">
      <c r="A987" s="75">
        <v>7740</v>
      </c>
      <c r="B987" s="75" t="s">
        <v>2345</v>
      </c>
      <c r="C987" s="75">
        <v>6890</v>
      </c>
      <c r="D987" s="75" t="s">
        <v>302</v>
      </c>
      <c r="E987" s="75" t="s">
        <v>2480</v>
      </c>
      <c r="F987" s="75" t="s">
        <v>1510</v>
      </c>
      <c r="G987" s="76">
        <v>45758</v>
      </c>
      <c r="H987" s="75" t="s">
        <v>9</v>
      </c>
      <c r="I987" s="75" t="s">
        <v>32</v>
      </c>
      <c r="J987" s="75">
        <v>0</v>
      </c>
      <c r="K987" s="75" t="str">
        <f t="shared" si="15"/>
        <v>04-2025</v>
      </c>
      <c r="L987" s="51" t="s">
        <v>2600</v>
      </c>
    </row>
    <row r="988" spans="1:12" hidden="1" x14ac:dyDescent="0.35">
      <c r="A988" s="75">
        <v>7216</v>
      </c>
      <c r="B988" s="75" t="s">
        <v>36</v>
      </c>
      <c r="C988" s="75">
        <v>7286</v>
      </c>
      <c r="D988" s="75" t="s">
        <v>414</v>
      </c>
      <c r="E988" s="75" t="s">
        <v>2481</v>
      </c>
      <c r="F988" s="75" t="s">
        <v>1510</v>
      </c>
      <c r="G988" s="76">
        <v>45757</v>
      </c>
      <c r="H988" s="75" t="s">
        <v>35</v>
      </c>
      <c r="I988" s="75" t="s">
        <v>10</v>
      </c>
      <c r="J988" s="75">
        <v>0</v>
      </c>
      <c r="K988" s="75" t="str">
        <f t="shared" si="15"/>
        <v>04-2025</v>
      </c>
      <c r="L988" s="51" t="s">
        <v>2600</v>
      </c>
    </row>
    <row r="989" spans="1:12" hidden="1" x14ac:dyDescent="0.35">
      <c r="A989" s="75">
        <v>7249</v>
      </c>
      <c r="B989" s="75" t="s">
        <v>604</v>
      </c>
      <c r="C989" s="75">
        <v>7460</v>
      </c>
      <c r="D989" s="75" t="s">
        <v>882</v>
      </c>
      <c r="E989" s="75" t="s">
        <v>2482</v>
      </c>
      <c r="F989" s="75" t="s">
        <v>1510</v>
      </c>
      <c r="G989" s="76">
        <v>45756</v>
      </c>
      <c r="H989" s="75" t="s">
        <v>24</v>
      </c>
      <c r="I989" s="75" t="s">
        <v>54</v>
      </c>
      <c r="J989" s="75">
        <v>0</v>
      </c>
      <c r="K989" s="75" t="str">
        <f t="shared" si="15"/>
        <v>04-2025</v>
      </c>
      <c r="L989" s="51" t="s">
        <v>2600</v>
      </c>
    </row>
    <row r="990" spans="1:12" hidden="1" x14ac:dyDescent="0.35">
      <c r="A990" s="75">
        <v>7471</v>
      </c>
      <c r="B990" s="75" t="s">
        <v>813</v>
      </c>
      <c r="C990" s="75">
        <v>7460</v>
      </c>
      <c r="D990" s="75" t="s">
        <v>882</v>
      </c>
      <c r="E990" s="75" t="s">
        <v>2483</v>
      </c>
      <c r="F990" s="75" t="s">
        <v>1510</v>
      </c>
      <c r="G990" s="76">
        <v>45756</v>
      </c>
      <c r="H990" s="75" t="s">
        <v>16</v>
      </c>
      <c r="I990" s="75" t="s">
        <v>10</v>
      </c>
      <c r="J990" s="75">
        <v>0</v>
      </c>
      <c r="K990" s="75" t="str">
        <f t="shared" si="15"/>
        <v>04-2025</v>
      </c>
      <c r="L990" s="51" t="s">
        <v>2600</v>
      </c>
    </row>
    <row r="991" spans="1:12" hidden="1" x14ac:dyDescent="0.35">
      <c r="A991" s="75">
        <v>4379</v>
      </c>
      <c r="B991" s="75" t="s">
        <v>468</v>
      </c>
      <c r="C991" s="75">
        <v>6481</v>
      </c>
      <c r="D991" s="75" t="s">
        <v>126</v>
      </c>
      <c r="E991" s="75" t="s">
        <v>2484</v>
      </c>
      <c r="F991" s="75" t="s">
        <v>1510</v>
      </c>
      <c r="G991" s="76">
        <v>45755</v>
      </c>
      <c r="H991" s="75" t="s">
        <v>9</v>
      </c>
      <c r="I991" s="75" t="s">
        <v>54</v>
      </c>
      <c r="J991" s="75">
        <v>0</v>
      </c>
      <c r="K991" s="75" t="str">
        <f t="shared" si="15"/>
        <v>04-2025</v>
      </c>
      <c r="L991" s="51" t="s">
        <v>2600</v>
      </c>
    </row>
    <row r="992" spans="1:12" hidden="1" x14ac:dyDescent="0.35">
      <c r="A992" s="75">
        <v>7904</v>
      </c>
      <c r="B992" s="75" t="s">
        <v>2344</v>
      </c>
      <c r="C992" s="75">
        <v>7455</v>
      </c>
      <c r="D992" s="75" t="s">
        <v>712</v>
      </c>
      <c r="E992" s="75" t="s">
        <v>2485</v>
      </c>
      <c r="F992" s="75" t="s">
        <v>1510</v>
      </c>
      <c r="G992" s="76">
        <v>45754</v>
      </c>
      <c r="H992" s="75" t="s">
        <v>16</v>
      </c>
      <c r="I992" s="75" t="s">
        <v>54</v>
      </c>
      <c r="J992" s="75">
        <v>0</v>
      </c>
      <c r="K992" s="75" t="str">
        <f t="shared" si="15"/>
        <v>04-2025</v>
      </c>
      <c r="L992" s="51" t="s">
        <v>2600</v>
      </c>
    </row>
    <row r="993" spans="1:12" hidden="1" x14ac:dyDescent="0.35">
      <c r="A993" s="75">
        <v>1585</v>
      </c>
      <c r="B993" s="75" t="s">
        <v>258</v>
      </c>
      <c r="C993" s="75">
        <v>7290</v>
      </c>
      <c r="D993" s="75" t="s">
        <v>711</v>
      </c>
      <c r="E993" s="75" t="s">
        <v>2486</v>
      </c>
      <c r="F993" s="75" t="s">
        <v>1510</v>
      </c>
      <c r="G993" s="76">
        <v>45751</v>
      </c>
      <c r="H993" s="75" t="s">
        <v>53</v>
      </c>
      <c r="I993" s="75" t="s">
        <v>54</v>
      </c>
      <c r="J993" s="75">
        <v>0</v>
      </c>
      <c r="K993" s="75" t="str">
        <f t="shared" si="15"/>
        <v>04-2025</v>
      </c>
      <c r="L993" s="51" t="s">
        <v>2600</v>
      </c>
    </row>
    <row r="994" spans="1:12" hidden="1" x14ac:dyDescent="0.35">
      <c r="A994" s="75">
        <v>7401</v>
      </c>
      <c r="B994" s="75" t="s">
        <v>1769</v>
      </c>
      <c r="C994" s="75">
        <v>7290</v>
      </c>
      <c r="D994" s="75" t="s">
        <v>711</v>
      </c>
      <c r="E994" s="75" t="s">
        <v>2487</v>
      </c>
      <c r="F994" s="75" t="s">
        <v>1509</v>
      </c>
      <c r="G994" s="76">
        <v>45751</v>
      </c>
      <c r="H994" s="75" t="s">
        <v>21</v>
      </c>
      <c r="I994" s="75" t="s">
        <v>10</v>
      </c>
      <c r="J994" s="75">
        <v>500</v>
      </c>
      <c r="K994" s="75" t="str">
        <f t="shared" si="15"/>
        <v>04-2025</v>
      </c>
      <c r="L994" s="51" t="s">
        <v>2600</v>
      </c>
    </row>
    <row r="995" spans="1:12" hidden="1" x14ac:dyDescent="0.35">
      <c r="A995" s="75">
        <v>7915</v>
      </c>
      <c r="B995" s="75" t="s">
        <v>873</v>
      </c>
      <c r="C995" s="75">
        <v>7224</v>
      </c>
      <c r="D995" s="75" t="s">
        <v>360</v>
      </c>
      <c r="E995" s="75" t="s">
        <v>2488</v>
      </c>
      <c r="F995" s="75" t="s">
        <v>1510</v>
      </c>
      <c r="G995" s="76">
        <v>45751</v>
      </c>
      <c r="H995" s="75" t="s">
        <v>9</v>
      </c>
      <c r="I995" s="75" t="s">
        <v>32</v>
      </c>
      <c r="J995" s="75">
        <v>0</v>
      </c>
      <c r="K995" s="75" t="str">
        <f t="shared" si="15"/>
        <v>04-2025</v>
      </c>
      <c r="L995" s="51" t="s">
        <v>2600</v>
      </c>
    </row>
    <row r="996" spans="1:12" hidden="1" x14ac:dyDescent="0.35">
      <c r="A996" s="75">
        <v>7216</v>
      </c>
      <c r="B996" s="75" t="s">
        <v>36</v>
      </c>
      <c r="C996" s="75">
        <v>7824</v>
      </c>
      <c r="D996" s="75" t="s">
        <v>408</v>
      </c>
      <c r="E996" s="75" t="s">
        <v>2489</v>
      </c>
      <c r="F996" s="75" t="s">
        <v>1510</v>
      </c>
      <c r="G996" s="76">
        <v>45751</v>
      </c>
      <c r="H996" s="75" t="s">
        <v>35</v>
      </c>
      <c r="I996" s="75" t="s">
        <v>10</v>
      </c>
      <c r="J996" s="75">
        <v>0</v>
      </c>
      <c r="K996" s="75" t="str">
        <f t="shared" si="15"/>
        <v>04-2025</v>
      </c>
      <c r="L996" s="51" t="s">
        <v>2600</v>
      </c>
    </row>
    <row r="997" spans="1:12" hidden="1" x14ac:dyDescent="0.35">
      <c r="A997" s="75">
        <v>5058</v>
      </c>
      <c r="B997" s="75" t="s">
        <v>697</v>
      </c>
      <c r="C997" s="75">
        <v>4853</v>
      </c>
      <c r="D997" s="75" t="s">
        <v>428</v>
      </c>
      <c r="E997" s="75" t="s">
        <v>2490</v>
      </c>
      <c r="F997" s="75" t="s">
        <v>1510</v>
      </c>
      <c r="G997" s="76">
        <v>45751</v>
      </c>
      <c r="H997" s="75" t="s">
        <v>395</v>
      </c>
      <c r="I997" s="75" t="s">
        <v>74</v>
      </c>
      <c r="J997" s="75">
        <v>0</v>
      </c>
      <c r="K997" s="75" t="str">
        <f t="shared" si="15"/>
        <v>04-2025</v>
      </c>
      <c r="L997" s="51" t="s">
        <v>2600</v>
      </c>
    </row>
    <row r="998" spans="1:12" hidden="1" x14ac:dyDescent="0.35">
      <c r="A998" s="75">
        <v>7886</v>
      </c>
      <c r="B998" s="75" t="s">
        <v>779</v>
      </c>
      <c r="C998" s="75">
        <v>3009</v>
      </c>
      <c r="D998" s="75" t="s">
        <v>488</v>
      </c>
      <c r="E998" s="75" t="s">
        <v>2491</v>
      </c>
      <c r="F998" s="75" t="s">
        <v>1510</v>
      </c>
      <c r="G998" s="76">
        <v>45750</v>
      </c>
      <c r="H998" s="75" t="s">
        <v>40</v>
      </c>
      <c r="I998" s="75" t="s">
        <v>74</v>
      </c>
      <c r="J998" s="75">
        <v>0</v>
      </c>
      <c r="K998" s="75" t="str">
        <f t="shared" si="15"/>
        <v>04-2025</v>
      </c>
      <c r="L998" s="51" t="s">
        <v>2600</v>
      </c>
    </row>
    <row r="999" spans="1:12" hidden="1" x14ac:dyDescent="0.35">
      <c r="A999" s="75">
        <v>7638</v>
      </c>
      <c r="B999" s="75" t="s">
        <v>125</v>
      </c>
      <c r="C999" s="75">
        <v>3009</v>
      </c>
      <c r="D999" s="75" t="s">
        <v>488</v>
      </c>
      <c r="E999" s="75" t="s">
        <v>2492</v>
      </c>
      <c r="F999" s="75" t="s">
        <v>1510</v>
      </c>
      <c r="G999" s="76">
        <v>45750</v>
      </c>
      <c r="H999" s="75" t="s">
        <v>40</v>
      </c>
      <c r="I999" s="75" t="s">
        <v>10</v>
      </c>
      <c r="J999" s="75">
        <v>0</v>
      </c>
      <c r="K999" s="75" t="str">
        <f t="shared" si="15"/>
        <v>04-2025</v>
      </c>
      <c r="L999" s="51" t="s">
        <v>2600</v>
      </c>
    </row>
    <row r="1000" spans="1:12" hidden="1" x14ac:dyDescent="0.35">
      <c r="A1000" s="75">
        <v>6890</v>
      </c>
      <c r="B1000" s="75" t="s">
        <v>302</v>
      </c>
      <c r="C1000" s="75">
        <v>7455</v>
      </c>
      <c r="D1000" s="75" t="s">
        <v>712</v>
      </c>
      <c r="E1000" s="75" t="s">
        <v>2493</v>
      </c>
      <c r="F1000" s="75" t="s">
        <v>1510</v>
      </c>
      <c r="G1000" s="76">
        <v>45749</v>
      </c>
      <c r="H1000" s="75" t="s">
        <v>9</v>
      </c>
      <c r="I1000" s="75" t="s">
        <v>10</v>
      </c>
      <c r="J1000" s="75">
        <v>0</v>
      </c>
      <c r="K1000" s="75" t="str">
        <f t="shared" si="15"/>
        <v>04-2025</v>
      </c>
      <c r="L1000" s="51" t="s">
        <v>2600</v>
      </c>
    </row>
    <row r="1001" spans="1:12" hidden="1" x14ac:dyDescent="0.35">
      <c r="A1001" s="75">
        <v>7811</v>
      </c>
      <c r="B1001" s="75" t="s">
        <v>355</v>
      </c>
      <c r="C1001" s="75">
        <v>7455</v>
      </c>
      <c r="D1001" s="75" t="s">
        <v>712</v>
      </c>
      <c r="E1001" s="75" t="s">
        <v>2494</v>
      </c>
      <c r="F1001" s="75" t="s">
        <v>1510</v>
      </c>
      <c r="G1001" s="76">
        <v>45749</v>
      </c>
      <c r="H1001" s="75" t="s">
        <v>21</v>
      </c>
      <c r="I1001" s="75" t="s">
        <v>32</v>
      </c>
      <c r="J1001" s="75">
        <v>0</v>
      </c>
      <c r="K1001" s="75" t="str">
        <f t="shared" si="15"/>
        <v>04-2025</v>
      </c>
      <c r="L1001" s="51" t="s">
        <v>2600</v>
      </c>
    </row>
    <row r="1002" spans="1:12" hidden="1" x14ac:dyDescent="0.35">
      <c r="A1002" s="75">
        <v>7824</v>
      </c>
      <c r="B1002" s="75" t="s">
        <v>408</v>
      </c>
      <c r="C1002" s="75">
        <v>7455</v>
      </c>
      <c r="D1002" s="75" t="s">
        <v>712</v>
      </c>
      <c r="E1002" s="75" t="s">
        <v>2495</v>
      </c>
      <c r="F1002" s="75" t="s">
        <v>1510</v>
      </c>
      <c r="G1002" s="76">
        <v>45749</v>
      </c>
      <c r="H1002" s="75" t="s">
        <v>35</v>
      </c>
      <c r="I1002" s="75" t="s">
        <v>54</v>
      </c>
      <c r="J1002" s="75">
        <v>0</v>
      </c>
      <c r="K1002" s="75" t="str">
        <f t="shared" si="15"/>
        <v>04-2025</v>
      </c>
      <c r="L1002" s="51" t="s">
        <v>2600</v>
      </c>
    </row>
    <row r="1003" spans="1:12" hidden="1" x14ac:dyDescent="0.35">
      <c r="A1003" s="75">
        <v>7787</v>
      </c>
      <c r="B1003" s="75" t="s">
        <v>2343</v>
      </c>
      <c r="C1003" s="75">
        <v>4110</v>
      </c>
      <c r="D1003" s="75" t="s">
        <v>2358</v>
      </c>
      <c r="E1003" s="75" t="s">
        <v>2496</v>
      </c>
      <c r="F1003" s="75" t="s">
        <v>1510</v>
      </c>
      <c r="G1003" s="76">
        <v>45749</v>
      </c>
      <c r="H1003" s="75" t="s">
        <v>40</v>
      </c>
      <c r="I1003" s="75" t="s">
        <v>10</v>
      </c>
      <c r="J1003" s="75">
        <v>0</v>
      </c>
      <c r="K1003" s="75" t="str">
        <f t="shared" si="15"/>
        <v>04-2025</v>
      </c>
      <c r="L1003" s="51" t="s">
        <v>2600</v>
      </c>
    </row>
    <row r="1004" spans="1:12" hidden="1" x14ac:dyDescent="0.35">
      <c r="A1004" s="87">
        <v>7656</v>
      </c>
      <c r="B1004" s="87" t="s">
        <v>25</v>
      </c>
      <c r="C1004" s="87">
        <v>7748</v>
      </c>
      <c r="D1004" s="87" t="s">
        <v>342</v>
      </c>
      <c r="E1004" s="87" t="s">
        <v>2149</v>
      </c>
      <c r="F1004" s="87" t="s">
        <v>1510</v>
      </c>
      <c r="G1004" s="88">
        <v>45747</v>
      </c>
      <c r="H1004" s="87" t="s">
        <v>21</v>
      </c>
      <c r="I1004" s="87" t="s">
        <v>54</v>
      </c>
      <c r="J1004" s="87">
        <v>0</v>
      </c>
      <c r="K1004" s="87" t="str">
        <f t="shared" si="15"/>
        <v>03-2025</v>
      </c>
      <c r="L1004" s="10" t="s">
        <v>2599</v>
      </c>
    </row>
    <row r="1005" spans="1:12" hidden="1" x14ac:dyDescent="0.35">
      <c r="A1005" s="75">
        <v>7644</v>
      </c>
      <c r="B1005" s="75" t="s">
        <v>67</v>
      </c>
      <c r="C1005" s="75">
        <v>4013</v>
      </c>
      <c r="D1005" s="75" t="s">
        <v>268</v>
      </c>
      <c r="E1005" s="75" t="s">
        <v>2150</v>
      </c>
      <c r="F1005" s="75" t="s">
        <v>1510</v>
      </c>
      <c r="G1005" s="76">
        <v>45747</v>
      </c>
      <c r="H1005" s="75" t="s">
        <v>9</v>
      </c>
      <c r="I1005" s="75" t="s">
        <v>54</v>
      </c>
      <c r="J1005" s="75">
        <v>0</v>
      </c>
      <c r="K1005" s="75" t="str">
        <f t="shared" si="15"/>
        <v>03-2025</v>
      </c>
      <c r="L1005" s="10" t="s">
        <v>2599</v>
      </c>
    </row>
    <row r="1006" spans="1:12" hidden="1" x14ac:dyDescent="0.35">
      <c r="A1006" s="75">
        <v>7776</v>
      </c>
      <c r="B1006" s="75" t="s">
        <v>2044</v>
      </c>
      <c r="C1006" s="75">
        <v>4013</v>
      </c>
      <c r="D1006" s="75" t="s">
        <v>268</v>
      </c>
      <c r="E1006" s="75" t="s">
        <v>2151</v>
      </c>
      <c r="F1006" s="75" t="s">
        <v>1510</v>
      </c>
      <c r="G1006" s="76">
        <v>45747</v>
      </c>
      <c r="H1006" s="75" t="s">
        <v>9</v>
      </c>
      <c r="I1006" s="75" t="s">
        <v>54</v>
      </c>
      <c r="J1006" s="75">
        <v>0</v>
      </c>
      <c r="K1006" s="75" t="str">
        <f t="shared" si="15"/>
        <v>03-2025</v>
      </c>
      <c r="L1006" s="10" t="s">
        <v>2599</v>
      </c>
    </row>
    <row r="1007" spans="1:12" hidden="1" x14ac:dyDescent="0.35">
      <c r="A1007" s="75">
        <v>3458</v>
      </c>
      <c r="B1007" s="75" t="s">
        <v>452</v>
      </c>
      <c r="C1007" s="75">
        <v>4013</v>
      </c>
      <c r="D1007" s="75" t="s">
        <v>268</v>
      </c>
      <c r="E1007" s="75" t="s">
        <v>2152</v>
      </c>
      <c r="F1007" s="75" t="s">
        <v>1510</v>
      </c>
      <c r="G1007" s="76">
        <v>45747</v>
      </c>
      <c r="H1007" s="75" t="s">
        <v>9</v>
      </c>
      <c r="I1007" s="75" t="s">
        <v>54</v>
      </c>
      <c r="J1007" s="75">
        <v>0</v>
      </c>
      <c r="K1007" s="75" t="str">
        <f t="shared" si="15"/>
        <v>03-2025</v>
      </c>
      <c r="L1007" s="10" t="s">
        <v>2599</v>
      </c>
    </row>
    <row r="1008" spans="1:12" hidden="1" x14ac:dyDescent="0.35">
      <c r="A1008" s="75">
        <v>6406</v>
      </c>
      <c r="B1008" s="75" t="s">
        <v>448</v>
      </c>
      <c r="C1008" s="75">
        <v>7654</v>
      </c>
      <c r="D1008" s="75" t="s">
        <v>55</v>
      </c>
      <c r="E1008" s="75" t="s">
        <v>2153</v>
      </c>
      <c r="F1008" s="75" t="s">
        <v>1510</v>
      </c>
      <c r="G1008" s="76">
        <v>45744</v>
      </c>
      <c r="H1008" s="75" t="s">
        <v>16</v>
      </c>
      <c r="I1008" s="75" t="s">
        <v>10</v>
      </c>
      <c r="J1008" s="75">
        <v>0</v>
      </c>
      <c r="K1008" s="75" t="str">
        <f t="shared" si="15"/>
        <v>03-2025</v>
      </c>
      <c r="L1008" s="10" t="s">
        <v>2599</v>
      </c>
    </row>
    <row r="1009" spans="1:12" hidden="1" x14ac:dyDescent="0.35">
      <c r="A1009" s="75">
        <v>7210</v>
      </c>
      <c r="B1009" s="75" t="s">
        <v>2121</v>
      </c>
      <c r="C1009" s="75">
        <v>7513</v>
      </c>
      <c r="D1009" s="75" t="s">
        <v>717</v>
      </c>
      <c r="E1009" s="75" t="s">
        <v>2154</v>
      </c>
      <c r="F1009" s="75" t="s">
        <v>1509</v>
      </c>
      <c r="G1009" s="76">
        <v>45743</v>
      </c>
      <c r="H1009" s="75" t="s">
        <v>13</v>
      </c>
      <c r="I1009" s="75" t="s">
        <v>32</v>
      </c>
      <c r="J1009" s="75">
        <v>500</v>
      </c>
      <c r="K1009" s="75" t="str">
        <f t="shared" si="15"/>
        <v>03-2025</v>
      </c>
      <c r="L1009" s="10" t="s">
        <v>2599</v>
      </c>
    </row>
    <row r="1010" spans="1:12" hidden="1" x14ac:dyDescent="0.35">
      <c r="A1010" s="75">
        <v>7287</v>
      </c>
      <c r="B1010" s="75" t="s">
        <v>744</v>
      </c>
      <c r="C1010" s="75">
        <v>2369</v>
      </c>
      <c r="D1010" s="75" t="s">
        <v>2132</v>
      </c>
      <c r="E1010" s="75" t="s">
        <v>2155</v>
      </c>
      <c r="F1010" s="75" t="s">
        <v>1510</v>
      </c>
      <c r="G1010" s="76">
        <v>45743</v>
      </c>
      <c r="H1010" s="75" t="s">
        <v>35</v>
      </c>
      <c r="I1010" s="75" t="s">
        <v>74</v>
      </c>
      <c r="J1010" s="75">
        <v>0</v>
      </c>
      <c r="K1010" s="75" t="str">
        <f t="shared" si="15"/>
        <v>03-2025</v>
      </c>
      <c r="L1010" s="10" t="s">
        <v>2599</v>
      </c>
    </row>
    <row r="1011" spans="1:12" hidden="1" x14ac:dyDescent="0.35">
      <c r="A1011" s="75">
        <v>496</v>
      </c>
      <c r="B1011" s="75" t="s">
        <v>2114</v>
      </c>
      <c r="C1011" s="75">
        <v>2430</v>
      </c>
      <c r="D1011" s="75" t="s">
        <v>1532</v>
      </c>
      <c r="E1011" s="75" t="s">
        <v>2156</v>
      </c>
      <c r="F1011" s="75" t="s">
        <v>1510</v>
      </c>
      <c r="G1011" s="76">
        <v>45742</v>
      </c>
      <c r="H1011" s="75" t="s">
        <v>35</v>
      </c>
      <c r="I1011" s="75" t="s">
        <v>10</v>
      </c>
      <c r="J1011" s="75">
        <v>0</v>
      </c>
      <c r="K1011" s="75" t="str">
        <f t="shared" si="15"/>
        <v>03-2025</v>
      </c>
      <c r="L1011" s="10" t="s">
        <v>2599</v>
      </c>
    </row>
    <row r="1012" spans="1:12" hidden="1" x14ac:dyDescent="0.35">
      <c r="A1012" s="75">
        <v>6289</v>
      </c>
      <c r="B1012" s="75" t="s">
        <v>641</v>
      </c>
      <c r="C1012" s="75">
        <v>5428</v>
      </c>
      <c r="D1012" s="75" t="s">
        <v>647</v>
      </c>
      <c r="E1012" s="75" t="s">
        <v>2157</v>
      </c>
      <c r="F1012" s="75" t="s">
        <v>1510</v>
      </c>
      <c r="G1012" s="76">
        <v>45741</v>
      </c>
      <c r="H1012" s="75" t="s">
        <v>9</v>
      </c>
      <c r="I1012" s="75" t="s">
        <v>10</v>
      </c>
      <c r="J1012" s="75">
        <v>0</v>
      </c>
      <c r="K1012" s="75" t="str">
        <f t="shared" si="15"/>
        <v>03-2025</v>
      </c>
      <c r="L1012" s="10" t="s">
        <v>2599</v>
      </c>
    </row>
    <row r="1013" spans="1:12" hidden="1" x14ac:dyDescent="0.35">
      <c r="A1013" s="75">
        <v>7426</v>
      </c>
      <c r="B1013" s="75" t="s">
        <v>19</v>
      </c>
      <c r="C1013" s="75">
        <v>5428</v>
      </c>
      <c r="D1013" s="75" t="s">
        <v>647</v>
      </c>
      <c r="E1013" s="75" t="s">
        <v>2158</v>
      </c>
      <c r="F1013" s="75" t="s">
        <v>1510</v>
      </c>
      <c r="G1013" s="76">
        <v>45741</v>
      </c>
      <c r="H1013" s="75" t="s">
        <v>21</v>
      </c>
      <c r="I1013" s="75" t="e">
        <v>#N/A</v>
      </c>
      <c r="J1013" s="75">
        <v>0</v>
      </c>
      <c r="K1013" s="75" t="str">
        <f t="shared" si="15"/>
        <v>03-2025</v>
      </c>
      <c r="L1013" s="10" t="s">
        <v>2599</v>
      </c>
    </row>
    <row r="1014" spans="1:12" hidden="1" x14ac:dyDescent="0.35">
      <c r="A1014" s="75">
        <v>7530</v>
      </c>
      <c r="B1014" s="75" t="s">
        <v>2122</v>
      </c>
      <c r="C1014" s="75">
        <v>5428</v>
      </c>
      <c r="D1014" s="75" t="s">
        <v>647</v>
      </c>
      <c r="E1014" s="75" t="s">
        <v>2159</v>
      </c>
      <c r="F1014" s="75" t="s">
        <v>1510</v>
      </c>
      <c r="G1014" s="76">
        <v>45741</v>
      </c>
      <c r="H1014" s="75" t="s">
        <v>43</v>
      </c>
      <c r="I1014" s="75" t="s">
        <v>32</v>
      </c>
      <c r="J1014" s="75">
        <v>0</v>
      </c>
      <c r="K1014" s="75" t="str">
        <f t="shared" si="15"/>
        <v>03-2025</v>
      </c>
      <c r="L1014" s="10" t="s">
        <v>2599</v>
      </c>
    </row>
    <row r="1015" spans="1:12" hidden="1" x14ac:dyDescent="0.35">
      <c r="A1015" s="75">
        <v>1470</v>
      </c>
      <c r="B1015" s="75" t="s">
        <v>2118</v>
      </c>
      <c r="C1015" s="75">
        <v>5495</v>
      </c>
      <c r="D1015" s="75" t="s">
        <v>461</v>
      </c>
      <c r="E1015" s="75" t="s">
        <v>2160</v>
      </c>
      <c r="F1015" s="75" t="s">
        <v>1510</v>
      </c>
      <c r="G1015" s="76">
        <v>45738</v>
      </c>
      <c r="H1015" s="75" t="s">
        <v>40</v>
      </c>
      <c r="I1015" s="75" t="s">
        <v>251</v>
      </c>
      <c r="J1015" s="75">
        <v>0</v>
      </c>
      <c r="K1015" s="75" t="str">
        <f t="shared" si="15"/>
        <v>03-2025</v>
      </c>
      <c r="L1015" s="10" t="s">
        <v>2599</v>
      </c>
    </row>
    <row r="1016" spans="1:12" hidden="1" x14ac:dyDescent="0.35">
      <c r="A1016" s="75">
        <v>6637</v>
      </c>
      <c r="B1016" s="75" t="s">
        <v>2120</v>
      </c>
      <c r="C1016" s="75">
        <v>7891</v>
      </c>
      <c r="D1016" s="75" t="s">
        <v>2133</v>
      </c>
      <c r="E1016" s="75" t="s">
        <v>2161</v>
      </c>
      <c r="F1016" s="75" t="s">
        <v>1510</v>
      </c>
      <c r="G1016" s="76">
        <v>45737</v>
      </c>
      <c r="H1016" s="75" t="s">
        <v>40</v>
      </c>
      <c r="I1016" s="75" t="s">
        <v>32</v>
      </c>
      <c r="J1016" s="75">
        <v>0</v>
      </c>
      <c r="K1016" s="75" t="str">
        <f t="shared" si="15"/>
        <v>03-2025</v>
      </c>
      <c r="L1016" s="10" t="s">
        <v>2599</v>
      </c>
    </row>
    <row r="1017" spans="1:12" hidden="1" x14ac:dyDescent="0.35">
      <c r="A1017" s="75">
        <v>4416</v>
      </c>
      <c r="B1017" s="75" t="s">
        <v>269</v>
      </c>
      <c r="C1017" s="75">
        <v>1192</v>
      </c>
      <c r="D1017" s="75" t="s">
        <v>746</v>
      </c>
      <c r="E1017" s="75" t="s">
        <v>2162</v>
      </c>
      <c r="F1017" s="75" t="s">
        <v>1510</v>
      </c>
      <c r="G1017" s="76">
        <v>45735</v>
      </c>
      <c r="H1017" s="75" t="s">
        <v>35</v>
      </c>
      <c r="I1017" s="75" t="s">
        <v>251</v>
      </c>
      <c r="J1017" s="75">
        <v>0</v>
      </c>
      <c r="K1017" s="75" t="str">
        <f t="shared" si="15"/>
        <v>03-2025</v>
      </c>
      <c r="L1017" s="10" t="s">
        <v>2599</v>
      </c>
    </row>
    <row r="1018" spans="1:12" hidden="1" x14ac:dyDescent="0.35">
      <c r="A1018" s="75">
        <v>6637</v>
      </c>
      <c r="B1018" s="75" t="s">
        <v>2120</v>
      </c>
      <c r="C1018" s="75">
        <v>7597</v>
      </c>
      <c r="D1018" s="75" t="s">
        <v>2134</v>
      </c>
      <c r="E1018" s="75" t="s">
        <v>2163</v>
      </c>
      <c r="F1018" s="75" t="s">
        <v>1510</v>
      </c>
      <c r="G1018" s="76">
        <v>45733</v>
      </c>
      <c r="H1018" s="75" t="s">
        <v>40</v>
      </c>
      <c r="I1018" s="75" t="s">
        <v>32</v>
      </c>
      <c r="J1018" s="75">
        <v>0</v>
      </c>
      <c r="K1018" s="75" t="str">
        <f t="shared" si="15"/>
        <v>03-2025</v>
      </c>
      <c r="L1018" s="10" t="s">
        <v>2599</v>
      </c>
    </row>
    <row r="1019" spans="1:12" hidden="1" x14ac:dyDescent="0.35">
      <c r="A1019" s="75">
        <v>4416</v>
      </c>
      <c r="B1019" s="75" t="s">
        <v>269</v>
      </c>
      <c r="C1019" s="75">
        <v>1760</v>
      </c>
      <c r="D1019" s="75" t="s">
        <v>885</v>
      </c>
      <c r="E1019" s="75" t="s">
        <v>2164</v>
      </c>
      <c r="F1019" s="75" t="s">
        <v>1510</v>
      </c>
      <c r="G1019" s="76">
        <v>45733</v>
      </c>
      <c r="H1019" s="75" t="s">
        <v>35</v>
      </c>
      <c r="I1019" s="75" t="s">
        <v>10</v>
      </c>
      <c r="J1019" s="75">
        <v>0</v>
      </c>
      <c r="K1019" s="75" t="str">
        <f t="shared" si="15"/>
        <v>03-2025</v>
      </c>
      <c r="L1019" s="10" t="s">
        <v>2599</v>
      </c>
    </row>
    <row r="1020" spans="1:12" hidden="1" x14ac:dyDescent="0.35">
      <c r="A1020" s="75">
        <v>7426</v>
      </c>
      <c r="B1020" s="75" t="s">
        <v>19</v>
      </c>
      <c r="C1020" s="75">
        <v>4380</v>
      </c>
      <c r="D1020" s="75" t="s">
        <v>281</v>
      </c>
      <c r="E1020" s="75" t="s">
        <v>2165</v>
      </c>
      <c r="F1020" s="75" t="s">
        <v>1510</v>
      </c>
      <c r="G1020" s="76">
        <v>45729</v>
      </c>
      <c r="H1020" s="75" t="s">
        <v>21</v>
      </c>
      <c r="I1020" s="75" t="s">
        <v>10</v>
      </c>
      <c r="J1020" s="75">
        <v>0</v>
      </c>
      <c r="K1020" s="75" t="str">
        <f t="shared" si="15"/>
        <v>03-2025</v>
      </c>
      <c r="L1020" s="10" t="s">
        <v>2599</v>
      </c>
    </row>
    <row r="1021" spans="1:12" hidden="1" x14ac:dyDescent="0.35">
      <c r="A1021" s="75">
        <v>7819</v>
      </c>
      <c r="B1021" s="75" t="s">
        <v>2115</v>
      </c>
      <c r="C1021" s="75">
        <v>4380</v>
      </c>
      <c r="D1021" s="75" t="s">
        <v>281</v>
      </c>
      <c r="E1021" s="75" t="s">
        <v>2166</v>
      </c>
      <c r="F1021" s="75" t="s">
        <v>1510</v>
      </c>
      <c r="G1021" s="76">
        <v>45729</v>
      </c>
      <c r="H1021" s="75" t="s">
        <v>9</v>
      </c>
      <c r="I1021" s="75" t="s">
        <v>54</v>
      </c>
      <c r="J1021" s="75">
        <v>0</v>
      </c>
      <c r="K1021" s="75" t="str">
        <f t="shared" si="15"/>
        <v>03-2025</v>
      </c>
      <c r="L1021" s="10" t="s">
        <v>2599</v>
      </c>
    </row>
    <row r="1022" spans="1:12" hidden="1" x14ac:dyDescent="0.35">
      <c r="A1022" s="75">
        <v>5266</v>
      </c>
      <c r="B1022" s="75" t="s">
        <v>2049</v>
      </c>
      <c r="C1022" s="75">
        <v>5726</v>
      </c>
      <c r="D1022" s="75" t="s">
        <v>853</v>
      </c>
      <c r="E1022" s="75" t="s">
        <v>2167</v>
      </c>
      <c r="F1022" s="75" t="s">
        <v>1510</v>
      </c>
      <c r="G1022" s="76">
        <v>45728</v>
      </c>
      <c r="H1022" s="75" t="s">
        <v>250</v>
      </c>
      <c r="I1022" s="75" t="s">
        <v>32</v>
      </c>
      <c r="J1022" s="75">
        <v>0</v>
      </c>
      <c r="K1022" s="75" t="str">
        <f t="shared" si="15"/>
        <v>03-2025</v>
      </c>
      <c r="L1022" s="10" t="s">
        <v>2599</v>
      </c>
    </row>
    <row r="1023" spans="1:12" hidden="1" x14ac:dyDescent="0.35">
      <c r="A1023" s="75">
        <v>7526</v>
      </c>
      <c r="B1023" s="75" t="s">
        <v>821</v>
      </c>
      <c r="C1023" s="75">
        <v>5726</v>
      </c>
      <c r="D1023" s="75" t="s">
        <v>853</v>
      </c>
      <c r="E1023" s="75" t="s">
        <v>2168</v>
      </c>
      <c r="F1023" s="75" t="s">
        <v>1510</v>
      </c>
      <c r="G1023" s="76">
        <v>45728</v>
      </c>
      <c r="H1023" s="75" t="s">
        <v>250</v>
      </c>
      <c r="I1023" s="75" t="s">
        <v>54</v>
      </c>
      <c r="J1023" s="75">
        <v>0</v>
      </c>
      <c r="K1023" s="75" t="str">
        <f t="shared" si="15"/>
        <v>03-2025</v>
      </c>
      <c r="L1023" s="10" t="s">
        <v>2599</v>
      </c>
    </row>
    <row r="1024" spans="1:12" hidden="1" x14ac:dyDescent="0.35">
      <c r="A1024" s="75">
        <v>4935</v>
      </c>
      <c r="B1024" s="75" t="s">
        <v>753</v>
      </c>
      <c r="C1024" s="75">
        <v>2430</v>
      </c>
      <c r="D1024" s="75" t="s">
        <v>1532</v>
      </c>
      <c r="E1024" s="75" t="s">
        <v>2169</v>
      </c>
      <c r="F1024" s="75" t="s">
        <v>1510</v>
      </c>
      <c r="G1024" s="76">
        <v>45728</v>
      </c>
      <c r="H1024" s="75" t="s">
        <v>35</v>
      </c>
      <c r="I1024" s="75" t="s">
        <v>10</v>
      </c>
      <c r="J1024" s="75">
        <v>0</v>
      </c>
      <c r="K1024" s="75" t="str">
        <f t="shared" si="15"/>
        <v>03-2025</v>
      </c>
      <c r="L1024" s="10" t="s">
        <v>2599</v>
      </c>
    </row>
    <row r="1025" spans="1:12" hidden="1" x14ac:dyDescent="0.35">
      <c r="A1025" s="75">
        <v>7808</v>
      </c>
      <c r="B1025" s="75" t="s">
        <v>177</v>
      </c>
      <c r="C1025" s="75">
        <v>7744</v>
      </c>
      <c r="D1025" s="75" t="s">
        <v>2041</v>
      </c>
      <c r="E1025" s="75" t="s">
        <v>2170</v>
      </c>
      <c r="F1025" s="75" t="s">
        <v>1510</v>
      </c>
      <c r="G1025" s="76">
        <v>45727</v>
      </c>
      <c r="H1025" s="75" t="s">
        <v>21</v>
      </c>
      <c r="I1025" s="75" t="s">
        <v>54</v>
      </c>
      <c r="J1025" s="75">
        <v>0</v>
      </c>
      <c r="K1025" s="75" t="str">
        <f t="shared" si="15"/>
        <v>03-2025</v>
      </c>
      <c r="L1025" s="10" t="s">
        <v>2599</v>
      </c>
    </row>
    <row r="1026" spans="1:12" hidden="1" x14ac:dyDescent="0.35">
      <c r="A1026" s="75">
        <v>6690</v>
      </c>
      <c r="B1026" s="75" t="s">
        <v>280</v>
      </c>
      <c r="C1026" s="75">
        <v>7771</v>
      </c>
      <c r="D1026" s="75" t="s">
        <v>810</v>
      </c>
      <c r="E1026" s="75" t="s">
        <v>2171</v>
      </c>
      <c r="F1026" s="75" t="s">
        <v>1510</v>
      </c>
      <c r="G1026" s="76">
        <v>45726</v>
      </c>
      <c r="H1026" s="75" t="s">
        <v>16</v>
      </c>
      <c r="I1026" s="75" t="s">
        <v>10</v>
      </c>
      <c r="J1026" s="75">
        <v>0</v>
      </c>
      <c r="K1026" s="75" t="str">
        <f t="shared" si="15"/>
        <v>03-2025</v>
      </c>
      <c r="L1026" s="10" t="s">
        <v>2599</v>
      </c>
    </row>
    <row r="1027" spans="1:12" hidden="1" x14ac:dyDescent="0.35">
      <c r="A1027" s="75">
        <v>7811</v>
      </c>
      <c r="B1027" s="75" t="s">
        <v>355</v>
      </c>
      <c r="C1027" s="75">
        <v>7517</v>
      </c>
      <c r="D1027" s="75" t="s">
        <v>108</v>
      </c>
      <c r="E1027" s="75" t="s">
        <v>2172</v>
      </c>
      <c r="F1027" s="75" t="s">
        <v>1510</v>
      </c>
      <c r="G1027" s="76">
        <v>45726</v>
      </c>
      <c r="H1027" s="75" t="s">
        <v>21</v>
      </c>
      <c r="I1027" s="75" t="s">
        <v>10</v>
      </c>
      <c r="J1027" s="75">
        <v>0</v>
      </c>
      <c r="K1027" s="75" t="str">
        <f t="shared" ref="K1027:K1090" si="16">TEXT(G1027,"mm-yyyy")</f>
        <v>03-2025</v>
      </c>
      <c r="L1027" s="10" t="s">
        <v>2599</v>
      </c>
    </row>
    <row r="1028" spans="1:12" hidden="1" x14ac:dyDescent="0.35">
      <c r="A1028" s="75">
        <v>7827</v>
      </c>
      <c r="B1028" s="75" t="s">
        <v>349</v>
      </c>
      <c r="C1028" s="75" t="s">
        <v>1508</v>
      </c>
      <c r="D1028" s="75" t="s">
        <v>866</v>
      </c>
      <c r="E1028" s="75" t="s">
        <v>2173</v>
      </c>
      <c r="F1028" s="75" t="s">
        <v>1509</v>
      </c>
      <c r="G1028" s="76">
        <v>45726</v>
      </c>
      <c r="H1028" s="75" t="s">
        <v>395</v>
      </c>
      <c r="I1028" s="75" t="s">
        <v>32</v>
      </c>
      <c r="J1028" s="75">
        <v>500</v>
      </c>
      <c r="K1028" s="75" t="str">
        <f t="shared" si="16"/>
        <v>03-2025</v>
      </c>
      <c r="L1028" s="10" t="s">
        <v>2599</v>
      </c>
    </row>
    <row r="1029" spans="1:12" hidden="1" x14ac:dyDescent="0.35">
      <c r="A1029" s="75">
        <v>2651</v>
      </c>
      <c r="B1029" s="75" t="s">
        <v>295</v>
      </c>
      <c r="C1029" s="75" t="s">
        <v>1508</v>
      </c>
      <c r="D1029" s="75" t="s">
        <v>866</v>
      </c>
      <c r="E1029" s="75" t="s">
        <v>2174</v>
      </c>
      <c r="F1029" s="75" t="s">
        <v>1509</v>
      </c>
      <c r="G1029" s="76">
        <v>45726</v>
      </c>
      <c r="H1029" s="75" t="s">
        <v>35</v>
      </c>
      <c r="I1029" s="75" t="s">
        <v>54</v>
      </c>
      <c r="J1029" s="75">
        <v>500</v>
      </c>
      <c r="K1029" s="75" t="str">
        <f t="shared" si="16"/>
        <v>03-2025</v>
      </c>
      <c r="L1029" s="10" t="s">
        <v>2599</v>
      </c>
    </row>
    <row r="1030" spans="1:12" hidden="1" x14ac:dyDescent="0.35">
      <c r="A1030" s="75">
        <v>3949</v>
      </c>
      <c r="B1030" s="75" t="s">
        <v>440</v>
      </c>
      <c r="C1030" s="75" t="s">
        <v>1508</v>
      </c>
      <c r="D1030" s="75" t="s">
        <v>866</v>
      </c>
      <c r="E1030" s="75" t="s">
        <v>2175</v>
      </c>
      <c r="F1030" s="75" t="s">
        <v>1509</v>
      </c>
      <c r="G1030" s="76">
        <v>45726</v>
      </c>
      <c r="H1030" s="75" t="s">
        <v>16</v>
      </c>
      <c r="I1030" s="75" t="s">
        <v>32</v>
      </c>
      <c r="J1030" s="75">
        <v>500</v>
      </c>
      <c r="K1030" s="75" t="str">
        <f t="shared" si="16"/>
        <v>03-2025</v>
      </c>
      <c r="L1030" s="10" t="s">
        <v>2599</v>
      </c>
    </row>
    <row r="1031" spans="1:12" hidden="1" x14ac:dyDescent="0.35">
      <c r="A1031" s="75">
        <v>7470</v>
      </c>
      <c r="B1031" s="75" t="s">
        <v>276</v>
      </c>
      <c r="C1031" s="75" t="s">
        <v>1508</v>
      </c>
      <c r="D1031" s="75" t="s">
        <v>866</v>
      </c>
      <c r="E1031" s="75" t="s">
        <v>2176</v>
      </c>
      <c r="F1031" s="75" t="s">
        <v>1509</v>
      </c>
      <c r="G1031" s="76">
        <v>45726</v>
      </c>
      <c r="H1031" s="75" t="s">
        <v>35</v>
      </c>
      <c r="I1031" s="75" t="s">
        <v>32</v>
      </c>
      <c r="J1031" s="75">
        <v>500</v>
      </c>
      <c r="K1031" s="75" t="str">
        <f t="shared" si="16"/>
        <v>03-2025</v>
      </c>
      <c r="L1031" s="10" t="s">
        <v>2599</v>
      </c>
    </row>
    <row r="1032" spans="1:12" hidden="1" x14ac:dyDescent="0.35">
      <c r="A1032" s="75">
        <v>7434</v>
      </c>
      <c r="B1032" s="75" t="s">
        <v>285</v>
      </c>
      <c r="C1032" s="75" t="s">
        <v>1508</v>
      </c>
      <c r="D1032" s="75" t="s">
        <v>866</v>
      </c>
      <c r="E1032" s="75" t="s">
        <v>2177</v>
      </c>
      <c r="F1032" s="75" t="s">
        <v>1509</v>
      </c>
      <c r="G1032" s="76">
        <v>45726</v>
      </c>
      <c r="H1032" s="75" t="s">
        <v>35</v>
      </c>
      <c r="I1032" s="75" t="s">
        <v>32</v>
      </c>
      <c r="J1032" s="75">
        <v>500</v>
      </c>
      <c r="K1032" s="75" t="str">
        <f t="shared" si="16"/>
        <v>03-2025</v>
      </c>
      <c r="L1032" s="10" t="s">
        <v>2599</v>
      </c>
    </row>
    <row r="1033" spans="1:12" hidden="1" x14ac:dyDescent="0.35">
      <c r="A1033" s="75">
        <v>7363</v>
      </c>
      <c r="B1033" s="75" t="s">
        <v>1838</v>
      </c>
      <c r="C1033" s="75" t="s">
        <v>1508</v>
      </c>
      <c r="D1033" s="75" t="s">
        <v>866</v>
      </c>
      <c r="E1033" s="75" t="s">
        <v>2178</v>
      </c>
      <c r="F1033" s="75" t="s">
        <v>1509</v>
      </c>
      <c r="G1033" s="76">
        <v>45726</v>
      </c>
      <c r="H1033" s="75" t="s">
        <v>73</v>
      </c>
      <c r="I1033" s="75" t="s">
        <v>54</v>
      </c>
      <c r="J1033" s="75">
        <v>500</v>
      </c>
      <c r="K1033" s="75" t="str">
        <f t="shared" si="16"/>
        <v>03-2025</v>
      </c>
      <c r="L1033" s="10" t="s">
        <v>2599</v>
      </c>
    </row>
    <row r="1034" spans="1:12" hidden="1" x14ac:dyDescent="0.35">
      <c r="A1034" s="75">
        <v>5782</v>
      </c>
      <c r="B1034" s="75" t="s">
        <v>442</v>
      </c>
      <c r="C1034" s="75" t="s">
        <v>1508</v>
      </c>
      <c r="D1034" s="75" t="s">
        <v>866</v>
      </c>
      <c r="E1034" s="75" t="s">
        <v>2179</v>
      </c>
      <c r="F1034" s="75" t="s">
        <v>1509</v>
      </c>
      <c r="G1034" s="76">
        <v>45726</v>
      </c>
      <c r="H1034" s="75" t="s">
        <v>40</v>
      </c>
      <c r="I1034" s="75" t="s">
        <v>54</v>
      </c>
      <c r="J1034" s="75">
        <v>500</v>
      </c>
      <c r="K1034" s="75" t="str">
        <f t="shared" si="16"/>
        <v>03-2025</v>
      </c>
      <c r="L1034" s="10" t="s">
        <v>2599</v>
      </c>
    </row>
    <row r="1035" spans="1:12" hidden="1" x14ac:dyDescent="0.35">
      <c r="A1035" s="75">
        <v>7585</v>
      </c>
      <c r="B1035" s="75" t="s">
        <v>407</v>
      </c>
      <c r="C1035" s="75" t="s">
        <v>1508</v>
      </c>
      <c r="D1035" s="75" t="s">
        <v>866</v>
      </c>
      <c r="E1035" s="75" t="s">
        <v>2180</v>
      </c>
      <c r="F1035" s="75" t="s">
        <v>1509</v>
      </c>
      <c r="G1035" s="76">
        <v>45726</v>
      </c>
      <c r="H1035" s="75" t="s">
        <v>16</v>
      </c>
      <c r="I1035" s="75" t="e">
        <v>#N/A</v>
      </c>
      <c r="J1035" s="75">
        <v>500</v>
      </c>
      <c r="K1035" s="75" t="str">
        <f t="shared" si="16"/>
        <v>03-2025</v>
      </c>
      <c r="L1035" s="10" t="s">
        <v>2599</v>
      </c>
    </row>
    <row r="1036" spans="1:12" hidden="1" x14ac:dyDescent="0.35">
      <c r="A1036" s="75">
        <v>7547</v>
      </c>
      <c r="B1036" s="75" t="s">
        <v>816</v>
      </c>
      <c r="C1036" s="75" t="s">
        <v>1508</v>
      </c>
      <c r="D1036" s="75" t="s">
        <v>866</v>
      </c>
      <c r="E1036" s="75" t="s">
        <v>2181</v>
      </c>
      <c r="F1036" s="75" t="s">
        <v>1509</v>
      </c>
      <c r="G1036" s="76">
        <v>45726</v>
      </c>
      <c r="H1036" s="75" t="s">
        <v>73</v>
      </c>
      <c r="I1036" s="75" t="s">
        <v>32</v>
      </c>
      <c r="J1036" s="75">
        <v>500</v>
      </c>
      <c r="K1036" s="75" t="str">
        <f t="shared" si="16"/>
        <v>03-2025</v>
      </c>
      <c r="L1036" s="10" t="s">
        <v>2599</v>
      </c>
    </row>
    <row r="1037" spans="1:12" hidden="1" x14ac:dyDescent="0.35">
      <c r="A1037" s="75">
        <v>7576</v>
      </c>
      <c r="B1037" s="75" t="s">
        <v>422</v>
      </c>
      <c r="C1037" s="75" t="s">
        <v>1508</v>
      </c>
      <c r="D1037" s="75" t="s">
        <v>866</v>
      </c>
      <c r="E1037" s="75" t="s">
        <v>2182</v>
      </c>
      <c r="F1037" s="75" t="s">
        <v>1509</v>
      </c>
      <c r="G1037" s="76">
        <v>45726</v>
      </c>
      <c r="H1037" s="75" t="s">
        <v>73</v>
      </c>
      <c r="I1037" s="75" t="s">
        <v>54</v>
      </c>
      <c r="J1037" s="75">
        <v>500</v>
      </c>
      <c r="K1037" s="75" t="str">
        <f t="shared" si="16"/>
        <v>03-2025</v>
      </c>
      <c r="L1037" s="10" t="s">
        <v>2599</v>
      </c>
    </row>
    <row r="1038" spans="1:12" hidden="1" x14ac:dyDescent="0.35">
      <c r="A1038" s="75">
        <v>2826</v>
      </c>
      <c r="B1038" s="75" t="s">
        <v>169</v>
      </c>
      <c r="C1038" s="75" t="s">
        <v>1508</v>
      </c>
      <c r="D1038" s="75" t="s">
        <v>866</v>
      </c>
      <c r="E1038" s="75" t="s">
        <v>2183</v>
      </c>
      <c r="F1038" s="75" t="s">
        <v>1509</v>
      </c>
      <c r="G1038" s="76">
        <v>45726</v>
      </c>
      <c r="H1038" s="75" t="s">
        <v>9</v>
      </c>
      <c r="I1038" s="75" t="s">
        <v>10</v>
      </c>
      <c r="J1038" s="75">
        <v>500</v>
      </c>
      <c r="K1038" s="75" t="str">
        <f t="shared" si="16"/>
        <v>03-2025</v>
      </c>
      <c r="L1038" s="10" t="s">
        <v>2599</v>
      </c>
    </row>
    <row r="1039" spans="1:12" hidden="1" x14ac:dyDescent="0.35">
      <c r="A1039" s="75">
        <v>7517</v>
      </c>
      <c r="B1039" s="75" t="s">
        <v>108</v>
      </c>
      <c r="C1039" s="75" t="s">
        <v>1508</v>
      </c>
      <c r="D1039" s="75" t="s">
        <v>866</v>
      </c>
      <c r="E1039" s="75" t="s">
        <v>2184</v>
      </c>
      <c r="F1039" s="75" t="s">
        <v>1509</v>
      </c>
      <c r="G1039" s="76">
        <v>45726</v>
      </c>
      <c r="H1039" s="75" t="s">
        <v>9</v>
      </c>
      <c r="I1039" s="75" t="s">
        <v>54</v>
      </c>
      <c r="J1039" s="75">
        <v>500</v>
      </c>
      <c r="K1039" s="75" t="str">
        <f t="shared" si="16"/>
        <v>03-2025</v>
      </c>
      <c r="L1039" s="10" t="s">
        <v>2599</v>
      </c>
    </row>
    <row r="1040" spans="1:12" hidden="1" x14ac:dyDescent="0.35">
      <c r="A1040" s="75">
        <v>4068</v>
      </c>
      <c r="B1040" s="75" t="s">
        <v>178</v>
      </c>
      <c r="C1040" s="75" t="s">
        <v>1508</v>
      </c>
      <c r="D1040" s="75" t="s">
        <v>866</v>
      </c>
      <c r="E1040" s="75" t="s">
        <v>2185</v>
      </c>
      <c r="F1040" s="75" t="s">
        <v>1509</v>
      </c>
      <c r="G1040" s="76">
        <v>45726</v>
      </c>
      <c r="H1040" s="75" t="s">
        <v>9</v>
      </c>
      <c r="I1040" s="75" t="s">
        <v>54</v>
      </c>
      <c r="J1040" s="75">
        <v>500</v>
      </c>
      <c r="K1040" s="75" t="str">
        <f t="shared" si="16"/>
        <v>03-2025</v>
      </c>
      <c r="L1040" s="10" t="s">
        <v>2599</v>
      </c>
    </row>
    <row r="1041" spans="1:12" hidden="1" x14ac:dyDescent="0.35">
      <c r="A1041" s="75">
        <v>7776</v>
      </c>
      <c r="B1041" s="75" t="s">
        <v>2044</v>
      </c>
      <c r="C1041" s="75" t="s">
        <v>1508</v>
      </c>
      <c r="D1041" s="75" t="s">
        <v>866</v>
      </c>
      <c r="E1041" s="75" t="s">
        <v>2186</v>
      </c>
      <c r="F1041" s="75" t="s">
        <v>1509</v>
      </c>
      <c r="G1041" s="76">
        <v>45726</v>
      </c>
      <c r="H1041" s="75" t="s">
        <v>9</v>
      </c>
      <c r="I1041" s="75" t="s">
        <v>54</v>
      </c>
      <c r="J1041" s="75">
        <v>500</v>
      </c>
      <c r="K1041" s="75" t="str">
        <f t="shared" si="16"/>
        <v>03-2025</v>
      </c>
      <c r="L1041" s="10" t="s">
        <v>2599</v>
      </c>
    </row>
    <row r="1042" spans="1:12" hidden="1" x14ac:dyDescent="0.35">
      <c r="A1042" s="75">
        <v>7654</v>
      </c>
      <c r="B1042" s="75" t="s">
        <v>55</v>
      </c>
      <c r="C1042" s="75" t="s">
        <v>1508</v>
      </c>
      <c r="D1042" s="75" t="s">
        <v>866</v>
      </c>
      <c r="E1042" s="75" t="s">
        <v>2187</v>
      </c>
      <c r="F1042" s="75" t="s">
        <v>1509</v>
      </c>
      <c r="G1042" s="76">
        <v>45726</v>
      </c>
      <c r="H1042" s="75" t="s">
        <v>16</v>
      </c>
      <c r="I1042" s="75" t="s">
        <v>10</v>
      </c>
      <c r="J1042" s="75">
        <v>500</v>
      </c>
      <c r="K1042" s="75" t="str">
        <f t="shared" si="16"/>
        <v>03-2025</v>
      </c>
      <c r="L1042" s="10" t="s">
        <v>2599</v>
      </c>
    </row>
    <row r="1043" spans="1:12" hidden="1" x14ac:dyDescent="0.35">
      <c r="A1043" s="75">
        <v>7512</v>
      </c>
      <c r="B1043" s="75" t="s">
        <v>646</v>
      </c>
      <c r="C1043" s="75" t="s">
        <v>1508</v>
      </c>
      <c r="D1043" s="75" t="s">
        <v>866</v>
      </c>
      <c r="E1043" s="75" t="s">
        <v>2188</v>
      </c>
      <c r="F1043" s="75" t="s">
        <v>1509</v>
      </c>
      <c r="G1043" s="76">
        <v>45726</v>
      </c>
      <c r="H1043" s="75" t="s">
        <v>9</v>
      </c>
      <c r="I1043" s="75" t="s">
        <v>10</v>
      </c>
      <c r="J1043" s="75">
        <v>500</v>
      </c>
      <c r="K1043" s="75" t="str">
        <f t="shared" si="16"/>
        <v>03-2025</v>
      </c>
      <c r="L1043" s="10" t="s">
        <v>2599</v>
      </c>
    </row>
    <row r="1044" spans="1:12" hidden="1" x14ac:dyDescent="0.35">
      <c r="A1044" s="75">
        <v>7398</v>
      </c>
      <c r="B1044" s="75" t="s">
        <v>645</v>
      </c>
      <c r="C1044" s="75" t="s">
        <v>1508</v>
      </c>
      <c r="D1044" s="75" t="s">
        <v>866</v>
      </c>
      <c r="E1044" s="75" t="s">
        <v>2189</v>
      </c>
      <c r="F1044" s="75" t="s">
        <v>1509</v>
      </c>
      <c r="G1044" s="76">
        <v>45726</v>
      </c>
      <c r="H1044" s="75" t="s">
        <v>9</v>
      </c>
      <c r="I1044" s="75" t="s">
        <v>10</v>
      </c>
      <c r="J1044" s="75">
        <v>500</v>
      </c>
      <c r="K1044" s="75" t="str">
        <f t="shared" si="16"/>
        <v>03-2025</v>
      </c>
      <c r="L1044" s="10" t="s">
        <v>2599</v>
      </c>
    </row>
    <row r="1045" spans="1:12" hidden="1" x14ac:dyDescent="0.35">
      <c r="A1045" s="75">
        <v>7969</v>
      </c>
      <c r="B1045" s="75" t="s">
        <v>2042</v>
      </c>
      <c r="C1045" s="75" t="s">
        <v>1508</v>
      </c>
      <c r="D1045" s="75" t="s">
        <v>866</v>
      </c>
      <c r="E1045" s="75" t="s">
        <v>2190</v>
      </c>
      <c r="F1045" s="75" t="s">
        <v>1509</v>
      </c>
      <c r="G1045" s="76">
        <v>45726</v>
      </c>
      <c r="H1045" s="75" t="s">
        <v>9</v>
      </c>
      <c r="I1045" s="75" t="s">
        <v>32</v>
      </c>
      <c r="J1045" s="75">
        <v>500</v>
      </c>
      <c r="K1045" s="75" t="str">
        <f t="shared" si="16"/>
        <v>03-2025</v>
      </c>
      <c r="L1045" s="10" t="s">
        <v>2599</v>
      </c>
    </row>
    <row r="1046" spans="1:12" hidden="1" x14ac:dyDescent="0.35">
      <c r="A1046" s="75">
        <v>4416</v>
      </c>
      <c r="B1046" s="75" t="s">
        <v>269</v>
      </c>
      <c r="C1046" s="75" t="s">
        <v>1508</v>
      </c>
      <c r="D1046" s="75" t="s">
        <v>866</v>
      </c>
      <c r="E1046" s="75" t="s">
        <v>2191</v>
      </c>
      <c r="F1046" s="75" t="s">
        <v>1509</v>
      </c>
      <c r="G1046" s="76">
        <v>45726</v>
      </c>
      <c r="H1046" s="75" t="s">
        <v>35</v>
      </c>
      <c r="I1046" s="75" t="s">
        <v>251</v>
      </c>
      <c r="J1046" s="75">
        <v>500</v>
      </c>
      <c r="K1046" s="75" t="str">
        <f t="shared" si="16"/>
        <v>03-2025</v>
      </c>
      <c r="L1046" s="10" t="s">
        <v>2599</v>
      </c>
    </row>
    <row r="1047" spans="1:12" hidden="1" x14ac:dyDescent="0.35">
      <c r="A1047" s="75">
        <v>3018</v>
      </c>
      <c r="B1047" s="75" t="s">
        <v>2123</v>
      </c>
      <c r="C1047" s="75" t="s">
        <v>1508</v>
      </c>
      <c r="D1047" s="75" t="s">
        <v>866</v>
      </c>
      <c r="E1047" s="75" t="s">
        <v>2192</v>
      </c>
      <c r="F1047" s="75" t="s">
        <v>1509</v>
      </c>
      <c r="G1047" s="76">
        <v>45726</v>
      </c>
      <c r="H1047" s="75" t="s">
        <v>40</v>
      </c>
      <c r="I1047" s="75" t="s">
        <v>10</v>
      </c>
      <c r="J1047" s="75">
        <v>500</v>
      </c>
      <c r="K1047" s="75" t="str">
        <f t="shared" si="16"/>
        <v>03-2025</v>
      </c>
      <c r="L1047" s="10" t="s">
        <v>2599</v>
      </c>
    </row>
    <row r="1048" spans="1:12" hidden="1" x14ac:dyDescent="0.35">
      <c r="A1048" s="75">
        <v>7816</v>
      </c>
      <c r="B1048" s="75" t="s">
        <v>423</v>
      </c>
      <c r="C1048" s="75" t="s">
        <v>1508</v>
      </c>
      <c r="D1048" s="75" t="s">
        <v>866</v>
      </c>
      <c r="E1048" s="75" t="s">
        <v>2193</v>
      </c>
      <c r="F1048" s="75" t="s">
        <v>1509</v>
      </c>
      <c r="G1048" s="76">
        <v>45726</v>
      </c>
      <c r="H1048" s="75" t="s">
        <v>21</v>
      </c>
      <c r="I1048" s="75" t="s">
        <v>251</v>
      </c>
      <c r="J1048" s="75">
        <v>500</v>
      </c>
      <c r="K1048" s="75" t="str">
        <f t="shared" si="16"/>
        <v>03-2025</v>
      </c>
      <c r="L1048" s="10" t="s">
        <v>2599</v>
      </c>
    </row>
    <row r="1049" spans="1:12" hidden="1" x14ac:dyDescent="0.35">
      <c r="A1049" s="75">
        <v>6637</v>
      </c>
      <c r="B1049" s="75" t="s">
        <v>2120</v>
      </c>
      <c r="C1049" s="75" t="s">
        <v>1508</v>
      </c>
      <c r="D1049" s="75" t="s">
        <v>866</v>
      </c>
      <c r="E1049" s="75" t="s">
        <v>2194</v>
      </c>
      <c r="F1049" s="75" t="s">
        <v>1509</v>
      </c>
      <c r="G1049" s="76">
        <v>45726</v>
      </c>
      <c r="H1049" s="75" t="s">
        <v>40</v>
      </c>
      <c r="I1049" s="75" t="s">
        <v>32</v>
      </c>
      <c r="J1049" s="75">
        <v>500</v>
      </c>
      <c r="K1049" s="75" t="str">
        <f t="shared" si="16"/>
        <v>03-2025</v>
      </c>
      <c r="L1049" s="10" t="s">
        <v>2599</v>
      </c>
    </row>
    <row r="1050" spans="1:12" hidden="1" x14ac:dyDescent="0.35">
      <c r="A1050" s="75">
        <v>7930</v>
      </c>
      <c r="B1050" s="75" t="s">
        <v>1822</v>
      </c>
      <c r="C1050" s="75" t="s">
        <v>1508</v>
      </c>
      <c r="D1050" s="75" t="s">
        <v>866</v>
      </c>
      <c r="E1050" s="75" t="s">
        <v>2195</v>
      </c>
      <c r="F1050" s="75" t="s">
        <v>1509</v>
      </c>
      <c r="G1050" s="76">
        <v>45726</v>
      </c>
      <c r="H1050" s="75" t="s">
        <v>73</v>
      </c>
      <c r="I1050" s="75" t="s">
        <v>32</v>
      </c>
      <c r="J1050" s="75">
        <v>500</v>
      </c>
      <c r="K1050" s="75" t="str">
        <f t="shared" si="16"/>
        <v>03-2025</v>
      </c>
      <c r="L1050" s="10" t="s">
        <v>2599</v>
      </c>
    </row>
    <row r="1051" spans="1:12" hidden="1" x14ac:dyDescent="0.35">
      <c r="A1051" s="75">
        <v>2990</v>
      </c>
      <c r="B1051" s="75" t="s">
        <v>297</v>
      </c>
      <c r="C1051" s="75" t="s">
        <v>1508</v>
      </c>
      <c r="D1051" s="75" t="s">
        <v>866</v>
      </c>
      <c r="E1051" s="75" t="s">
        <v>2196</v>
      </c>
      <c r="F1051" s="75" t="s">
        <v>1509</v>
      </c>
      <c r="G1051" s="76">
        <v>45726</v>
      </c>
      <c r="H1051" s="75" t="s">
        <v>35</v>
      </c>
      <c r="I1051" s="75" t="s">
        <v>54</v>
      </c>
      <c r="J1051" s="75">
        <v>500</v>
      </c>
      <c r="K1051" s="75" t="str">
        <f t="shared" si="16"/>
        <v>03-2025</v>
      </c>
      <c r="L1051" s="10" t="s">
        <v>2599</v>
      </c>
    </row>
    <row r="1052" spans="1:12" hidden="1" x14ac:dyDescent="0.35">
      <c r="A1052" s="75">
        <v>3458</v>
      </c>
      <c r="B1052" s="75" t="s">
        <v>452</v>
      </c>
      <c r="C1052" s="75">
        <v>2477</v>
      </c>
      <c r="D1052" s="75" t="s">
        <v>367</v>
      </c>
      <c r="E1052" s="75" t="s">
        <v>2197</v>
      </c>
      <c r="F1052" s="75" t="s">
        <v>1510</v>
      </c>
      <c r="G1052" s="76">
        <v>45726</v>
      </c>
      <c r="H1052" s="75" t="s">
        <v>9</v>
      </c>
      <c r="I1052" s="75" t="s">
        <v>32</v>
      </c>
      <c r="J1052" s="75">
        <v>0</v>
      </c>
      <c r="K1052" s="75" t="str">
        <f t="shared" si="16"/>
        <v>03-2025</v>
      </c>
      <c r="L1052" s="10" t="s">
        <v>2599</v>
      </c>
    </row>
    <row r="1053" spans="1:12" hidden="1" x14ac:dyDescent="0.35">
      <c r="A1053" s="75">
        <v>7434</v>
      </c>
      <c r="B1053" s="75" t="s">
        <v>285</v>
      </c>
      <c r="C1053" s="75">
        <v>2220</v>
      </c>
      <c r="D1053" s="75" t="s">
        <v>33</v>
      </c>
      <c r="E1053" s="75" t="s">
        <v>2198</v>
      </c>
      <c r="F1053" s="75" t="s">
        <v>1510</v>
      </c>
      <c r="G1053" s="76">
        <v>45723</v>
      </c>
      <c r="H1053" s="75" t="s">
        <v>35</v>
      </c>
      <c r="I1053" s="75" t="s">
        <v>32</v>
      </c>
      <c r="J1053" s="75">
        <v>0</v>
      </c>
      <c r="K1053" s="75" t="str">
        <f t="shared" si="16"/>
        <v>03-2025</v>
      </c>
      <c r="L1053" s="10" t="s">
        <v>2599</v>
      </c>
    </row>
    <row r="1054" spans="1:12" hidden="1" x14ac:dyDescent="0.35">
      <c r="A1054" s="75">
        <v>7274</v>
      </c>
      <c r="B1054" s="75" t="s">
        <v>2119</v>
      </c>
      <c r="C1054" s="75">
        <v>4935</v>
      </c>
      <c r="D1054" s="75" t="s">
        <v>753</v>
      </c>
      <c r="E1054" s="75" t="s">
        <v>2199</v>
      </c>
      <c r="F1054" s="75" t="s">
        <v>1510</v>
      </c>
      <c r="G1054" s="76">
        <v>45722</v>
      </c>
      <c r="H1054" s="75" t="s">
        <v>35</v>
      </c>
      <c r="I1054" s="75" t="s">
        <v>54</v>
      </c>
      <c r="J1054" s="75">
        <v>0</v>
      </c>
      <c r="K1054" s="75" t="str">
        <f t="shared" si="16"/>
        <v>03-2025</v>
      </c>
      <c r="L1054" s="10" t="s">
        <v>2599</v>
      </c>
    </row>
    <row r="1055" spans="1:12" hidden="1" x14ac:dyDescent="0.35">
      <c r="A1055" s="75">
        <v>7961</v>
      </c>
      <c r="B1055" s="75" t="s">
        <v>2077</v>
      </c>
      <c r="C1055" s="75">
        <v>6481</v>
      </c>
      <c r="D1055" s="75" t="s">
        <v>126</v>
      </c>
      <c r="E1055" s="75" t="s">
        <v>2200</v>
      </c>
      <c r="F1055" s="75" t="s">
        <v>1510</v>
      </c>
      <c r="G1055" s="76">
        <v>45721</v>
      </c>
      <c r="H1055" s="75" t="s">
        <v>9</v>
      </c>
      <c r="I1055" s="75" t="s">
        <v>10</v>
      </c>
      <c r="J1055" s="75">
        <v>0</v>
      </c>
      <c r="K1055" s="75" t="str">
        <f t="shared" si="16"/>
        <v>03-2025</v>
      </c>
      <c r="L1055" s="10" t="s">
        <v>2599</v>
      </c>
    </row>
    <row r="1056" spans="1:12" hidden="1" x14ac:dyDescent="0.35">
      <c r="A1056" s="75">
        <v>7426</v>
      </c>
      <c r="B1056" s="75" t="s">
        <v>19</v>
      </c>
      <c r="C1056" s="75">
        <v>5428</v>
      </c>
      <c r="D1056" s="75" t="s">
        <v>647</v>
      </c>
      <c r="E1056" s="75" t="s">
        <v>2201</v>
      </c>
      <c r="F1056" s="75" t="s">
        <v>1510</v>
      </c>
      <c r="G1056" s="76">
        <v>45720</v>
      </c>
      <c r="H1056" s="75" t="s">
        <v>21</v>
      </c>
      <c r="I1056" s="75" t="s">
        <v>251</v>
      </c>
      <c r="J1056" s="75">
        <v>0</v>
      </c>
      <c r="K1056" s="75" t="str">
        <f t="shared" si="16"/>
        <v>03-2025</v>
      </c>
      <c r="L1056" s="10" t="s">
        <v>2599</v>
      </c>
    </row>
    <row r="1057" spans="1:12" hidden="1" x14ac:dyDescent="0.35">
      <c r="A1057" s="75">
        <v>7923</v>
      </c>
      <c r="B1057" s="75" t="s">
        <v>1847</v>
      </c>
      <c r="C1057" s="75">
        <v>2948</v>
      </c>
      <c r="D1057" s="75" t="s">
        <v>1871</v>
      </c>
      <c r="E1057" s="75" t="s">
        <v>2202</v>
      </c>
      <c r="F1057" s="75" t="s">
        <v>1510</v>
      </c>
      <c r="G1057" s="76">
        <v>45720</v>
      </c>
      <c r="H1057" s="75" t="s">
        <v>73</v>
      </c>
      <c r="I1057" s="75" t="e">
        <v>#N/A</v>
      </c>
      <c r="J1057" s="75">
        <v>0</v>
      </c>
      <c r="K1057" s="75" t="str">
        <f t="shared" si="16"/>
        <v>03-2025</v>
      </c>
      <c r="L1057" s="10" t="s">
        <v>2599</v>
      </c>
    </row>
    <row r="1058" spans="1:12" hidden="1" x14ac:dyDescent="0.35">
      <c r="A1058" s="75">
        <v>6762</v>
      </c>
      <c r="B1058" s="75" t="s">
        <v>2117</v>
      </c>
      <c r="C1058" s="75">
        <v>2948</v>
      </c>
      <c r="D1058" s="75" t="s">
        <v>1871</v>
      </c>
      <c r="E1058" s="75" t="s">
        <v>2202</v>
      </c>
      <c r="F1058" s="75" t="s">
        <v>1510</v>
      </c>
      <c r="G1058" s="76">
        <v>45720</v>
      </c>
      <c r="H1058" s="75" t="s">
        <v>73</v>
      </c>
      <c r="I1058" s="75" t="s">
        <v>251</v>
      </c>
      <c r="J1058" s="75">
        <v>0</v>
      </c>
      <c r="K1058" s="75" t="str">
        <f t="shared" si="16"/>
        <v>03-2025</v>
      </c>
      <c r="L1058" s="10" t="s">
        <v>2599</v>
      </c>
    </row>
    <row r="1059" spans="1:12" hidden="1" x14ac:dyDescent="0.35">
      <c r="A1059" s="75">
        <v>7921</v>
      </c>
      <c r="B1059" s="75" t="s">
        <v>2116</v>
      </c>
      <c r="C1059" s="75">
        <v>2948</v>
      </c>
      <c r="D1059" s="75" t="s">
        <v>1871</v>
      </c>
      <c r="E1059" s="75" t="s">
        <v>2202</v>
      </c>
      <c r="F1059" s="75" t="s">
        <v>1510</v>
      </c>
      <c r="G1059" s="76">
        <v>45720</v>
      </c>
      <c r="H1059" s="75" t="s">
        <v>73</v>
      </c>
      <c r="I1059" s="75" t="s">
        <v>251</v>
      </c>
      <c r="J1059" s="75">
        <v>0</v>
      </c>
      <c r="K1059" s="75" t="str">
        <f t="shared" si="16"/>
        <v>03-2025</v>
      </c>
      <c r="L1059" s="10" t="s">
        <v>2599</v>
      </c>
    </row>
    <row r="1060" spans="1:12" hidden="1" x14ac:dyDescent="0.35">
      <c r="A1060" s="75">
        <v>7299</v>
      </c>
      <c r="B1060" s="75" t="s">
        <v>2124</v>
      </c>
      <c r="C1060" s="75">
        <v>2948</v>
      </c>
      <c r="D1060" s="75" t="s">
        <v>1871</v>
      </c>
      <c r="E1060" s="75" t="s">
        <v>2203</v>
      </c>
      <c r="F1060" s="75" t="s">
        <v>1510</v>
      </c>
      <c r="G1060" s="76">
        <v>45720</v>
      </c>
      <c r="H1060" s="75" t="s">
        <v>73</v>
      </c>
      <c r="I1060" s="75" t="e">
        <v>#N/A</v>
      </c>
      <c r="J1060" s="75">
        <v>0</v>
      </c>
      <c r="K1060" s="75" t="str">
        <f t="shared" si="16"/>
        <v>03-2025</v>
      </c>
      <c r="L1060" s="10" t="s">
        <v>2599</v>
      </c>
    </row>
    <row r="1061" spans="1:12" hidden="1" x14ac:dyDescent="0.35">
      <c r="A1061" s="75">
        <v>7547</v>
      </c>
      <c r="B1061" s="75" t="s">
        <v>816</v>
      </c>
      <c r="C1061" s="75">
        <v>3541</v>
      </c>
      <c r="D1061" s="75" t="s">
        <v>2135</v>
      </c>
      <c r="E1061" s="75" t="s">
        <v>2204</v>
      </c>
      <c r="F1061" s="75" t="s">
        <v>1510</v>
      </c>
      <c r="G1061" s="76">
        <v>45716</v>
      </c>
      <c r="H1061" s="75" t="s">
        <v>73</v>
      </c>
      <c r="I1061" s="75" t="s">
        <v>32</v>
      </c>
      <c r="J1061" s="75">
        <v>0</v>
      </c>
      <c r="K1061" s="75" t="str">
        <f t="shared" si="16"/>
        <v>02-2025</v>
      </c>
      <c r="L1061" s="10" t="s">
        <v>2599</v>
      </c>
    </row>
    <row r="1062" spans="1:12" hidden="1" x14ac:dyDescent="0.35">
      <c r="A1062" s="75">
        <v>7364</v>
      </c>
      <c r="B1062" s="75" t="s">
        <v>2125</v>
      </c>
      <c r="C1062" s="75">
        <v>7777</v>
      </c>
      <c r="D1062" s="75" t="s">
        <v>652</v>
      </c>
      <c r="E1062" s="75" t="s">
        <v>2205</v>
      </c>
      <c r="F1062" s="75" t="s">
        <v>1509</v>
      </c>
      <c r="G1062" s="76">
        <v>45716</v>
      </c>
      <c r="H1062" s="75" t="s">
        <v>73</v>
      </c>
      <c r="I1062" s="75" t="s">
        <v>10</v>
      </c>
      <c r="J1062" s="75">
        <v>500</v>
      </c>
      <c r="K1062" s="75" t="str">
        <f t="shared" si="16"/>
        <v>02-2025</v>
      </c>
      <c r="L1062" s="10" t="s">
        <v>2599</v>
      </c>
    </row>
    <row r="1063" spans="1:12" hidden="1" x14ac:dyDescent="0.35">
      <c r="A1063" s="75">
        <v>7512</v>
      </c>
      <c r="B1063" s="75" t="s">
        <v>646</v>
      </c>
      <c r="C1063" s="75">
        <v>7398</v>
      </c>
      <c r="D1063" s="75" t="s">
        <v>645</v>
      </c>
      <c r="E1063" s="75" t="s">
        <v>2206</v>
      </c>
      <c r="F1063" s="75" t="s">
        <v>1510</v>
      </c>
      <c r="G1063" s="76">
        <v>45716</v>
      </c>
      <c r="H1063" s="75" t="s">
        <v>9</v>
      </c>
      <c r="I1063" s="75" t="s">
        <v>10</v>
      </c>
      <c r="J1063" s="75">
        <v>0</v>
      </c>
      <c r="K1063" s="75" t="str">
        <f t="shared" si="16"/>
        <v>02-2025</v>
      </c>
      <c r="L1063" s="10" t="s">
        <v>2599</v>
      </c>
    </row>
    <row r="1064" spans="1:12" hidden="1" x14ac:dyDescent="0.35">
      <c r="A1064" s="75">
        <v>7969</v>
      </c>
      <c r="B1064" s="75" t="s">
        <v>2042</v>
      </c>
      <c r="C1064" s="75">
        <v>6409</v>
      </c>
      <c r="D1064" s="75" t="s">
        <v>643</v>
      </c>
      <c r="E1064" s="75" t="s">
        <v>2207</v>
      </c>
      <c r="F1064" s="75" t="s">
        <v>1510</v>
      </c>
      <c r="G1064" s="76">
        <v>45716</v>
      </c>
      <c r="H1064" s="75" t="s">
        <v>9</v>
      </c>
      <c r="I1064" s="75" t="s">
        <v>10</v>
      </c>
      <c r="J1064" s="75">
        <v>0</v>
      </c>
      <c r="K1064" s="75" t="str">
        <f t="shared" si="16"/>
        <v>02-2025</v>
      </c>
      <c r="L1064" s="10" t="s">
        <v>2599</v>
      </c>
    </row>
    <row r="1065" spans="1:12" hidden="1" x14ac:dyDescent="0.35">
      <c r="A1065" s="75">
        <v>7398</v>
      </c>
      <c r="B1065" s="75" t="s">
        <v>645</v>
      </c>
      <c r="C1065" s="75">
        <v>6623</v>
      </c>
      <c r="D1065" s="75" t="s">
        <v>492</v>
      </c>
      <c r="E1065" s="75" t="s">
        <v>2208</v>
      </c>
      <c r="F1065" s="75" t="s">
        <v>1510</v>
      </c>
      <c r="G1065" s="76">
        <v>45716</v>
      </c>
      <c r="H1065" s="75" t="s">
        <v>9</v>
      </c>
      <c r="I1065" s="75" t="s">
        <v>54</v>
      </c>
      <c r="J1065" s="75">
        <v>0</v>
      </c>
      <c r="K1065" s="75" t="str">
        <f t="shared" si="16"/>
        <v>02-2025</v>
      </c>
      <c r="L1065" s="10" t="s">
        <v>2599</v>
      </c>
    </row>
    <row r="1066" spans="1:12" hidden="1" x14ac:dyDescent="0.35">
      <c r="A1066" s="75">
        <v>7585</v>
      </c>
      <c r="B1066" s="75" t="s">
        <v>407</v>
      </c>
      <c r="C1066" s="75">
        <v>2843</v>
      </c>
      <c r="D1066" s="75" t="s">
        <v>1789</v>
      </c>
      <c r="E1066" s="75" t="s">
        <v>2209</v>
      </c>
      <c r="F1066" s="75" t="s">
        <v>1510</v>
      </c>
      <c r="G1066" s="76">
        <v>45716</v>
      </c>
      <c r="H1066" s="75" t="s">
        <v>16</v>
      </c>
      <c r="I1066" s="75" t="s">
        <v>54</v>
      </c>
      <c r="J1066" s="75">
        <v>0</v>
      </c>
      <c r="K1066" s="75" t="str">
        <f t="shared" si="16"/>
        <v>02-2025</v>
      </c>
      <c r="L1066" s="10" t="s">
        <v>2599</v>
      </c>
    </row>
    <row r="1067" spans="1:12" hidden="1" x14ac:dyDescent="0.35">
      <c r="A1067" s="75">
        <v>2826</v>
      </c>
      <c r="B1067" s="75" t="s">
        <v>169</v>
      </c>
      <c r="C1067" s="75">
        <v>7512</v>
      </c>
      <c r="D1067" s="75" t="s">
        <v>646</v>
      </c>
      <c r="E1067" s="75" t="s">
        <v>2210</v>
      </c>
      <c r="F1067" s="75" t="s">
        <v>1510</v>
      </c>
      <c r="G1067" s="76">
        <v>45715</v>
      </c>
      <c r="H1067" s="75" t="s">
        <v>9</v>
      </c>
      <c r="I1067" s="75" t="s">
        <v>54</v>
      </c>
      <c r="J1067" s="75">
        <v>0</v>
      </c>
      <c r="K1067" s="75" t="str">
        <f t="shared" si="16"/>
        <v>02-2025</v>
      </c>
      <c r="L1067" s="10" t="s">
        <v>2599</v>
      </c>
    </row>
    <row r="1068" spans="1:12" hidden="1" x14ac:dyDescent="0.35">
      <c r="A1068" s="75">
        <v>4068</v>
      </c>
      <c r="B1068" s="75" t="s">
        <v>178</v>
      </c>
      <c r="C1068" s="75">
        <v>7512</v>
      </c>
      <c r="D1068" s="75" t="s">
        <v>646</v>
      </c>
      <c r="E1068" s="75" t="s">
        <v>2211</v>
      </c>
      <c r="F1068" s="75" t="s">
        <v>1510</v>
      </c>
      <c r="G1068" s="76">
        <v>45715</v>
      </c>
      <c r="H1068" s="75" t="s">
        <v>9</v>
      </c>
      <c r="I1068" s="75" t="s">
        <v>32</v>
      </c>
      <c r="J1068" s="75">
        <v>0</v>
      </c>
      <c r="K1068" s="75" t="str">
        <f t="shared" si="16"/>
        <v>02-2025</v>
      </c>
      <c r="L1068" s="10" t="s">
        <v>2599</v>
      </c>
    </row>
    <row r="1069" spans="1:12" hidden="1" x14ac:dyDescent="0.35">
      <c r="A1069" s="75">
        <v>7363</v>
      </c>
      <c r="B1069" s="75" t="s">
        <v>1838</v>
      </c>
      <c r="C1069" s="75">
        <v>7436</v>
      </c>
      <c r="D1069" s="75" t="s">
        <v>1845</v>
      </c>
      <c r="E1069" s="75" t="s">
        <v>2212</v>
      </c>
      <c r="F1069" s="75" t="s">
        <v>1510</v>
      </c>
      <c r="G1069" s="76">
        <v>45715</v>
      </c>
      <c r="H1069" s="75" t="s">
        <v>73</v>
      </c>
      <c r="I1069" s="75" t="s">
        <v>54</v>
      </c>
      <c r="J1069" s="75">
        <v>0</v>
      </c>
      <c r="K1069" s="75" t="str">
        <f t="shared" si="16"/>
        <v>02-2025</v>
      </c>
      <c r="L1069" s="10" t="s">
        <v>2599</v>
      </c>
    </row>
    <row r="1070" spans="1:12" hidden="1" x14ac:dyDescent="0.35">
      <c r="A1070" s="75">
        <v>7654</v>
      </c>
      <c r="B1070" s="75" t="s">
        <v>55</v>
      </c>
      <c r="C1070" s="75">
        <v>7741</v>
      </c>
      <c r="D1070" s="75" t="s">
        <v>2136</v>
      </c>
      <c r="E1070" s="75" t="s">
        <v>2213</v>
      </c>
      <c r="F1070" s="75" t="s">
        <v>1510</v>
      </c>
      <c r="G1070" s="76">
        <v>45715</v>
      </c>
      <c r="H1070" s="75" t="s">
        <v>16</v>
      </c>
      <c r="I1070" s="75" t="s">
        <v>32</v>
      </c>
      <c r="J1070" s="75">
        <v>0</v>
      </c>
      <c r="K1070" s="75" t="str">
        <f t="shared" si="16"/>
        <v>02-2025</v>
      </c>
      <c r="L1070" s="10" t="s">
        <v>2599</v>
      </c>
    </row>
    <row r="1071" spans="1:12" hidden="1" x14ac:dyDescent="0.35">
      <c r="A1071" s="75">
        <v>7930</v>
      </c>
      <c r="B1071" s="75" t="s">
        <v>1822</v>
      </c>
      <c r="C1071" s="75">
        <v>7403</v>
      </c>
      <c r="D1071" s="75" t="s">
        <v>2137</v>
      </c>
      <c r="E1071" s="75" t="s">
        <v>2214</v>
      </c>
      <c r="F1071" s="75" t="s">
        <v>1510</v>
      </c>
      <c r="G1071" s="76">
        <v>45715</v>
      </c>
      <c r="H1071" s="75" t="s">
        <v>73</v>
      </c>
      <c r="I1071" s="75" t="s">
        <v>32</v>
      </c>
      <c r="J1071" s="75">
        <v>0</v>
      </c>
      <c r="K1071" s="75" t="str">
        <f t="shared" si="16"/>
        <v>02-2025</v>
      </c>
      <c r="L1071" s="10" t="s">
        <v>2599</v>
      </c>
    </row>
    <row r="1072" spans="1:12" hidden="1" x14ac:dyDescent="0.35">
      <c r="A1072" s="75">
        <v>4416</v>
      </c>
      <c r="B1072" s="75" t="s">
        <v>269</v>
      </c>
      <c r="C1072" s="75">
        <v>2169</v>
      </c>
      <c r="D1072" s="75" t="s">
        <v>469</v>
      </c>
      <c r="E1072" s="75" t="s">
        <v>2215</v>
      </c>
      <c r="F1072" s="75" t="s">
        <v>1510</v>
      </c>
      <c r="G1072" s="76">
        <v>45713</v>
      </c>
      <c r="H1072" s="75" t="s">
        <v>35</v>
      </c>
      <c r="I1072" s="75" t="s">
        <v>32</v>
      </c>
      <c r="J1072" s="75">
        <v>0</v>
      </c>
      <c r="K1072" s="75" t="str">
        <f t="shared" si="16"/>
        <v>02-2025</v>
      </c>
      <c r="L1072" s="10" t="s">
        <v>2599</v>
      </c>
    </row>
    <row r="1073" spans="1:12" hidden="1" x14ac:dyDescent="0.35">
      <c r="A1073" s="75">
        <v>2990</v>
      </c>
      <c r="B1073" s="75" t="s">
        <v>297</v>
      </c>
      <c r="C1073" s="75">
        <v>2169</v>
      </c>
      <c r="D1073" s="75" t="s">
        <v>469</v>
      </c>
      <c r="E1073" s="75" t="s">
        <v>2216</v>
      </c>
      <c r="F1073" s="75" t="s">
        <v>1510</v>
      </c>
      <c r="G1073" s="76">
        <v>45713</v>
      </c>
      <c r="H1073" s="75" t="s">
        <v>35</v>
      </c>
      <c r="I1073" s="75" t="s">
        <v>32</v>
      </c>
      <c r="J1073" s="75">
        <v>0</v>
      </c>
      <c r="K1073" s="75" t="str">
        <f t="shared" si="16"/>
        <v>02-2025</v>
      </c>
      <c r="L1073" s="10" t="s">
        <v>2599</v>
      </c>
    </row>
    <row r="1074" spans="1:12" hidden="1" x14ac:dyDescent="0.35">
      <c r="A1074" s="75">
        <v>2651</v>
      </c>
      <c r="B1074" s="75" t="s">
        <v>295</v>
      </c>
      <c r="C1074" s="75">
        <v>7658</v>
      </c>
      <c r="D1074" s="75" t="s">
        <v>59</v>
      </c>
      <c r="E1074" s="75" t="s">
        <v>2217</v>
      </c>
      <c r="F1074" s="75" t="s">
        <v>1510</v>
      </c>
      <c r="G1074" s="76">
        <v>45713</v>
      </c>
      <c r="H1074" s="75" t="s">
        <v>35</v>
      </c>
      <c r="I1074" s="75" t="s">
        <v>32</v>
      </c>
      <c r="J1074" s="75">
        <v>0</v>
      </c>
      <c r="K1074" s="75" t="str">
        <f t="shared" si="16"/>
        <v>02-2025</v>
      </c>
      <c r="L1074" s="10" t="s">
        <v>2599</v>
      </c>
    </row>
    <row r="1075" spans="1:12" hidden="1" x14ac:dyDescent="0.35">
      <c r="A1075" s="75">
        <v>7470</v>
      </c>
      <c r="B1075" s="75" t="s">
        <v>276</v>
      </c>
      <c r="C1075" s="75">
        <v>7254</v>
      </c>
      <c r="D1075" s="75" t="s">
        <v>287</v>
      </c>
      <c r="E1075" s="75" t="s">
        <v>2218</v>
      </c>
      <c r="F1075" s="75" t="s">
        <v>1510</v>
      </c>
      <c r="G1075" s="76">
        <v>45712</v>
      </c>
      <c r="H1075" s="75" t="s">
        <v>35</v>
      </c>
      <c r="I1075" s="75" t="s">
        <v>32</v>
      </c>
      <c r="J1075" s="75">
        <v>0</v>
      </c>
      <c r="K1075" s="75" t="str">
        <f t="shared" si="16"/>
        <v>02-2025</v>
      </c>
      <c r="L1075" s="10" t="s">
        <v>2599</v>
      </c>
    </row>
    <row r="1076" spans="1:12" hidden="1" x14ac:dyDescent="0.35">
      <c r="A1076" s="75">
        <v>2990</v>
      </c>
      <c r="B1076" s="75" t="s">
        <v>297</v>
      </c>
      <c r="C1076" s="75">
        <v>7323</v>
      </c>
      <c r="D1076" s="75" t="s">
        <v>451</v>
      </c>
      <c r="E1076" s="75" t="s">
        <v>2219</v>
      </c>
      <c r="F1076" s="75" t="s">
        <v>1510</v>
      </c>
      <c r="G1076" s="76">
        <v>45712</v>
      </c>
      <c r="H1076" s="75" t="s">
        <v>35</v>
      </c>
      <c r="I1076" s="75" t="s">
        <v>251</v>
      </c>
      <c r="J1076" s="75">
        <v>0</v>
      </c>
      <c r="K1076" s="75" t="str">
        <f t="shared" si="16"/>
        <v>02-2025</v>
      </c>
      <c r="L1076" s="10" t="s">
        <v>2599</v>
      </c>
    </row>
    <row r="1077" spans="1:12" hidden="1" x14ac:dyDescent="0.35">
      <c r="A1077" s="75">
        <v>3018</v>
      </c>
      <c r="B1077" s="75" t="s">
        <v>2123</v>
      </c>
      <c r="C1077" s="75">
        <v>3190</v>
      </c>
      <c r="D1077" s="75" t="s">
        <v>2138</v>
      </c>
      <c r="E1077" s="75" t="s">
        <v>2220</v>
      </c>
      <c r="F1077" s="75" t="s">
        <v>1510</v>
      </c>
      <c r="G1077" s="76">
        <v>45709</v>
      </c>
      <c r="H1077" s="75" t="s">
        <v>40</v>
      </c>
      <c r="I1077" s="75" t="s">
        <v>32</v>
      </c>
      <c r="J1077" s="75">
        <v>0</v>
      </c>
      <c r="K1077" s="75" t="str">
        <f t="shared" si="16"/>
        <v>02-2025</v>
      </c>
      <c r="L1077" s="10" t="s">
        <v>2599</v>
      </c>
    </row>
    <row r="1078" spans="1:12" hidden="1" x14ac:dyDescent="0.35">
      <c r="A1078" s="75">
        <v>7930</v>
      </c>
      <c r="B1078" s="75" t="s">
        <v>1822</v>
      </c>
      <c r="C1078" s="75">
        <v>3619</v>
      </c>
      <c r="D1078" s="75" t="s">
        <v>714</v>
      </c>
      <c r="E1078" s="75" t="s">
        <v>2221</v>
      </c>
      <c r="F1078" s="75" t="s">
        <v>1510</v>
      </c>
      <c r="G1078" s="76">
        <v>45708</v>
      </c>
      <c r="H1078" s="75" t="s">
        <v>73</v>
      </c>
      <c r="I1078" s="75" t="s">
        <v>54</v>
      </c>
      <c r="J1078" s="75">
        <v>0</v>
      </c>
      <c r="K1078" s="75" t="str">
        <f t="shared" si="16"/>
        <v>02-2025</v>
      </c>
      <c r="L1078" s="10" t="s">
        <v>2599</v>
      </c>
    </row>
    <row r="1079" spans="1:12" hidden="1" x14ac:dyDescent="0.35">
      <c r="A1079" s="75">
        <v>7770</v>
      </c>
      <c r="B1079" s="75" t="s">
        <v>2126</v>
      </c>
      <c r="C1079" s="75">
        <v>1434</v>
      </c>
      <c r="D1079" s="75" t="s">
        <v>2139</v>
      </c>
      <c r="E1079" s="75" t="s">
        <v>2222</v>
      </c>
      <c r="F1079" s="75" t="s">
        <v>1509</v>
      </c>
      <c r="G1079" s="76">
        <v>45707</v>
      </c>
      <c r="H1079" s="75" t="s">
        <v>16</v>
      </c>
      <c r="I1079" s="75" t="s">
        <v>54</v>
      </c>
      <c r="J1079" s="75">
        <v>500</v>
      </c>
      <c r="K1079" s="75" t="str">
        <f t="shared" si="16"/>
        <v>02-2025</v>
      </c>
      <c r="L1079" s="10" t="s">
        <v>2599</v>
      </c>
    </row>
    <row r="1080" spans="1:12" hidden="1" x14ac:dyDescent="0.35">
      <c r="A1080" s="75">
        <v>6814</v>
      </c>
      <c r="B1080" s="75" t="s">
        <v>2127</v>
      </c>
      <c r="C1080" s="75">
        <v>1523</v>
      </c>
      <c r="D1080" s="75" t="s">
        <v>1743</v>
      </c>
      <c r="E1080" s="75" t="s">
        <v>2223</v>
      </c>
      <c r="F1080" s="75" t="s">
        <v>1509</v>
      </c>
      <c r="G1080" s="76">
        <v>45706</v>
      </c>
      <c r="H1080" s="75" t="s">
        <v>40</v>
      </c>
      <c r="I1080" s="75" t="s">
        <v>54</v>
      </c>
      <c r="J1080" s="75">
        <v>500</v>
      </c>
      <c r="K1080" s="75" t="str">
        <f t="shared" si="16"/>
        <v>02-2025</v>
      </c>
      <c r="L1080" s="10" t="s">
        <v>2599</v>
      </c>
    </row>
    <row r="1081" spans="1:12" hidden="1" x14ac:dyDescent="0.35">
      <c r="A1081" s="75">
        <v>6422</v>
      </c>
      <c r="B1081" s="75" t="s">
        <v>1840</v>
      </c>
      <c r="C1081" s="75">
        <v>1523</v>
      </c>
      <c r="D1081" s="75" t="s">
        <v>1743</v>
      </c>
      <c r="E1081" s="75" t="s">
        <v>2224</v>
      </c>
      <c r="F1081" s="75" t="s">
        <v>1509</v>
      </c>
      <c r="G1081" s="76">
        <v>45706</v>
      </c>
      <c r="H1081" s="75" t="s">
        <v>40</v>
      </c>
      <c r="I1081" s="75" t="s">
        <v>32</v>
      </c>
      <c r="J1081" s="75">
        <v>500</v>
      </c>
      <c r="K1081" s="75" t="str">
        <f t="shared" si="16"/>
        <v>02-2025</v>
      </c>
      <c r="L1081" s="10" t="s">
        <v>2599</v>
      </c>
    </row>
    <row r="1082" spans="1:12" hidden="1" x14ac:dyDescent="0.35">
      <c r="A1082" s="75">
        <v>4564</v>
      </c>
      <c r="B1082" s="75" t="s">
        <v>833</v>
      </c>
      <c r="C1082" s="75">
        <v>2934</v>
      </c>
      <c r="D1082" s="75" t="s">
        <v>1873</v>
      </c>
      <c r="E1082" s="75" t="s">
        <v>2225</v>
      </c>
      <c r="F1082" s="75" t="s">
        <v>1510</v>
      </c>
      <c r="G1082" s="76">
        <v>45706</v>
      </c>
      <c r="H1082" s="75" t="s">
        <v>40</v>
      </c>
      <c r="I1082" s="75" t="s">
        <v>54</v>
      </c>
      <c r="J1082" s="75">
        <v>0</v>
      </c>
      <c r="K1082" s="75" t="str">
        <f t="shared" si="16"/>
        <v>02-2025</v>
      </c>
      <c r="L1082" s="10" t="s">
        <v>2599</v>
      </c>
    </row>
    <row r="1083" spans="1:12" hidden="1" x14ac:dyDescent="0.35">
      <c r="A1083" s="75">
        <v>5266</v>
      </c>
      <c r="B1083" s="75" t="s">
        <v>2049</v>
      </c>
      <c r="C1083" s="75">
        <v>1314</v>
      </c>
      <c r="D1083" s="75" t="s">
        <v>2140</v>
      </c>
      <c r="E1083" s="75" t="s">
        <v>2226</v>
      </c>
      <c r="F1083" s="75" t="s">
        <v>1510</v>
      </c>
      <c r="G1083" s="76">
        <v>45705</v>
      </c>
      <c r="H1083" s="75" t="s">
        <v>250</v>
      </c>
      <c r="I1083" s="75" t="s">
        <v>10</v>
      </c>
      <c r="J1083" s="75">
        <v>0</v>
      </c>
      <c r="K1083" s="75" t="str">
        <f t="shared" si="16"/>
        <v>02-2025</v>
      </c>
      <c r="L1083" s="10" t="s">
        <v>2599</v>
      </c>
    </row>
    <row r="1084" spans="1:12" hidden="1" x14ac:dyDescent="0.35">
      <c r="A1084" s="75">
        <v>7455</v>
      </c>
      <c r="B1084" s="75" t="s">
        <v>712</v>
      </c>
      <c r="C1084" s="75">
        <v>5546</v>
      </c>
      <c r="D1084" s="75" t="s">
        <v>466</v>
      </c>
      <c r="E1084" s="75" t="s">
        <v>2227</v>
      </c>
      <c r="F1084" s="75" t="s">
        <v>1509</v>
      </c>
      <c r="G1084" s="76">
        <v>45702</v>
      </c>
      <c r="H1084" s="75" t="s">
        <v>9</v>
      </c>
      <c r="I1084" s="75" t="s">
        <v>32</v>
      </c>
      <c r="J1084" s="75">
        <v>500</v>
      </c>
      <c r="K1084" s="75" t="str">
        <f t="shared" si="16"/>
        <v>02-2025</v>
      </c>
      <c r="L1084" s="10" t="s">
        <v>2599</v>
      </c>
    </row>
    <row r="1085" spans="1:12" hidden="1" x14ac:dyDescent="0.35">
      <c r="A1085" s="75">
        <v>7434</v>
      </c>
      <c r="B1085" s="75" t="s">
        <v>285</v>
      </c>
      <c r="C1085" s="75">
        <v>2430</v>
      </c>
      <c r="D1085" s="75" t="s">
        <v>1532</v>
      </c>
      <c r="E1085" s="75" t="s">
        <v>2228</v>
      </c>
      <c r="F1085" s="75" t="s">
        <v>1510</v>
      </c>
      <c r="G1085" s="76">
        <v>45701</v>
      </c>
      <c r="H1085" s="75" t="s">
        <v>35</v>
      </c>
      <c r="I1085" s="75" t="s">
        <v>251</v>
      </c>
      <c r="J1085" s="75">
        <v>0</v>
      </c>
      <c r="K1085" s="75" t="str">
        <f t="shared" si="16"/>
        <v>02-2025</v>
      </c>
      <c r="L1085" s="10" t="s">
        <v>2599</v>
      </c>
    </row>
    <row r="1086" spans="1:12" hidden="1" x14ac:dyDescent="0.35">
      <c r="A1086" s="75">
        <v>6637</v>
      </c>
      <c r="B1086" s="75" t="s">
        <v>2120</v>
      </c>
      <c r="C1086" s="75">
        <v>7790</v>
      </c>
      <c r="D1086" s="75" t="s">
        <v>2141</v>
      </c>
      <c r="E1086" s="75" t="s">
        <v>2229</v>
      </c>
      <c r="F1086" s="75" t="s">
        <v>1510</v>
      </c>
      <c r="G1086" s="76">
        <v>45700</v>
      </c>
      <c r="H1086" s="75" t="s">
        <v>40</v>
      </c>
      <c r="I1086" s="75" t="s">
        <v>32</v>
      </c>
      <c r="J1086" s="75">
        <v>0</v>
      </c>
      <c r="K1086" s="75" t="str">
        <f t="shared" si="16"/>
        <v>02-2025</v>
      </c>
      <c r="L1086" s="10" t="s">
        <v>2599</v>
      </c>
    </row>
    <row r="1087" spans="1:12" hidden="1" x14ac:dyDescent="0.35">
      <c r="A1087" s="75">
        <v>4416</v>
      </c>
      <c r="B1087" s="75" t="s">
        <v>269</v>
      </c>
      <c r="C1087" s="75" t="s">
        <v>1508</v>
      </c>
      <c r="D1087" s="75" t="s">
        <v>866</v>
      </c>
      <c r="E1087" s="75" t="s">
        <v>2230</v>
      </c>
      <c r="F1087" s="75" t="s">
        <v>1509</v>
      </c>
      <c r="G1087" s="76">
        <v>45700</v>
      </c>
      <c r="H1087" s="75" t="s">
        <v>35</v>
      </c>
      <c r="I1087" s="75" t="s">
        <v>54</v>
      </c>
      <c r="J1087" s="75">
        <v>500</v>
      </c>
      <c r="K1087" s="75" t="str">
        <f t="shared" si="16"/>
        <v>02-2025</v>
      </c>
      <c r="L1087" s="10" t="s">
        <v>2599</v>
      </c>
    </row>
    <row r="1088" spans="1:12" hidden="1" x14ac:dyDescent="0.35">
      <c r="A1088" s="75">
        <v>7653</v>
      </c>
      <c r="B1088" s="75" t="s">
        <v>694</v>
      </c>
      <c r="C1088" s="75" t="s">
        <v>1508</v>
      </c>
      <c r="D1088" s="75" t="s">
        <v>866</v>
      </c>
      <c r="E1088" s="75" t="s">
        <v>2231</v>
      </c>
      <c r="F1088" s="75" t="s">
        <v>1509</v>
      </c>
      <c r="G1088" s="76">
        <v>45700</v>
      </c>
      <c r="H1088" s="75" t="s">
        <v>9</v>
      </c>
      <c r="I1088" s="75" t="s">
        <v>251</v>
      </c>
      <c r="J1088" s="75">
        <v>500</v>
      </c>
      <c r="K1088" s="75" t="str">
        <f t="shared" si="16"/>
        <v>02-2025</v>
      </c>
      <c r="L1088" s="10" t="s">
        <v>2599</v>
      </c>
    </row>
    <row r="1089" spans="1:12" hidden="1" x14ac:dyDescent="0.35">
      <c r="A1089" s="75">
        <v>1458</v>
      </c>
      <c r="B1089" s="75" t="s">
        <v>278</v>
      </c>
      <c r="C1089" s="75" t="s">
        <v>1508</v>
      </c>
      <c r="D1089" s="75" t="s">
        <v>866</v>
      </c>
      <c r="E1089" s="75" t="s">
        <v>2232</v>
      </c>
      <c r="F1089" s="75" t="s">
        <v>1509</v>
      </c>
      <c r="G1089" s="76">
        <v>45700</v>
      </c>
      <c r="H1089" s="75" t="s">
        <v>40</v>
      </c>
      <c r="I1089" s="75" t="s">
        <v>10</v>
      </c>
      <c r="J1089" s="75">
        <v>500</v>
      </c>
      <c r="K1089" s="75" t="str">
        <f t="shared" si="16"/>
        <v>02-2025</v>
      </c>
      <c r="L1089" s="10" t="s">
        <v>2599</v>
      </c>
    </row>
    <row r="1090" spans="1:12" hidden="1" x14ac:dyDescent="0.35">
      <c r="A1090" s="75">
        <v>7889</v>
      </c>
      <c r="B1090" s="75" t="s">
        <v>2092</v>
      </c>
      <c r="C1090" s="75" t="s">
        <v>1508</v>
      </c>
      <c r="D1090" s="75" t="s">
        <v>866</v>
      </c>
      <c r="E1090" s="75" t="s">
        <v>2233</v>
      </c>
      <c r="F1090" s="75" t="s">
        <v>1509</v>
      </c>
      <c r="G1090" s="76">
        <v>45700</v>
      </c>
      <c r="H1090" s="75" t="s">
        <v>21</v>
      </c>
      <c r="I1090" s="75" t="s">
        <v>10</v>
      </c>
      <c r="J1090" s="75">
        <v>500</v>
      </c>
      <c r="K1090" s="75" t="str">
        <f t="shared" si="16"/>
        <v>02-2025</v>
      </c>
      <c r="L1090" s="10" t="s">
        <v>2599</v>
      </c>
    </row>
    <row r="1091" spans="1:12" hidden="1" x14ac:dyDescent="0.35">
      <c r="A1091" s="75">
        <v>7238</v>
      </c>
      <c r="B1091" s="75" t="s">
        <v>798</v>
      </c>
      <c r="C1091" s="75" t="s">
        <v>1508</v>
      </c>
      <c r="D1091" s="75" t="s">
        <v>866</v>
      </c>
      <c r="E1091" s="75" t="s">
        <v>2234</v>
      </c>
      <c r="F1091" s="75" t="s">
        <v>1509</v>
      </c>
      <c r="G1091" s="76">
        <v>45700</v>
      </c>
      <c r="H1091" s="75" t="s">
        <v>168</v>
      </c>
      <c r="I1091" s="75" t="s">
        <v>251</v>
      </c>
      <c r="J1091" s="75">
        <v>500</v>
      </c>
      <c r="K1091" s="75" t="str">
        <f t="shared" ref="K1091:K1154" si="17">TEXT(G1091,"mm-yyyy")</f>
        <v>02-2025</v>
      </c>
      <c r="L1091" s="10" t="s">
        <v>2599</v>
      </c>
    </row>
    <row r="1092" spans="1:12" hidden="1" x14ac:dyDescent="0.35">
      <c r="A1092" s="75">
        <v>7180</v>
      </c>
      <c r="B1092" s="75" t="s">
        <v>2128</v>
      </c>
      <c r="C1092" s="75" t="s">
        <v>1508</v>
      </c>
      <c r="D1092" s="75" t="s">
        <v>866</v>
      </c>
      <c r="E1092" s="75" t="s">
        <v>2235</v>
      </c>
      <c r="F1092" s="75" t="s">
        <v>1509</v>
      </c>
      <c r="G1092" s="76">
        <v>45700</v>
      </c>
      <c r="H1092" s="75" t="s">
        <v>73</v>
      </c>
      <c r="I1092" s="75" t="s">
        <v>10</v>
      </c>
      <c r="J1092" s="75">
        <v>500</v>
      </c>
      <c r="K1092" s="75" t="str">
        <f t="shared" si="17"/>
        <v>02-2025</v>
      </c>
      <c r="L1092" s="10" t="s">
        <v>2599</v>
      </c>
    </row>
    <row r="1093" spans="1:12" hidden="1" x14ac:dyDescent="0.35">
      <c r="A1093" s="75">
        <v>7808</v>
      </c>
      <c r="B1093" s="75" t="s">
        <v>177</v>
      </c>
      <c r="C1093" s="75" t="s">
        <v>1508</v>
      </c>
      <c r="D1093" s="75" t="s">
        <v>866</v>
      </c>
      <c r="E1093" s="75" t="s">
        <v>2236</v>
      </c>
      <c r="F1093" s="75" t="s">
        <v>1509</v>
      </c>
      <c r="G1093" s="76">
        <v>45700</v>
      </c>
      <c r="H1093" s="75" t="s">
        <v>21</v>
      </c>
      <c r="I1093" s="75" t="s">
        <v>32</v>
      </c>
      <c r="J1093" s="75">
        <v>500</v>
      </c>
      <c r="K1093" s="75" t="str">
        <f t="shared" si="17"/>
        <v>02-2025</v>
      </c>
      <c r="L1093" s="10" t="s">
        <v>2599</v>
      </c>
    </row>
    <row r="1094" spans="1:12" hidden="1" x14ac:dyDescent="0.35">
      <c r="A1094" s="75">
        <v>7753</v>
      </c>
      <c r="B1094" s="75" t="s">
        <v>1830</v>
      </c>
      <c r="C1094" s="75" t="s">
        <v>1508</v>
      </c>
      <c r="D1094" s="75" t="s">
        <v>866</v>
      </c>
      <c r="E1094" s="75" t="s">
        <v>2237</v>
      </c>
      <c r="F1094" s="75" t="s">
        <v>1509</v>
      </c>
      <c r="G1094" s="76">
        <v>45700</v>
      </c>
      <c r="H1094" s="75" t="s">
        <v>73</v>
      </c>
      <c r="I1094" s="75" t="s">
        <v>32</v>
      </c>
      <c r="J1094" s="75">
        <v>500</v>
      </c>
      <c r="K1094" s="75" t="str">
        <f t="shared" si="17"/>
        <v>02-2025</v>
      </c>
      <c r="L1094" s="10" t="s">
        <v>2599</v>
      </c>
    </row>
    <row r="1095" spans="1:12" hidden="1" x14ac:dyDescent="0.35">
      <c r="A1095" s="75">
        <v>7310</v>
      </c>
      <c r="B1095" s="75" t="s">
        <v>2129</v>
      </c>
      <c r="C1095" s="75" t="s">
        <v>1508</v>
      </c>
      <c r="D1095" s="75" t="s">
        <v>866</v>
      </c>
      <c r="E1095" s="75" t="s">
        <v>2238</v>
      </c>
      <c r="F1095" s="75" t="s">
        <v>1509</v>
      </c>
      <c r="G1095" s="76">
        <v>45700</v>
      </c>
      <c r="H1095" s="75" t="s">
        <v>73</v>
      </c>
      <c r="I1095" s="75" t="s">
        <v>54</v>
      </c>
      <c r="J1095" s="75">
        <v>500</v>
      </c>
      <c r="K1095" s="75" t="str">
        <f t="shared" si="17"/>
        <v>02-2025</v>
      </c>
      <c r="L1095" s="10" t="s">
        <v>2599</v>
      </c>
    </row>
    <row r="1096" spans="1:12" hidden="1" x14ac:dyDescent="0.35">
      <c r="A1096" s="75">
        <v>2859</v>
      </c>
      <c r="B1096" s="75" t="s">
        <v>1828</v>
      </c>
      <c r="C1096" s="75" t="s">
        <v>1508</v>
      </c>
      <c r="D1096" s="75" t="s">
        <v>866</v>
      </c>
      <c r="E1096" s="75" t="s">
        <v>2239</v>
      </c>
      <c r="F1096" s="75" t="s">
        <v>1509</v>
      </c>
      <c r="G1096" s="76">
        <v>45700</v>
      </c>
      <c r="H1096" s="75" t="s">
        <v>9</v>
      </c>
      <c r="I1096" s="75" t="s">
        <v>32</v>
      </c>
      <c r="J1096" s="75">
        <v>500</v>
      </c>
      <c r="K1096" s="75" t="str">
        <f t="shared" si="17"/>
        <v>02-2025</v>
      </c>
      <c r="L1096" s="10" t="s">
        <v>2599</v>
      </c>
    </row>
    <row r="1097" spans="1:12" hidden="1" x14ac:dyDescent="0.35">
      <c r="A1097" s="75">
        <v>6611</v>
      </c>
      <c r="B1097" s="75" t="s">
        <v>1829</v>
      </c>
      <c r="C1097" s="75" t="s">
        <v>1508</v>
      </c>
      <c r="D1097" s="75" t="s">
        <v>866</v>
      </c>
      <c r="E1097" s="75" t="s">
        <v>2240</v>
      </c>
      <c r="F1097" s="75" t="s">
        <v>1509</v>
      </c>
      <c r="G1097" s="76">
        <v>45700</v>
      </c>
      <c r="H1097" s="75" t="s">
        <v>35</v>
      </c>
      <c r="I1097" s="75" t="s">
        <v>54</v>
      </c>
      <c r="J1097" s="75">
        <v>500</v>
      </c>
      <c r="K1097" s="75" t="str">
        <f t="shared" si="17"/>
        <v>02-2025</v>
      </c>
      <c r="L1097" s="10" t="s">
        <v>2599</v>
      </c>
    </row>
    <row r="1098" spans="1:12" hidden="1" x14ac:dyDescent="0.35">
      <c r="A1098" s="75">
        <v>1252</v>
      </c>
      <c r="B1098" s="75" t="s">
        <v>2130</v>
      </c>
      <c r="C1098" s="75" t="s">
        <v>1508</v>
      </c>
      <c r="D1098" s="75" t="s">
        <v>866</v>
      </c>
      <c r="E1098" s="75" t="s">
        <v>2241</v>
      </c>
      <c r="F1098" s="75" t="s">
        <v>1509</v>
      </c>
      <c r="G1098" s="76">
        <v>45700</v>
      </c>
      <c r="H1098" s="75" t="s">
        <v>40</v>
      </c>
      <c r="I1098" s="75" t="s">
        <v>32</v>
      </c>
      <c r="J1098" s="75">
        <v>500</v>
      </c>
      <c r="K1098" s="75" t="str">
        <f t="shared" si="17"/>
        <v>02-2025</v>
      </c>
      <c r="L1098" s="10" t="s">
        <v>2599</v>
      </c>
    </row>
    <row r="1099" spans="1:12" hidden="1" x14ac:dyDescent="0.35">
      <c r="A1099" s="75">
        <v>5194</v>
      </c>
      <c r="B1099" s="75" t="s">
        <v>121</v>
      </c>
      <c r="C1099" s="75" t="s">
        <v>1508</v>
      </c>
      <c r="D1099" s="75" t="s">
        <v>866</v>
      </c>
      <c r="E1099" s="75" t="s">
        <v>2242</v>
      </c>
      <c r="F1099" s="75" t="s">
        <v>1509</v>
      </c>
      <c r="G1099" s="76">
        <v>45700</v>
      </c>
      <c r="H1099" s="75" t="s">
        <v>40</v>
      </c>
      <c r="I1099" s="75" t="s">
        <v>74</v>
      </c>
      <c r="J1099" s="75">
        <v>500</v>
      </c>
      <c r="K1099" s="75" t="str">
        <f t="shared" si="17"/>
        <v>02-2025</v>
      </c>
      <c r="L1099" s="10" t="s">
        <v>2599</v>
      </c>
    </row>
    <row r="1100" spans="1:12" hidden="1" x14ac:dyDescent="0.35">
      <c r="A1100" s="75">
        <v>5426</v>
      </c>
      <c r="B1100" s="75" t="s">
        <v>832</v>
      </c>
      <c r="C1100" s="75" t="s">
        <v>1508</v>
      </c>
      <c r="D1100" s="75" t="s">
        <v>866</v>
      </c>
      <c r="E1100" s="75" t="s">
        <v>2243</v>
      </c>
      <c r="F1100" s="75" t="s">
        <v>1509</v>
      </c>
      <c r="G1100" s="76">
        <v>45700</v>
      </c>
      <c r="H1100" s="75" t="s">
        <v>40</v>
      </c>
      <c r="I1100" s="75" t="s">
        <v>54</v>
      </c>
      <c r="J1100" s="75">
        <v>500</v>
      </c>
      <c r="K1100" s="75" t="str">
        <f t="shared" si="17"/>
        <v>02-2025</v>
      </c>
      <c r="L1100" s="10" t="s">
        <v>2599</v>
      </c>
    </row>
    <row r="1101" spans="1:12" hidden="1" x14ac:dyDescent="0.35">
      <c r="A1101" s="75">
        <v>7480</v>
      </c>
      <c r="B1101" s="75" t="s">
        <v>409</v>
      </c>
      <c r="C1101" s="75" t="s">
        <v>1508</v>
      </c>
      <c r="D1101" s="75" t="s">
        <v>866</v>
      </c>
      <c r="E1101" s="75" t="s">
        <v>2244</v>
      </c>
      <c r="F1101" s="75" t="s">
        <v>1509</v>
      </c>
      <c r="G1101" s="76">
        <v>45700</v>
      </c>
      <c r="H1101" s="75" t="s">
        <v>9</v>
      </c>
      <c r="I1101" s="75" t="s">
        <v>74</v>
      </c>
      <c r="J1101" s="75">
        <v>500</v>
      </c>
      <c r="K1101" s="75" t="str">
        <f t="shared" si="17"/>
        <v>02-2025</v>
      </c>
      <c r="L1101" s="10" t="s">
        <v>2599</v>
      </c>
    </row>
    <row r="1102" spans="1:12" hidden="1" x14ac:dyDescent="0.35">
      <c r="A1102" s="75">
        <v>7880</v>
      </c>
      <c r="B1102" s="75" t="s">
        <v>2131</v>
      </c>
      <c r="C1102" s="75" t="s">
        <v>1508</v>
      </c>
      <c r="D1102" s="75" t="s">
        <v>866</v>
      </c>
      <c r="E1102" s="75" t="s">
        <v>2245</v>
      </c>
      <c r="F1102" s="75" t="s">
        <v>1509</v>
      </c>
      <c r="G1102" s="76">
        <v>45700</v>
      </c>
      <c r="H1102" s="75" t="s">
        <v>40</v>
      </c>
      <c r="I1102" s="75" t="s">
        <v>32</v>
      </c>
      <c r="J1102" s="75">
        <v>500</v>
      </c>
      <c r="K1102" s="75" t="str">
        <f t="shared" si="17"/>
        <v>02-2025</v>
      </c>
      <c r="L1102" s="10" t="s">
        <v>2599</v>
      </c>
    </row>
    <row r="1103" spans="1:12" hidden="1" x14ac:dyDescent="0.35">
      <c r="A1103" s="75">
        <v>7622</v>
      </c>
      <c r="B1103" s="75" t="s">
        <v>698</v>
      </c>
      <c r="C1103" s="75" t="s">
        <v>1508</v>
      </c>
      <c r="D1103" s="75" t="s">
        <v>866</v>
      </c>
      <c r="E1103" s="75" t="s">
        <v>2246</v>
      </c>
      <c r="F1103" s="75" t="s">
        <v>1509</v>
      </c>
      <c r="G1103" s="76">
        <v>45700</v>
      </c>
      <c r="H1103" s="75" t="s">
        <v>35</v>
      </c>
      <c r="I1103" s="75" t="s">
        <v>10</v>
      </c>
      <c r="J1103" s="75">
        <v>500</v>
      </c>
      <c r="K1103" s="75" t="str">
        <f t="shared" si="17"/>
        <v>02-2025</v>
      </c>
      <c r="L1103" s="10" t="s">
        <v>2599</v>
      </c>
    </row>
    <row r="1104" spans="1:12" hidden="1" x14ac:dyDescent="0.35">
      <c r="A1104" s="75">
        <v>7827</v>
      </c>
      <c r="B1104" s="75" t="s">
        <v>349</v>
      </c>
      <c r="C1104" s="75">
        <v>5058</v>
      </c>
      <c r="D1104" s="75" t="s">
        <v>697</v>
      </c>
      <c r="E1104" s="75" t="s">
        <v>2247</v>
      </c>
      <c r="F1104" s="75" t="s">
        <v>1510</v>
      </c>
      <c r="G1104" s="76">
        <v>45700</v>
      </c>
      <c r="H1104" s="75" t="s">
        <v>395</v>
      </c>
      <c r="I1104" s="75" t="s">
        <v>54</v>
      </c>
      <c r="J1104" s="75">
        <v>0</v>
      </c>
      <c r="K1104" s="75" t="str">
        <f t="shared" si="17"/>
        <v>02-2025</v>
      </c>
      <c r="L1104" s="10" t="s">
        <v>2599</v>
      </c>
    </row>
    <row r="1105" spans="1:12" hidden="1" x14ac:dyDescent="0.35">
      <c r="A1105" s="75">
        <v>5266</v>
      </c>
      <c r="B1105" s="75" t="s">
        <v>2049</v>
      </c>
      <c r="C1105" s="75">
        <v>7256</v>
      </c>
      <c r="D1105" s="75" t="s">
        <v>2142</v>
      </c>
      <c r="E1105" s="75" t="s">
        <v>2248</v>
      </c>
      <c r="F1105" s="75" t="s">
        <v>1510</v>
      </c>
      <c r="G1105" s="76">
        <v>45700</v>
      </c>
      <c r="H1105" s="75" t="s">
        <v>250</v>
      </c>
      <c r="I1105" s="75" t="s">
        <v>74</v>
      </c>
      <c r="J1105" s="75">
        <v>0</v>
      </c>
      <c r="K1105" s="75" t="str">
        <f t="shared" si="17"/>
        <v>02-2025</v>
      </c>
      <c r="L1105" s="10" t="s">
        <v>2599</v>
      </c>
    </row>
    <row r="1106" spans="1:12" hidden="1" x14ac:dyDescent="0.35">
      <c r="A1106" s="75">
        <v>3915</v>
      </c>
      <c r="B1106" s="75" t="s">
        <v>2043</v>
      </c>
      <c r="C1106" s="75">
        <v>4724</v>
      </c>
      <c r="D1106" s="75" t="s">
        <v>867</v>
      </c>
      <c r="E1106" s="75" t="s">
        <v>2249</v>
      </c>
      <c r="F1106" s="75" t="s">
        <v>1509</v>
      </c>
      <c r="G1106" s="76">
        <v>45697</v>
      </c>
      <c r="H1106" s="75" t="s">
        <v>40</v>
      </c>
      <c r="I1106" s="75" t="s">
        <v>74</v>
      </c>
      <c r="J1106" s="75">
        <v>500</v>
      </c>
      <c r="K1106" s="75" t="str">
        <f t="shared" si="17"/>
        <v>02-2025</v>
      </c>
      <c r="L1106" s="10" t="s">
        <v>2599</v>
      </c>
    </row>
    <row r="1107" spans="1:12" hidden="1" x14ac:dyDescent="0.35">
      <c r="A1107" s="75">
        <v>7895</v>
      </c>
      <c r="B1107" s="75" t="s">
        <v>741</v>
      </c>
      <c r="C1107" s="75">
        <v>4724</v>
      </c>
      <c r="D1107" s="75" t="s">
        <v>867</v>
      </c>
      <c r="E1107" s="75" t="s">
        <v>2250</v>
      </c>
      <c r="F1107" s="75" t="s">
        <v>1509</v>
      </c>
      <c r="G1107" s="76">
        <v>45697</v>
      </c>
      <c r="H1107" s="75" t="s">
        <v>40</v>
      </c>
      <c r="I1107" s="75" t="s">
        <v>251</v>
      </c>
      <c r="J1107" s="75">
        <v>500</v>
      </c>
      <c r="K1107" s="75" t="str">
        <f t="shared" si="17"/>
        <v>02-2025</v>
      </c>
      <c r="L1107" s="10" t="s">
        <v>2599</v>
      </c>
    </row>
    <row r="1108" spans="1:12" hidden="1" x14ac:dyDescent="0.35">
      <c r="A1108" s="75">
        <v>6637</v>
      </c>
      <c r="B1108" s="75" t="s">
        <v>2120</v>
      </c>
      <c r="C1108" s="75">
        <v>3279</v>
      </c>
      <c r="D1108" s="75" t="s">
        <v>2143</v>
      </c>
      <c r="E1108" s="75" t="s">
        <v>2251</v>
      </c>
      <c r="F1108" s="75" t="s">
        <v>1510</v>
      </c>
      <c r="G1108" s="76">
        <v>45695</v>
      </c>
      <c r="H1108" s="75" t="s">
        <v>40</v>
      </c>
      <c r="I1108" s="75" t="s">
        <v>251</v>
      </c>
      <c r="J1108" s="75">
        <v>0</v>
      </c>
      <c r="K1108" s="75" t="str">
        <f t="shared" si="17"/>
        <v>02-2025</v>
      </c>
      <c r="L1108" s="10" t="s">
        <v>2599</v>
      </c>
    </row>
    <row r="1109" spans="1:12" hidden="1" x14ac:dyDescent="0.35">
      <c r="A1109" s="75">
        <v>3018</v>
      </c>
      <c r="B1109" s="75" t="s">
        <v>2123</v>
      </c>
      <c r="C1109" s="75">
        <v>6637</v>
      </c>
      <c r="D1109" s="75" t="s">
        <v>2120</v>
      </c>
      <c r="E1109" s="75" t="s">
        <v>2252</v>
      </c>
      <c r="F1109" s="75" t="s">
        <v>1510</v>
      </c>
      <c r="G1109" s="76">
        <v>45695</v>
      </c>
      <c r="H1109" s="75" t="s">
        <v>40</v>
      </c>
      <c r="I1109" s="75" t="s">
        <v>251</v>
      </c>
      <c r="J1109" s="75">
        <v>0</v>
      </c>
      <c r="K1109" s="75" t="str">
        <f t="shared" si="17"/>
        <v>02-2025</v>
      </c>
      <c r="L1109" s="10" t="s">
        <v>2599</v>
      </c>
    </row>
    <row r="1110" spans="1:12" hidden="1" x14ac:dyDescent="0.35">
      <c r="A1110" s="75">
        <v>3018</v>
      </c>
      <c r="B1110" s="75" t="s">
        <v>2123</v>
      </c>
      <c r="C1110" s="75">
        <v>7910</v>
      </c>
      <c r="D1110" s="75" t="s">
        <v>2144</v>
      </c>
      <c r="E1110" s="75" t="s">
        <v>2253</v>
      </c>
      <c r="F1110" s="75" t="s">
        <v>1510</v>
      </c>
      <c r="G1110" s="76">
        <v>45695</v>
      </c>
      <c r="H1110" s="75" t="s">
        <v>40</v>
      </c>
      <c r="I1110" s="75" t="s">
        <v>54</v>
      </c>
      <c r="J1110" s="75">
        <v>0</v>
      </c>
      <c r="K1110" s="75" t="str">
        <f t="shared" si="17"/>
        <v>02-2025</v>
      </c>
      <c r="L1110" s="10" t="s">
        <v>2599</v>
      </c>
    </row>
    <row r="1111" spans="1:12" hidden="1" x14ac:dyDescent="0.35">
      <c r="A1111" s="75">
        <v>7776</v>
      </c>
      <c r="B1111" s="75" t="s">
        <v>2044</v>
      </c>
      <c r="C1111" s="75">
        <v>2477</v>
      </c>
      <c r="D1111" s="75" t="s">
        <v>367</v>
      </c>
      <c r="E1111" s="75" t="s">
        <v>2254</v>
      </c>
      <c r="F1111" s="75" t="s">
        <v>1510</v>
      </c>
      <c r="G1111" s="76">
        <v>45695</v>
      </c>
      <c r="H1111" s="75" t="s">
        <v>9</v>
      </c>
      <c r="I1111" s="75" t="s">
        <v>54</v>
      </c>
      <c r="J1111" s="75">
        <v>0</v>
      </c>
      <c r="K1111" s="75" t="str">
        <f t="shared" si="17"/>
        <v>02-2025</v>
      </c>
      <c r="L1111" s="10" t="s">
        <v>2599</v>
      </c>
    </row>
    <row r="1112" spans="1:12" hidden="1" x14ac:dyDescent="0.35">
      <c r="A1112" s="75">
        <v>5782</v>
      </c>
      <c r="B1112" s="75" t="s">
        <v>442</v>
      </c>
      <c r="C1112" s="75">
        <v>7528</v>
      </c>
      <c r="D1112" s="75" t="s">
        <v>273</v>
      </c>
      <c r="E1112" s="75" t="s">
        <v>2255</v>
      </c>
      <c r="F1112" s="75" t="s">
        <v>1510</v>
      </c>
      <c r="G1112" s="76">
        <v>45695</v>
      </c>
      <c r="H1112" s="75" t="s">
        <v>40</v>
      </c>
      <c r="I1112" s="75" t="s">
        <v>54</v>
      </c>
      <c r="J1112" s="75">
        <v>0</v>
      </c>
      <c r="K1112" s="75" t="str">
        <f t="shared" si="17"/>
        <v>02-2025</v>
      </c>
      <c r="L1112" s="10" t="s">
        <v>2599</v>
      </c>
    </row>
    <row r="1113" spans="1:12" hidden="1" x14ac:dyDescent="0.35">
      <c r="A1113" s="75">
        <v>3949</v>
      </c>
      <c r="B1113" s="75" t="s">
        <v>440</v>
      </c>
      <c r="C1113" s="75">
        <v>7808</v>
      </c>
      <c r="D1113" s="75" t="s">
        <v>177</v>
      </c>
      <c r="E1113" s="75" t="s">
        <v>2256</v>
      </c>
      <c r="F1113" s="75" t="s">
        <v>1510</v>
      </c>
      <c r="G1113" s="76">
        <v>45694</v>
      </c>
      <c r="H1113" s="75" t="s">
        <v>16</v>
      </c>
      <c r="I1113" s="75" t="s">
        <v>32</v>
      </c>
      <c r="J1113" s="75">
        <v>0</v>
      </c>
      <c r="K1113" s="75" t="str">
        <f t="shared" si="17"/>
        <v>02-2025</v>
      </c>
      <c r="L1113" s="10" t="s">
        <v>2599</v>
      </c>
    </row>
    <row r="1114" spans="1:12" hidden="1" x14ac:dyDescent="0.35">
      <c r="A1114" s="75">
        <v>4416</v>
      </c>
      <c r="B1114" s="75" t="s">
        <v>269</v>
      </c>
      <c r="C1114" s="75">
        <v>3018</v>
      </c>
      <c r="D1114" s="75" t="s">
        <v>2123</v>
      </c>
      <c r="E1114" s="75" t="s">
        <v>2257</v>
      </c>
      <c r="F1114" s="75" t="s">
        <v>1510</v>
      </c>
      <c r="G1114" s="76">
        <v>45694</v>
      </c>
      <c r="H1114" s="75" t="s">
        <v>35</v>
      </c>
      <c r="I1114" s="75" t="s">
        <v>10</v>
      </c>
      <c r="J1114" s="75">
        <v>0</v>
      </c>
      <c r="K1114" s="75" t="str">
        <f t="shared" si="17"/>
        <v>02-2025</v>
      </c>
      <c r="L1114" s="10" t="s">
        <v>2599</v>
      </c>
    </row>
    <row r="1115" spans="1:12" hidden="1" x14ac:dyDescent="0.35">
      <c r="A1115" s="75">
        <v>7816</v>
      </c>
      <c r="B1115" s="75" t="s">
        <v>423</v>
      </c>
      <c r="C1115" s="75">
        <v>7517</v>
      </c>
      <c r="D1115" s="75" t="s">
        <v>108</v>
      </c>
      <c r="E1115" s="75" t="s">
        <v>2258</v>
      </c>
      <c r="F1115" s="75" t="s">
        <v>1510</v>
      </c>
      <c r="G1115" s="76">
        <v>45691</v>
      </c>
      <c r="H1115" s="75" t="s">
        <v>21</v>
      </c>
      <c r="I1115" s="75" t="s">
        <v>10</v>
      </c>
      <c r="J1115" s="75">
        <v>0</v>
      </c>
      <c r="K1115" s="75" t="str">
        <f t="shared" si="17"/>
        <v>02-2025</v>
      </c>
      <c r="L1115" s="10" t="s">
        <v>2599</v>
      </c>
    </row>
    <row r="1116" spans="1:12" hidden="1" x14ac:dyDescent="0.35">
      <c r="A1116" s="75">
        <v>7816</v>
      </c>
      <c r="B1116" s="75" t="s">
        <v>423</v>
      </c>
      <c r="C1116" s="75">
        <v>7808</v>
      </c>
      <c r="D1116" s="75" t="s">
        <v>177</v>
      </c>
      <c r="E1116" s="75" t="s">
        <v>2259</v>
      </c>
      <c r="F1116" s="75" t="s">
        <v>1510</v>
      </c>
      <c r="G1116" s="76">
        <v>45691</v>
      </c>
      <c r="H1116" s="75" t="s">
        <v>21</v>
      </c>
      <c r="I1116" s="75" t="s">
        <v>10</v>
      </c>
      <c r="J1116" s="75">
        <v>0</v>
      </c>
      <c r="K1116" s="75" t="str">
        <f t="shared" si="17"/>
        <v>02-2025</v>
      </c>
      <c r="L1116" s="10" t="s">
        <v>2599</v>
      </c>
    </row>
    <row r="1117" spans="1:12" hidden="1" x14ac:dyDescent="0.35">
      <c r="A1117" s="75">
        <v>7517</v>
      </c>
      <c r="B1117" s="75" t="s">
        <v>108</v>
      </c>
      <c r="C1117" s="75">
        <v>7808</v>
      </c>
      <c r="D1117" s="75" t="s">
        <v>177</v>
      </c>
      <c r="E1117" s="75" t="s">
        <v>2260</v>
      </c>
      <c r="F1117" s="75" t="s">
        <v>1510</v>
      </c>
      <c r="G1117" s="76">
        <v>45691</v>
      </c>
      <c r="H1117" s="75" t="s">
        <v>9</v>
      </c>
      <c r="I1117" s="75" t="s">
        <v>32</v>
      </c>
      <c r="J1117" s="75">
        <v>0</v>
      </c>
      <c r="K1117" s="75" t="str">
        <f t="shared" si="17"/>
        <v>02-2025</v>
      </c>
      <c r="L1117" s="10" t="s">
        <v>2599</v>
      </c>
    </row>
    <row r="1118" spans="1:12" hidden="1" x14ac:dyDescent="0.35">
      <c r="A1118" s="75">
        <v>7576</v>
      </c>
      <c r="B1118" s="75" t="s">
        <v>422</v>
      </c>
      <c r="C1118" s="75">
        <v>7068</v>
      </c>
      <c r="D1118" s="75" t="s">
        <v>421</v>
      </c>
      <c r="E1118" s="75" t="s">
        <v>2261</v>
      </c>
      <c r="F1118" s="75" t="s">
        <v>1510</v>
      </c>
      <c r="G1118" s="76">
        <v>45689</v>
      </c>
      <c r="H1118" s="75" t="s">
        <v>73</v>
      </c>
      <c r="I1118" s="75" t="s">
        <v>54</v>
      </c>
      <c r="J1118" s="75">
        <v>0</v>
      </c>
      <c r="K1118" s="75" t="str">
        <f t="shared" si="17"/>
        <v>02-2025</v>
      </c>
      <c r="L1118" s="10" t="s">
        <v>2599</v>
      </c>
    </row>
    <row r="1119" spans="1:12" hidden="1" x14ac:dyDescent="0.35">
      <c r="A1119" s="75">
        <v>4385</v>
      </c>
      <c r="B1119" s="75" t="s">
        <v>1839</v>
      </c>
      <c r="C1119" s="75">
        <v>1523</v>
      </c>
      <c r="D1119" s="75" t="s">
        <v>1743</v>
      </c>
      <c r="E1119" s="75" t="s">
        <v>2262</v>
      </c>
      <c r="F1119" s="75" t="s">
        <v>1509</v>
      </c>
      <c r="G1119" s="76">
        <v>45688</v>
      </c>
      <c r="H1119" s="75" t="s">
        <v>40</v>
      </c>
      <c r="I1119" s="75" t="s">
        <v>54</v>
      </c>
      <c r="J1119" s="75">
        <v>500</v>
      </c>
      <c r="K1119" s="75" t="str">
        <f t="shared" si="17"/>
        <v>01-2025</v>
      </c>
      <c r="L1119" s="10" t="s">
        <v>2599</v>
      </c>
    </row>
    <row r="1120" spans="1:12" hidden="1" x14ac:dyDescent="0.35">
      <c r="A1120" s="75">
        <v>7133</v>
      </c>
      <c r="B1120" s="75" t="s">
        <v>1842</v>
      </c>
      <c r="C1120" s="75">
        <v>1523</v>
      </c>
      <c r="D1120" s="75" t="s">
        <v>1743</v>
      </c>
      <c r="E1120" s="75" t="s">
        <v>2263</v>
      </c>
      <c r="F1120" s="75" t="s">
        <v>1509</v>
      </c>
      <c r="G1120" s="76">
        <v>45688</v>
      </c>
      <c r="H1120" s="75" t="s">
        <v>40</v>
      </c>
      <c r="I1120" s="75" t="s">
        <v>251</v>
      </c>
      <c r="J1120" s="75">
        <v>500</v>
      </c>
      <c r="K1120" s="75" t="str">
        <f t="shared" si="17"/>
        <v>01-2025</v>
      </c>
      <c r="L1120" s="10" t="s">
        <v>2599</v>
      </c>
    </row>
    <row r="1121" spans="1:12" hidden="1" x14ac:dyDescent="0.35">
      <c r="A1121" s="75">
        <v>7180</v>
      </c>
      <c r="B1121" s="75" t="s">
        <v>2128</v>
      </c>
      <c r="C1121" s="75">
        <v>7288</v>
      </c>
      <c r="D1121" s="75" t="s">
        <v>1878</v>
      </c>
      <c r="E1121" s="75" t="s">
        <v>2264</v>
      </c>
      <c r="F1121" s="75" t="s">
        <v>1510</v>
      </c>
      <c r="G1121" s="76">
        <v>45688</v>
      </c>
      <c r="H1121" s="75" t="s">
        <v>73</v>
      </c>
      <c r="I1121" s="75" t="s">
        <v>32</v>
      </c>
      <c r="J1121" s="75">
        <v>0</v>
      </c>
      <c r="K1121" s="75" t="str">
        <f t="shared" si="17"/>
        <v>01-2025</v>
      </c>
      <c r="L1121" s="10" t="s">
        <v>2599</v>
      </c>
    </row>
    <row r="1122" spans="1:12" hidden="1" x14ac:dyDescent="0.35">
      <c r="A1122" s="75">
        <v>5194</v>
      </c>
      <c r="B1122" s="75" t="s">
        <v>121</v>
      </c>
      <c r="C1122" s="75">
        <v>879</v>
      </c>
      <c r="D1122" s="75" t="s">
        <v>2145</v>
      </c>
      <c r="E1122" s="75" t="s">
        <v>2265</v>
      </c>
      <c r="F1122" s="75" t="s">
        <v>1510</v>
      </c>
      <c r="G1122" s="76">
        <v>45686</v>
      </c>
      <c r="H1122" s="75" t="s">
        <v>40</v>
      </c>
      <c r="I1122" s="75" t="s">
        <v>54</v>
      </c>
      <c r="J1122" s="75">
        <v>0</v>
      </c>
      <c r="K1122" s="75" t="str">
        <f t="shared" si="17"/>
        <v>01-2025</v>
      </c>
      <c r="L1122" s="10" t="s">
        <v>2599</v>
      </c>
    </row>
    <row r="1123" spans="1:12" hidden="1" x14ac:dyDescent="0.35">
      <c r="A1123" s="75">
        <v>1252</v>
      </c>
      <c r="B1123" s="75" t="s">
        <v>2130</v>
      </c>
      <c r="C1123" s="75">
        <v>1945</v>
      </c>
      <c r="D1123" s="75" t="s">
        <v>110</v>
      </c>
      <c r="E1123" s="75" t="s">
        <v>2266</v>
      </c>
      <c r="F1123" s="75" t="s">
        <v>1510</v>
      </c>
      <c r="G1123" s="76">
        <v>45684</v>
      </c>
      <c r="H1123" s="75" t="s">
        <v>40</v>
      </c>
      <c r="I1123" s="75" t="s">
        <v>32</v>
      </c>
      <c r="J1123" s="75">
        <v>0</v>
      </c>
      <c r="K1123" s="75" t="str">
        <f t="shared" si="17"/>
        <v>01-2025</v>
      </c>
      <c r="L1123" s="10" t="s">
        <v>2599</v>
      </c>
    </row>
    <row r="1124" spans="1:12" hidden="1" x14ac:dyDescent="0.35">
      <c r="A1124" s="75">
        <v>7310</v>
      </c>
      <c r="B1124" s="75" t="s">
        <v>2129</v>
      </c>
      <c r="C1124" s="75">
        <v>7631</v>
      </c>
      <c r="D1124" s="75" t="s">
        <v>2146</v>
      </c>
      <c r="E1124" s="75" t="s">
        <v>2267</v>
      </c>
      <c r="F1124" s="75" t="s">
        <v>1510</v>
      </c>
      <c r="G1124" s="76">
        <v>45680</v>
      </c>
      <c r="H1124" s="75" t="s">
        <v>73</v>
      </c>
      <c r="I1124" s="75" t="s">
        <v>32</v>
      </c>
      <c r="J1124" s="75">
        <v>0</v>
      </c>
      <c r="K1124" s="75" t="str">
        <f t="shared" si="17"/>
        <v>01-2025</v>
      </c>
      <c r="L1124" s="10" t="s">
        <v>2599</v>
      </c>
    </row>
    <row r="1125" spans="1:12" hidden="1" x14ac:dyDescent="0.35">
      <c r="A1125" s="75">
        <v>7753</v>
      </c>
      <c r="B1125" s="75" t="s">
        <v>1830</v>
      </c>
      <c r="C1125" s="75">
        <v>7631</v>
      </c>
      <c r="D1125" s="75" t="s">
        <v>2146</v>
      </c>
      <c r="E1125" s="75" t="s">
        <v>2268</v>
      </c>
      <c r="F1125" s="75" t="s">
        <v>1510</v>
      </c>
      <c r="G1125" s="76">
        <v>45680</v>
      </c>
      <c r="H1125" s="75" t="s">
        <v>73</v>
      </c>
      <c r="I1125" s="75" t="s">
        <v>32</v>
      </c>
      <c r="J1125" s="75">
        <v>0</v>
      </c>
      <c r="K1125" s="75" t="str">
        <f t="shared" si="17"/>
        <v>01-2025</v>
      </c>
      <c r="L1125" s="10" t="s">
        <v>2599</v>
      </c>
    </row>
    <row r="1126" spans="1:12" hidden="1" x14ac:dyDescent="0.35">
      <c r="A1126" s="75">
        <v>7622</v>
      </c>
      <c r="B1126" s="75" t="s">
        <v>698</v>
      </c>
      <c r="C1126" s="75">
        <v>7943</v>
      </c>
      <c r="D1126" s="75" t="s">
        <v>2076</v>
      </c>
      <c r="E1126" s="75" t="s">
        <v>2269</v>
      </c>
      <c r="F1126" s="75" t="s">
        <v>1510</v>
      </c>
      <c r="G1126" s="76">
        <v>45679</v>
      </c>
      <c r="H1126" s="75" t="s">
        <v>35</v>
      </c>
      <c r="I1126" s="75" t="s">
        <v>10</v>
      </c>
      <c r="J1126" s="75">
        <v>0</v>
      </c>
      <c r="K1126" s="75" t="str">
        <f t="shared" si="17"/>
        <v>01-2025</v>
      </c>
      <c r="L1126" s="10" t="s">
        <v>2599</v>
      </c>
    </row>
    <row r="1127" spans="1:12" hidden="1" x14ac:dyDescent="0.35">
      <c r="A1127" s="75">
        <v>7808</v>
      </c>
      <c r="B1127" s="75" t="s">
        <v>177</v>
      </c>
      <c r="C1127" s="75">
        <v>2038</v>
      </c>
      <c r="D1127" s="75" t="s">
        <v>291</v>
      </c>
      <c r="E1127" s="75" t="s">
        <v>2270</v>
      </c>
      <c r="F1127" s="75" t="s">
        <v>1510</v>
      </c>
      <c r="G1127" s="76">
        <v>45679</v>
      </c>
      <c r="H1127" s="75" t="s">
        <v>21</v>
      </c>
      <c r="I1127" s="75" t="s">
        <v>10</v>
      </c>
      <c r="J1127" s="75">
        <v>0</v>
      </c>
      <c r="K1127" s="75" t="str">
        <f t="shared" si="17"/>
        <v>01-2025</v>
      </c>
      <c r="L1127" s="10" t="s">
        <v>2599</v>
      </c>
    </row>
    <row r="1128" spans="1:12" hidden="1" x14ac:dyDescent="0.35">
      <c r="A1128" s="75">
        <v>7238</v>
      </c>
      <c r="B1128" s="75" t="s">
        <v>798</v>
      </c>
      <c r="C1128" s="75">
        <v>871</v>
      </c>
      <c r="D1128" s="75" t="s">
        <v>2147</v>
      </c>
      <c r="E1128" s="75" t="s">
        <v>2271</v>
      </c>
      <c r="F1128" s="75" t="s">
        <v>1510</v>
      </c>
      <c r="G1128" s="76">
        <v>45678</v>
      </c>
      <c r="H1128" s="75" t="s">
        <v>168</v>
      </c>
      <c r="I1128" s="75" t="s">
        <v>10</v>
      </c>
      <c r="J1128" s="75">
        <v>0</v>
      </c>
      <c r="K1128" s="75" t="str">
        <f t="shared" si="17"/>
        <v>01-2025</v>
      </c>
      <c r="L1128" s="10" t="s">
        <v>2599</v>
      </c>
    </row>
    <row r="1129" spans="1:12" hidden="1" x14ac:dyDescent="0.35">
      <c r="A1129" s="75">
        <v>7889</v>
      </c>
      <c r="B1129" s="75" t="s">
        <v>2092</v>
      </c>
      <c r="C1129" s="75">
        <v>7741</v>
      </c>
      <c r="D1129" s="75" t="s">
        <v>2136</v>
      </c>
      <c r="E1129" s="75" t="s">
        <v>2272</v>
      </c>
      <c r="F1129" s="75" t="s">
        <v>1510</v>
      </c>
      <c r="G1129" s="76">
        <v>45678</v>
      </c>
      <c r="H1129" s="75" t="s">
        <v>21</v>
      </c>
      <c r="I1129" s="75" t="s">
        <v>74</v>
      </c>
      <c r="J1129" s="75">
        <v>0</v>
      </c>
      <c r="K1129" s="75" t="str">
        <f t="shared" si="17"/>
        <v>01-2025</v>
      </c>
      <c r="L1129" s="10" t="s">
        <v>2599</v>
      </c>
    </row>
    <row r="1130" spans="1:12" hidden="1" x14ac:dyDescent="0.35">
      <c r="A1130" s="75">
        <v>7880</v>
      </c>
      <c r="B1130" s="75" t="s">
        <v>2131</v>
      </c>
      <c r="C1130" s="75">
        <v>3009</v>
      </c>
      <c r="D1130" s="75" t="s">
        <v>488</v>
      </c>
      <c r="E1130" s="75" t="s">
        <v>2273</v>
      </c>
      <c r="F1130" s="75" t="s">
        <v>1510</v>
      </c>
      <c r="G1130" s="76">
        <v>45677</v>
      </c>
      <c r="H1130" s="75" t="s">
        <v>40</v>
      </c>
      <c r="I1130" s="75" t="e">
        <v>#N/A</v>
      </c>
      <c r="J1130" s="75">
        <v>0</v>
      </c>
      <c r="K1130" s="75" t="str">
        <f t="shared" si="17"/>
        <v>01-2025</v>
      </c>
      <c r="L1130" s="10" t="s">
        <v>2599</v>
      </c>
    </row>
    <row r="1131" spans="1:12" hidden="1" x14ac:dyDescent="0.35">
      <c r="A1131" s="75">
        <v>7583</v>
      </c>
      <c r="B1131" s="75" t="s">
        <v>835</v>
      </c>
      <c r="C1131" s="75">
        <v>3009</v>
      </c>
      <c r="D1131" s="75" t="s">
        <v>488</v>
      </c>
      <c r="E1131" s="75" t="s">
        <v>2273</v>
      </c>
      <c r="F1131" s="75" t="s">
        <v>1510</v>
      </c>
      <c r="G1131" s="76">
        <v>45677</v>
      </c>
      <c r="H1131" s="75" t="s">
        <v>40</v>
      </c>
      <c r="I1131" s="75" t="s">
        <v>74</v>
      </c>
      <c r="J1131" s="75">
        <v>0</v>
      </c>
      <c r="K1131" s="75" t="str">
        <f t="shared" si="17"/>
        <v>01-2025</v>
      </c>
      <c r="L1131" s="10" t="s">
        <v>2599</v>
      </c>
    </row>
    <row r="1132" spans="1:12" hidden="1" x14ac:dyDescent="0.35">
      <c r="A1132" s="75">
        <v>5426</v>
      </c>
      <c r="B1132" s="75" t="s">
        <v>832</v>
      </c>
      <c r="C1132" s="75">
        <v>3009</v>
      </c>
      <c r="D1132" s="75" t="s">
        <v>488</v>
      </c>
      <c r="E1132" s="75" t="s">
        <v>2274</v>
      </c>
      <c r="F1132" s="75" t="s">
        <v>1510</v>
      </c>
      <c r="G1132" s="76">
        <v>45677</v>
      </c>
      <c r="H1132" s="75" t="s">
        <v>40</v>
      </c>
      <c r="I1132" s="75" t="s">
        <v>251</v>
      </c>
      <c r="J1132" s="75">
        <v>0</v>
      </c>
      <c r="K1132" s="75" t="str">
        <f t="shared" si="17"/>
        <v>01-2025</v>
      </c>
      <c r="L1132" s="10" t="s">
        <v>2599</v>
      </c>
    </row>
    <row r="1133" spans="1:12" hidden="1" x14ac:dyDescent="0.35">
      <c r="A1133" s="75">
        <v>1458</v>
      </c>
      <c r="B1133" s="75" t="s">
        <v>278</v>
      </c>
      <c r="C1133" s="75">
        <v>6319</v>
      </c>
      <c r="D1133" s="75" t="s">
        <v>809</v>
      </c>
      <c r="E1133" s="75" t="s">
        <v>2275</v>
      </c>
      <c r="F1133" s="75" t="s">
        <v>1510</v>
      </c>
      <c r="G1133" s="76">
        <v>45675</v>
      </c>
      <c r="H1133" s="75" t="s">
        <v>40</v>
      </c>
      <c r="I1133" s="75" t="s">
        <v>32</v>
      </c>
      <c r="J1133" s="75">
        <v>0</v>
      </c>
      <c r="K1133" s="75" t="str">
        <f t="shared" si="17"/>
        <v>01-2025</v>
      </c>
      <c r="L1133" s="10" t="s">
        <v>2599</v>
      </c>
    </row>
    <row r="1134" spans="1:12" hidden="1" x14ac:dyDescent="0.35">
      <c r="A1134" s="75">
        <v>7573</v>
      </c>
      <c r="B1134" s="75" t="s">
        <v>2045</v>
      </c>
      <c r="C1134" s="75">
        <v>7061</v>
      </c>
      <c r="D1134" s="75" t="s">
        <v>2148</v>
      </c>
      <c r="E1134" s="75" t="s">
        <v>2276</v>
      </c>
      <c r="F1134" s="75" t="s">
        <v>1509</v>
      </c>
      <c r="G1134" s="76">
        <v>45674</v>
      </c>
      <c r="H1134" s="75" t="s">
        <v>35</v>
      </c>
      <c r="I1134" s="75" t="s">
        <v>32</v>
      </c>
      <c r="J1134" s="75">
        <v>500</v>
      </c>
      <c r="K1134" s="75" t="str">
        <f t="shared" si="17"/>
        <v>01-2025</v>
      </c>
      <c r="L1134" s="10" t="s">
        <v>2599</v>
      </c>
    </row>
    <row r="1135" spans="1:12" hidden="1" x14ac:dyDescent="0.35">
      <c r="A1135" s="75">
        <v>7744</v>
      </c>
      <c r="B1135" s="75" t="s">
        <v>2041</v>
      </c>
      <c r="C1135" s="75">
        <v>7061</v>
      </c>
      <c r="D1135" s="75" t="s">
        <v>2148</v>
      </c>
      <c r="E1135" s="75" t="s">
        <v>2277</v>
      </c>
      <c r="F1135" s="75" t="s">
        <v>1509</v>
      </c>
      <c r="G1135" s="76">
        <v>45674</v>
      </c>
      <c r="H1135" s="75" t="s">
        <v>35</v>
      </c>
      <c r="I1135" s="75" t="s">
        <v>54</v>
      </c>
      <c r="J1135" s="75">
        <v>500</v>
      </c>
      <c r="K1135" s="75" t="str">
        <f t="shared" si="17"/>
        <v>01-2025</v>
      </c>
      <c r="L1135" s="10" t="s">
        <v>2599</v>
      </c>
    </row>
    <row r="1136" spans="1:12" hidden="1" x14ac:dyDescent="0.35">
      <c r="A1136" s="75">
        <v>7471</v>
      </c>
      <c r="B1136" s="75" t="s">
        <v>813</v>
      </c>
      <c r="C1136" s="75" t="s">
        <v>1508</v>
      </c>
      <c r="D1136" s="75" t="s">
        <v>866</v>
      </c>
      <c r="E1136" s="75" t="s">
        <v>2278</v>
      </c>
      <c r="F1136" s="75" t="s">
        <v>1509</v>
      </c>
      <c r="G1136" s="76">
        <v>45674</v>
      </c>
      <c r="H1136" s="75" t="s">
        <v>16</v>
      </c>
      <c r="I1136" s="75" t="s">
        <v>74</v>
      </c>
      <c r="J1136" s="75">
        <v>500</v>
      </c>
      <c r="K1136" s="75" t="str">
        <f t="shared" si="17"/>
        <v>01-2025</v>
      </c>
      <c r="L1136" s="10" t="s">
        <v>2599</v>
      </c>
    </row>
    <row r="1137" spans="1:12" hidden="1" x14ac:dyDescent="0.35">
      <c r="A1137" s="75">
        <v>7886</v>
      </c>
      <c r="B1137" s="75" t="s">
        <v>779</v>
      </c>
      <c r="C1137" s="75" t="s">
        <v>1508</v>
      </c>
      <c r="D1137" s="75" t="s">
        <v>866</v>
      </c>
      <c r="E1137" s="75" t="s">
        <v>2279</v>
      </c>
      <c r="F1137" s="75" t="s">
        <v>1509</v>
      </c>
      <c r="G1137" s="76">
        <v>45674</v>
      </c>
      <c r="H1137" s="75" t="s">
        <v>40</v>
      </c>
      <c r="I1137" s="75" t="s">
        <v>74</v>
      </c>
      <c r="J1137" s="75">
        <v>500</v>
      </c>
      <c r="K1137" s="75" t="str">
        <f t="shared" si="17"/>
        <v>01-2025</v>
      </c>
      <c r="L1137" s="10" t="s">
        <v>2599</v>
      </c>
    </row>
    <row r="1138" spans="1:12" hidden="1" x14ac:dyDescent="0.35">
      <c r="A1138" s="75">
        <v>669</v>
      </c>
      <c r="B1138" s="75" t="s">
        <v>114</v>
      </c>
      <c r="C1138" s="75" t="s">
        <v>1508</v>
      </c>
      <c r="D1138" s="75" t="s">
        <v>866</v>
      </c>
      <c r="E1138" s="75" t="s">
        <v>2280</v>
      </c>
      <c r="F1138" s="75" t="s">
        <v>1509</v>
      </c>
      <c r="G1138" s="76">
        <v>45674</v>
      </c>
      <c r="H1138" s="75" t="s">
        <v>40</v>
      </c>
      <c r="I1138" s="75" t="s">
        <v>74</v>
      </c>
      <c r="J1138" s="75">
        <v>500</v>
      </c>
      <c r="K1138" s="75" t="str">
        <f t="shared" si="17"/>
        <v>01-2025</v>
      </c>
      <c r="L1138" s="10" t="s">
        <v>2599</v>
      </c>
    </row>
    <row r="1139" spans="1:12" hidden="1" x14ac:dyDescent="0.35">
      <c r="A1139" s="75">
        <v>1530</v>
      </c>
      <c r="B1139" s="75" t="s">
        <v>371</v>
      </c>
      <c r="C1139" s="75" t="s">
        <v>1508</v>
      </c>
      <c r="D1139" s="75" t="s">
        <v>866</v>
      </c>
      <c r="E1139" s="75" t="s">
        <v>2281</v>
      </c>
      <c r="F1139" s="75" t="s">
        <v>1509</v>
      </c>
      <c r="G1139" s="76">
        <v>45674</v>
      </c>
      <c r="H1139" s="75" t="s">
        <v>24</v>
      </c>
      <c r="I1139" s="75" t="s">
        <v>74</v>
      </c>
      <c r="J1139" s="75">
        <v>500</v>
      </c>
      <c r="K1139" s="75" t="str">
        <f t="shared" si="17"/>
        <v>01-2025</v>
      </c>
      <c r="L1139" s="10" t="s">
        <v>2599</v>
      </c>
    </row>
    <row r="1140" spans="1:12" hidden="1" x14ac:dyDescent="0.35">
      <c r="A1140" s="75">
        <v>7295</v>
      </c>
      <c r="B1140" s="75" t="s">
        <v>1859</v>
      </c>
      <c r="C1140" s="75" t="s">
        <v>1508</v>
      </c>
      <c r="D1140" s="75" t="s">
        <v>866</v>
      </c>
      <c r="E1140" s="75" t="s">
        <v>2282</v>
      </c>
      <c r="F1140" s="75" t="s">
        <v>1509</v>
      </c>
      <c r="G1140" s="76">
        <v>45674</v>
      </c>
      <c r="H1140" s="75" t="s">
        <v>73</v>
      </c>
      <c r="I1140" s="75" t="s">
        <v>74</v>
      </c>
      <c r="J1140" s="75">
        <v>500</v>
      </c>
      <c r="K1140" s="75" t="str">
        <f t="shared" si="17"/>
        <v>01-2025</v>
      </c>
      <c r="L1140" s="10" t="s">
        <v>2599</v>
      </c>
    </row>
    <row r="1141" spans="1:12" hidden="1" x14ac:dyDescent="0.35">
      <c r="A1141" s="75">
        <v>7867</v>
      </c>
      <c r="B1141" s="75" t="s">
        <v>1858</v>
      </c>
      <c r="C1141" s="75" t="s">
        <v>1508</v>
      </c>
      <c r="D1141" s="75" t="s">
        <v>866</v>
      </c>
      <c r="E1141" s="75" t="s">
        <v>2283</v>
      </c>
      <c r="F1141" s="75" t="s">
        <v>1509</v>
      </c>
      <c r="G1141" s="76">
        <v>45674</v>
      </c>
      <c r="H1141" s="75" t="s">
        <v>40</v>
      </c>
      <c r="I1141" s="75" t="s">
        <v>32</v>
      </c>
      <c r="J1141" s="75">
        <v>500</v>
      </c>
      <c r="K1141" s="75" t="str">
        <f t="shared" si="17"/>
        <v>01-2025</v>
      </c>
      <c r="L1141" s="10" t="s">
        <v>2599</v>
      </c>
    </row>
    <row r="1142" spans="1:12" hidden="1" x14ac:dyDescent="0.35">
      <c r="A1142" s="75">
        <v>7628</v>
      </c>
      <c r="B1142" s="75" t="s">
        <v>1857</v>
      </c>
      <c r="C1142" s="75" t="s">
        <v>1508</v>
      </c>
      <c r="D1142" s="75" t="s">
        <v>866</v>
      </c>
      <c r="E1142" s="75" t="s">
        <v>2284</v>
      </c>
      <c r="F1142" s="75" t="s">
        <v>1509</v>
      </c>
      <c r="G1142" s="76">
        <v>45674</v>
      </c>
      <c r="H1142" s="75" t="s">
        <v>40</v>
      </c>
      <c r="I1142" s="75" t="s">
        <v>74</v>
      </c>
      <c r="J1142" s="75">
        <v>500</v>
      </c>
      <c r="K1142" s="75" t="str">
        <f t="shared" si="17"/>
        <v>01-2025</v>
      </c>
      <c r="L1142" s="10" t="s">
        <v>2599</v>
      </c>
    </row>
    <row r="1143" spans="1:12" hidden="1" x14ac:dyDescent="0.35">
      <c r="A1143" s="75">
        <v>3081</v>
      </c>
      <c r="B1143" s="75" t="s">
        <v>1856</v>
      </c>
      <c r="C1143" s="75" t="s">
        <v>1508</v>
      </c>
      <c r="D1143" s="75" t="s">
        <v>866</v>
      </c>
      <c r="E1143" s="75" t="s">
        <v>2285</v>
      </c>
      <c r="F1143" s="75" t="s">
        <v>1509</v>
      </c>
      <c r="G1143" s="76">
        <v>45674</v>
      </c>
      <c r="H1143" s="75" t="s">
        <v>35</v>
      </c>
      <c r="I1143" s="75" t="s">
        <v>54</v>
      </c>
      <c r="J1143" s="75">
        <v>500</v>
      </c>
      <c r="K1143" s="75" t="str">
        <f t="shared" si="17"/>
        <v>01-2025</v>
      </c>
      <c r="L1143" s="10" t="s">
        <v>2599</v>
      </c>
    </row>
    <row r="1144" spans="1:12" hidden="1" x14ac:dyDescent="0.35">
      <c r="A1144" s="75">
        <v>7654</v>
      </c>
      <c r="B1144" s="75" t="s">
        <v>55</v>
      </c>
      <c r="C1144" s="75" t="s">
        <v>1508</v>
      </c>
      <c r="D1144" s="75" t="s">
        <v>866</v>
      </c>
      <c r="E1144" s="75" t="s">
        <v>2286</v>
      </c>
      <c r="F1144" s="75" t="s">
        <v>1509</v>
      </c>
      <c r="G1144" s="76">
        <v>45674</v>
      </c>
      <c r="H1144" s="75" t="s">
        <v>16</v>
      </c>
      <c r="I1144" s="75" t="s">
        <v>10</v>
      </c>
      <c r="J1144" s="75">
        <v>500</v>
      </c>
      <c r="K1144" s="75" t="str">
        <f t="shared" si="17"/>
        <v>01-2025</v>
      </c>
      <c r="L1144" s="10" t="s">
        <v>2599</v>
      </c>
    </row>
    <row r="1145" spans="1:12" hidden="1" x14ac:dyDescent="0.35">
      <c r="A1145" s="75">
        <v>6289</v>
      </c>
      <c r="B1145" s="75" t="s">
        <v>641</v>
      </c>
      <c r="C1145" s="75" t="s">
        <v>1508</v>
      </c>
      <c r="D1145" s="75" t="s">
        <v>866</v>
      </c>
      <c r="E1145" s="75" t="s">
        <v>2287</v>
      </c>
      <c r="F1145" s="75" t="s">
        <v>1509</v>
      </c>
      <c r="G1145" s="76">
        <v>45674</v>
      </c>
      <c r="H1145" s="75" t="s">
        <v>9</v>
      </c>
      <c r="I1145" s="75" t="e">
        <v>#N/A</v>
      </c>
      <c r="J1145" s="75">
        <v>500</v>
      </c>
      <c r="K1145" s="75" t="str">
        <f t="shared" si="17"/>
        <v>01-2025</v>
      </c>
      <c r="L1145" s="10" t="s">
        <v>2599</v>
      </c>
    </row>
    <row r="1146" spans="1:12" hidden="1" x14ac:dyDescent="0.35">
      <c r="A1146" s="75">
        <v>7307</v>
      </c>
      <c r="B1146" s="75" t="s">
        <v>1768</v>
      </c>
      <c r="C1146" s="75" t="s">
        <v>1508</v>
      </c>
      <c r="D1146" s="75" t="s">
        <v>866</v>
      </c>
      <c r="E1146" s="75" t="s">
        <v>2288</v>
      </c>
      <c r="F1146" s="75" t="s">
        <v>1509</v>
      </c>
      <c r="G1146" s="76">
        <v>45674</v>
      </c>
      <c r="H1146" s="75" t="s">
        <v>9</v>
      </c>
      <c r="I1146" s="75" t="s">
        <v>10</v>
      </c>
      <c r="J1146" s="75">
        <v>500</v>
      </c>
      <c r="K1146" s="75" t="str">
        <f t="shared" si="17"/>
        <v>01-2025</v>
      </c>
      <c r="L1146" s="10" t="s">
        <v>2599</v>
      </c>
    </row>
    <row r="1147" spans="1:12" hidden="1" x14ac:dyDescent="0.35">
      <c r="A1147" s="75">
        <v>7239</v>
      </c>
      <c r="B1147" s="75" t="s">
        <v>1843</v>
      </c>
      <c r="C1147" s="75" t="s">
        <v>1508</v>
      </c>
      <c r="D1147" s="75" t="s">
        <v>866</v>
      </c>
      <c r="E1147" s="75" t="s">
        <v>2289</v>
      </c>
      <c r="F1147" s="75" t="s">
        <v>1509</v>
      </c>
      <c r="G1147" s="76">
        <v>45674</v>
      </c>
      <c r="H1147" s="75" t="s">
        <v>13</v>
      </c>
      <c r="I1147" s="75" t="s">
        <v>54</v>
      </c>
      <c r="J1147" s="75">
        <v>500</v>
      </c>
      <c r="K1147" s="75" t="str">
        <f t="shared" si="17"/>
        <v>01-2025</v>
      </c>
      <c r="L1147" s="10" t="s">
        <v>2599</v>
      </c>
    </row>
    <row r="1148" spans="1:12" hidden="1" x14ac:dyDescent="0.35">
      <c r="A1148" s="75">
        <v>5751</v>
      </c>
      <c r="B1148" s="75" t="s">
        <v>1841</v>
      </c>
      <c r="C1148" s="75" t="s">
        <v>1508</v>
      </c>
      <c r="D1148" s="75" t="s">
        <v>866</v>
      </c>
      <c r="E1148" s="75" t="s">
        <v>2290</v>
      </c>
      <c r="F1148" s="75" t="s">
        <v>1509</v>
      </c>
      <c r="G1148" s="76">
        <v>45674</v>
      </c>
      <c r="H1148" s="75" t="s">
        <v>40</v>
      </c>
      <c r="I1148" s="75" t="s">
        <v>54</v>
      </c>
      <c r="J1148" s="75">
        <v>500</v>
      </c>
      <c r="K1148" s="75" t="str">
        <f t="shared" si="17"/>
        <v>01-2025</v>
      </c>
      <c r="L1148" s="10" t="s">
        <v>2599</v>
      </c>
    </row>
    <row r="1149" spans="1:12" hidden="1" x14ac:dyDescent="0.35">
      <c r="A1149" s="75">
        <v>5290</v>
      </c>
      <c r="B1149" s="75" t="s">
        <v>608</v>
      </c>
      <c r="C1149" s="75" t="s">
        <v>1508</v>
      </c>
      <c r="D1149" s="75" t="s">
        <v>866</v>
      </c>
      <c r="E1149" s="75" t="s">
        <v>2291</v>
      </c>
      <c r="F1149" s="75" t="s">
        <v>1509</v>
      </c>
      <c r="G1149" s="76">
        <v>45674</v>
      </c>
      <c r="H1149" s="75" t="s">
        <v>53</v>
      </c>
      <c r="I1149" s="75" t="s">
        <v>32</v>
      </c>
      <c r="J1149" s="75">
        <v>500</v>
      </c>
      <c r="K1149" s="75" t="str">
        <f t="shared" si="17"/>
        <v>01-2025</v>
      </c>
      <c r="L1149" s="10" t="s">
        <v>2599</v>
      </c>
    </row>
    <row r="1150" spans="1:12" hidden="1" x14ac:dyDescent="0.35">
      <c r="A1150" s="75">
        <v>7363</v>
      </c>
      <c r="B1150" s="75" t="s">
        <v>1838</v>
      </c>
      <c r="C1150" s="75" t="s">
        <v>1508</v>
      </c>
      <c r="D1150" s="75" t="s">
        <v>866</v>
      </c>
      <c r="E1150" s="75" t="s">
        <v>2292</v>
      </c>
      <c r="F1150" s="75" t="s">
        <v>1509</v>
      </c>
      <c r="G1150" s="76">
        <v>45674</v>
      </c>
      <c r="H1150" s="75" t="s">
        <v>73</v>
      </c>
      <c r="I1150" s="75" t="e">
        <v>#N/A</v>
      </c>
      <c r="J1150" s="75">
        <v>500</v>
      </c>
      <c r="K1150" s="75" t="str">
        <f t="shared" si="17"/>
        <v>01-2025</v>
      </c>
      <c r="L1150" s="10" t="s">
        <v>2599</v>
      </c>
    </row>
    <row r="1151" spans="1:12" hidden="1" x14ac:dyDescent="0.35">
      <c r="A1151" s="75">
        <v>7393</v>
      </c>
      <c r="B1151" s="75" t="s">
        <v>1837</v>
      </c>
      <c r="C1151" s="75" t="s">
        <v>1508</v>
      </c>
      <c r="D1151" s="75" t="s">
        <v>866</v>
      </c>
      <c r="E1151" s="75" t="s">
        <v>2293</v>
      </c>
      <c r="F1151" s="75" t="s">
        <v>1509</v>
      </c>
      <c r="G1151" s="76">
        <v>45674</v>
      </c>
      <c r="H1151" s="75" t="s">
        <v>73</v>
      </c>
      <c r="I1151" s="75" t="s">
        <v>10</v>
      </c>
      <c r="J1151" s="75">
        <v>500</v>
      </c>
      <c r="K1151" s="75" t="str">
        <f t="shared" si="17"/>
        <v>01-2025</v>
      </c>
      <c r="L1151" s="10" t="s">
        <v>2599</v>
      </c>
    </row>
    <row r="1152" spans="1:12" hidden="1" x14ac:dyDescent="0.35">
      <c r="A1152" s="75">
        <v>7811</v>
      </c>
      <c r="B1152" s="75" t="s">
        <v>355</v>
      </c>
      <c r="C1152" s="75" t="s">
        <v>1508</v>
      </c>
      <c r="D1152" s="75" t="s">
        <v>866</v>
      </c>
      <c r="E1152" s="75" t="s">
        <v>2294</v>
      </c>
      <c r="F1152" s="75" t="s">
        <v>1509</v>
      </c>
      <c r="G1152" s="76">
        <v>45674</v>
      </c>
      <c r="H1152" s="75" t="s">
        <v>21</v>
      </c>
      <c r="I1152" s="75" t="s">
        <v>54</v>
      </c>
      <c r="J1152" s="75">
        <v>500</v>
      </c>
      <c r="K1152" s="75" t="str">
        <f t="shared" si="17"/>
        <v>01-2025</v>
      </c>
      <c r="L1152" s="10" t="s">
        <v>2599</v>
      </c>
    </row>
    <row r="1153" spans="1:12" hidden="1" x14ac:dyDescent="0.35">
      <c r="A1153" s="75">
        <v>7379</v>
      </c>
      <c r="B1153" s="75" t="s">
        <v>1836</v>
      </c>
      <c r="C1153" s="75" t="s">
        <v>1508</v>
      </c>
      <c r="D1153" s="75" t="s">
        <v>866</v>
      </c>
      <c r="E1153" s="75" t="s">
        <v>2295</v>
      </c>
      <c r="F1153" s="75" t="s">
        <v>1509</v>
      </c>
      <c r="G1153" s="76">
        <v>45674</v>
      </c>
      <c r="H1153" s="75" t="s">
        <v>40</v>
      </c>
      <c r="I1153" s="75" t="s">
        <v>54</v>
      </c>
      <c r="J1153" s="75">
        <v>500</v>
      </c>
      <c r="K1153" s="75" t="str">
        <f t="shared" si="17"/>
        <v>01-2025</v>
      </c>
      <c r="L1153" s="10" t="s">
        <v>2599</v>
      </c>
    </row>
    <row r="1154" spans="1:12" hidden="1" x14ac:dyDescent="0.35">
      <c r="A1154" s="75">
        <v>7283</v>
      </c>
      <c r="B1154" s="75" t="s">
        <v>410</v>
      </c>
      <c r="C1154" s="75" t="s">
        <v>1508</v>
      </c>
      <c r="D1154" s="75" t="s">
        <v>866</v>
      </c>
      <c r="E1154" s="75" t="s">
        <v>2296</v>
      </c>
      <c r="F1154" s="75" t="s">
        <v>1509</v>
      </c>
      <c r="G1154" s="76">
        <v>45674</v>
      </c>
      <c r="H1154" s="75" t="s">
        <v>53</v>
      </c>
      <c r="I1154" s="75" t="s">
        <v>251</v>
      </c>
      <c r="J1154" s="75">
        <v>500</v>
      </c>
      <c r="K1154" s="75" t="str">
        <f t="shared" si="17"/>
        <v>01-2025</v>
      </c>
      <c r="L1154" s="10" t="s">
        <v>2599</v>
      </c>
    </row>
    <row r="1155" spans="1:12" hidden="1" x14ac:dyDescent="0.35">
      <c r="A1155" s="75">
        <v>6536</v>
      </c>
      <c r="B1155" s="75" t="s">
        <v>1738</v>
      </c>
      <c r="C1155" s="75" t="s">
        <v>1508</v>
      </c>
      <c r="D1155" s="75" t="s">
        <v>866</v>
      </c>
      <c r="E1155" s="75" t="s">
        <v>2297</v>
      </c>
      <c r="F1155" s="75" t="s">
        <v>1509</v>
      </c>
      <c r="G1155" s="76">
        <v>45674</v>
      </c>
      <c r="H1155" s="75" t="s">
        <v>40</v>
      </c>
      <c r="I1155" s="75" t="s">
        <v>54</v>
      </c>
      <c r="J1155" s="75">
        <v>500</v>
      </c>
      <c r="K1155" s="75" t="str">
        <f t="shared" ref="K1155:K1195" si="18">TEXT(G1155,"mm-yyyy")</f>
        <v>01-2025</v>
      </c>
      <c r="L1155" s="10" t="s">
        <v>2599</v>
      </c>
    </row>
    <row r="1156" spans="1:12" hidden="1" x14ac:dyDescent="0.35">
      <c r="A1156" s="75">
        <v>1377</v>
      </c>
      <c r="B1156" s="75" t="s">
        <v>296</v>
      </c>
      <c r="C1156" s="75" t="s">
        <v>1508</v>
      </c>
      <c r="D1156" s="75" t="s">
        <v>866</v>
      </c>
      <c r="E1156" s="75" t="s">
        <v>2298</v>
      </c>
      <c r="F1156" s="75" t="s">
        <v>1509</v>
      </c>
      <c r="G1156" s="76">
        <v>45674</v>
      </c>
      <c r="H1156" s="75" t="s">
        <v>53</v>
      </c>
      <c r="I1156" s="75" t="s">
        <v>54</v>
      </c>
      <c r="J1156" s="75">
        <v>500</v>
      </c>
      <c r="K1156" s="75" t="str">
        <f t="shared" si="18"/>
        <v>01-2025</v>
      </c>
      <c r="L1156" s="10" t="s">
        <v>2599</v>
      </c>
    </row>
    <row r="1157" spans="1:12" hidden="1" x14ac:dyDescent="0.35">
      <c r="A1157" s="75">
        <v>7133</v>
      </c>
      <c r="B1157" s="75" t="s">
        <v>1842</v>
      </c>
      <c r="C1157" s="75" t="s">
        <v>1508</v>
      </c>
      <c r="D1157" s="75" t="s">
        <v>866</v>
      </c>
      <c r="E1157" s="75" t="s">
        <v>2299</v>
      </c>
      <c r="F1157" s="75" t="s">
        <v>1509</v>
      </c>
      <c r="G1157" s="76">
        <v>45674</v>
      </c>
      <c r="H1157" s="75" t="s">
        <v>40</v>
      </c>
      <c r="I1157" s="75" t="s">
        <v>74</v>
      </c>
      <c r="J1157" s="75">
        <v>500</v>
      </c>
      <c r="K1157" s="75" t="str">
        <f t="shared" si="18"/>
        <v>01-2025</v>
      </c>
      <c r="L1157" s="10" t="s">
        <v>2599</v>
      </c>
    </row>
    <row r="1158" spans="1:12" hidden="1" x14ac:dyDescent="0.35">
      <c r="A1158" s="75">
        <v>3098</v>
      </c>
      <c r="B1158" s="75" t="s">
        <v>173</v>
      </c>
      <c r="C1158" s="75" t="s">
        <v>1508</v>
      </c>
      <c r="D1158" s="75" t="s">
        <v>866</v>
      </c>
      <c r="E1158" s="75" t="s">
        <v>2300</v>
      </c>
      <c r="F1158" s="75" t="s">
        <v>1509</v>
      </c>
      <c r="G1158" s="76">
        <v>45674</v>
      </c>
      <c r="H1158" s="75" t="s">
        <v>73</v>
      </c>
      <c r="I1158" s="75" t="s">
        <v>54</v>
      </c>
      <c r="J1158" s="75">
        <v>500</v>
      </c>
      <c r="K1158" s="75" t="str">
        <f t="shared" si="18"/>
        <v>01-2025</v>
      </c>
      <c r="L1158" s="10" t="s">
        <v>2599</v>
      </c>
    </row>
    <row r="1159" spans="1:12" hidden="1" x14ac:dyDescent="0.35">
      <c r="A1159" s="75">
        <v>1704</v>
      </c>
      <c r="B1159" s="75" t="s">
        <v>895</v>
      </c>
      <c r="C1159" s="75" t="s">
        <v>1508</v>
      </c>
      <c r="D1159" s="75" t="s">
        <v>866</v>
      </c>
      <c r="E1159" s="75" t="s">
        <v>2301</v>
      </c>
      <c r="F1159" s="75" t="s">
        <v>1509</v>
      </c>
      <c r="G1159" s="76">
        <v>45674</v>
      </c>
      <c r="H1159" s="75" t="s">
        <v>35</v>
      </c>
      <c r="I1159" s="75" t="e">
        <v>#N/A</v>
      </c>
      <c r="J1159" s="75">
        <v>500</v>
      </c>
      <c r="K1159" s="75" t="str">
        <f t="shared" si="18"/>
        <v>01-2025</v>
      </c>
      <c r="L1159" s="10" t="s">
        <v>2599</v>
      </c>
    </row>
    <row r="1160" spans="1:12" hidden="1" x14ac:dyDescent="0.35">
      <c r="A1160" s="75">
        <v>7843</v>
      </c>
      <c r="B1160" s="75" t="s">
        <v>1834</v>
      </c>
      <c r="C1160" s="75" t="s">
        <v>1508</v>
      </c>
      <c r="D1160" s="75" t="s">
        <v>866</v>
      </c>
      <c r="E1160" s="75" t="s">
        <v>2302</v>
      </c>
      <c r="F1160" s="75" t="s">
        <v>1509</v>
      </c>
      <c r="G1160" s="76">
        <v>45674</v>
      </c>
      <c r="H1160" s="75" t="s">
        <v>40</v>
      </c>
      <c r="I1160" s="75" t="s">
        <v>54</v>
      </c>
      <c r="J1160" s="75">
        <v>500</v>
      </c>
      <c r="K1160" s="75" t="str">
        <f t="shared" si="18"/>
        <v>01-2025</v>
      </c>
      <c r="L1160" s="10" t="s">
        <v>2599</v>
      </c>
    </row>
    <row r="1161" spans="1:12" hidden="1" x14ac:dyDescent="0.35">
      <c r="A1161" s="75">
        <v>7175</v>
      </c>
      <c r="B1161" s="75" t="s">
        <v>1734</v>
      </c>
      <c r="C1161" s="75" t="s">
        <v>1508</v>
      </c>
      <c r="D1161" s="75" t="s">
        <v>866</v>
      </c>
      <c r="E1161" s="75" t="s">
        <v>2303</v>
      </c>
      <c r="F1161" s="75" t="s">
        <v>1509</v>
      </c>
      <c r="G1161" s="76">
        <v>45674</v>
      </c>
      <c r="H1161" s="75" t="s">
        <v>40</v>
      </c>
      <c r="I1161" s="75" t="e">
        <v>#N/A</v>
      </c>
      <c r="J1161" s="75">
        <v>500</v>
      </c>
      <c r="K1161" s="75" t="str">
        <f t="shared" si="18"/>
        <v>01-2025</v>
      </c>
      <c r="L1161" s="10" t="s">
        <v>2599</v>
      </c>
    </row>
    <row r="1162" spans="1:12" hidden="1" x14ac:dyDescent="0.35">
      <c r="A1162" s="75">
        <v>7253</v>
      </c>
      <c r="B1162" s="75" t="s">
        <v>689</v>
      </c>
      <c r="C1162" s="75" t="s">
        <v>1508</v>
      </c>
      <c r="D1162" s="75" t="s">
        <v>866</v>
      </c>
      <c r="E1162" s="75" t="s">
        <v>2304</v>
      </c>
      <c r="F1162" s="75" t="s">
        <v>1509</v>
      </c>
      <c r="G1162" s="76">
        <v>45674</v>
      </c>
      <c r="H1162" s="75" t="s">
        <v>35</v>
      </c>
      <c r="I1162" s="75" t="s">
        <v>74</v>
      </c>
      <c r="J1162" s="75">
        <v>500</v>
      </c>
      <c r="K1162" s="75" t="str">
        <f t="shared" si="18"/>
        <v>01-2025</v>
      </c>
      <c r="L1162" s="10" t="s">
        <v>2599</v>
      </c>
    </row>
    <row r="1163" spans="1:12" hidden="1" x14ac:dyDescent="0.35">
      <c r="A1163" s="75">
        <v>3241</v>
      </c>
      <c r="B1163" s="75" t="s">
        <v>1860</v>
      </c>
      <c r="C1163" s="75" t="s">
        <v>1508</v>
      </c>
      <c r="D1163" s="75" t="s">
        <v>866</v>
      </c>
      <c r="E1163" s="75" t="s">
        <v>2305</v>
      </c>
      <c r="F1163" s="75" t="s">
        <v>1509</v>
      </c>
      <c r="G1163" s="76">
        <v>45674</v>
      </c>
      <c r="H1163" s="75" t="s">
        <v>73</v>
      </c>
      <c r="I1163" s="75" t="s">
        <v>54</v>
      </c>
      <c r="J1163" s="75">
        <v>500</v>
      </c>
      <c r="K1163" s="75" t="str">
        <f t="shared" si="18"/>
        <v>01-2025</v>
      </c>
      <c r="L1163" s="10" t="s">
        <v>2599</v>
      </c>
    </row>
    <row r="1164" spans="1:12" hidden="1" x14ac:dyDescent="0.35">
      <c r="A1164" s="75">
        <v>887</v>
      </c>
      <c r="B1164" s="75" t="s">
        <v>766</v>
      </c>
      <c r="C1164" s="75" t="s">
        <v>1508</v>
      </c>
      <c r="D1164" s="75" t="s">
        <v>866</v>
      </c>
      <c r="E1164" s="75" t="s">
        <v>2562</v>
      </c>
      <c r="F1164" s="75" t="s">
        <v>1509</v>
      </c>
      <c r="G1164" s="76">
        <v>45674</v>
      </c>
      <c r="H1164" s="75" t="s">
        <v>53</v>
      </c>
      <c r="I1164" s="75" t="s">
        <v>32</v>
      </c>
      <c r="J1164" s="75">
        <v>500</v>
      </c>
      <c r="K1164" s="75" t="str">
        <f t="shared" si="18"/>
        <v>01-2025</v>
      </c>
      <c r="L1164" s="10" t="s">
        <v>2599</v>
      </c>
    </row>
    <row r="1165" spans="1:12" hidden="1" x14ac:dyDescent="0.35">
      <c r="A1165" s="75">
        <v>7444</v>
      </c>
      <c r="B1165" s="75" t="s">
        <v>870</v>
      </c>
      <c r="C1165" s="75" t="s">
        <v>1508</v>
      </c>
      <c r="D1165" s="75" t="s">
        <v>866</v>
      </c>
      <c r="E1165" s="75" t="s">
        <v>2306</v>
      </c>
      <c r="F1165" s="75" t="s">
        <v>1509</v>
      </c>
      <c r="G1165" s="76">
        <v>45674</v>
      </c>
      <c r="H1165" s="75" t="s">
        <v>35</v>
      </c>
      <c r="I1165" s="75" t="s">
        <v>32</v>
      </c>
      <c r="J1165" s="75">
        <v>500</v>
      </c>
      <c r="K1165" s="75" t="str">
        <f t="shared" si="18"/>
        <v>01-2025</v>
      </c>
      <c r="L1165" s="10" t="s">
        <v>2599</v>
      </c>
    </row>
    <row r="1166" spans="1:12" hidden="1" x14ac:dyDescent="0.35">
      <c r="A1166" s="75">
        <v>7323</v>
      </c>
      <c r="B1166" s="75" t="s">
        <v>451</v>
      </c>
      <c r="C1166" s="75" t="s">
        <v>1508</v>
      </c>
      <c r="D1166" s="75" t="s">
        <v>866</v>
      </c>
      <c r="E1166" s="75" t="s">
        <v>2307</v>
      </c>
      <c r="F1166" s="75" t="s">
        <v>1509</v>
      </c>
      <c r="G1166" s="76">
        <v>45674</v>
      </c>
      <c r="H1166" s="75" t="s">
        <v>35</v>
      </c>
      <c r="I1166" s="75" t="s">
        <v>54</v>
      </c>
      <c r="J1166" s="75">
        <v>500</v>
      </c>
      <c r="K1166" s="75" t="str">
        <f t="shared" si="18"/>
        <v>01-2025</v>
      </c>
      <c r="L1166" s="10" t="s">
        <v>2599</v>
      </c>
    </row>
    <row r="1167" spans="1:12" hidden="1" x14ac:dyDescent="0.35">
      <c r="A1167" s="75">
        <v>6835</v>
      </c>
      <c r="B1167" s="75" t="s">
        <v>839</v>
      </c>
      <c r="C1167" s="75" t="s">
        <v>1508</v>
      </c>
      <c r="D1167" s="75" t="s">
        <v>866</v>
      </c>
      <c r="E1167" s="75" t="s">
        <v>2308</v>
      </c>
      <c r="F1167" s="75" t="s">
        <v>1509</v>
      </c>
      <c r="G1167" s="76">
        <v>45674</v>
      </c>
      <c r="H1167" s="75" t="s">
        <v>40</v>
      </c>
      <c r="I1167" s="75" t="s">
        <v>251</v>
      </c>
      <c r="J1167" s="75">
        <v>500</v>
      </c>
      <c r="K1167" s="75" t="str">
        <f t="shared" si="18"/>
        <v>01-2025</v>
      </c>
      <c r="L1167" s="10" t="s">
        <v>2599</v>
      </c>
    </row>
    <row r="1168" spans="1:12" hidden="1" x14ac:dyDescent="0.35">
      <c r="A1168" s="75">
        <v>7923</v>
      </c>
      <c r="B1168" s="75" t="s">
        <v>1847</v>
      </c>
      <c r="C1168" s="75" t="s">
        <v>1508</v>
      </c>
      <c r="D1168" s="75" t="s">
        <v>866</v>
      </c>
      <c r="E1168" s="75" t="s">
        <v>2309</v>
      </c>
      <c r="F1168" s="75" t="s">
        <v>1509</v>
      </c>
      <c r="G1168" s="76">
        <v>45674</v>
      </c>
      <c r="H1168" s="75" t="s">
        <v>73</v>
      </c>
      <c r="I1168" s="75" t="s">
        <v>10</v>
      </c>
      <c r="J1168" s="75">
        <v>500</v>
      </c>
      <c r="K1168" s="75" t="str">
        <f t="shared" si="18"/>
        <v>01-2025</v>
      </c>
      <c r="L1168" s="10" t="s">
        <v>2599</v>
      </c>
    </row>
    <row r="1169" spans="1:12" hidden="1" x14ac:dyDescent="0.35">
      <c r="A1169" s="75">
        <v>7737</v>
      </c>
      <c r="B1169" s="75" t="s">
        <v>176</v>
      </c>
      <c r="C1169" s="75" t="s">
        <v>1508</v>
      </c>
      <c r="D1169" s="75" t="s">
        <v>866</v>
      </c>
      <c r="E1169" s="75" t="s">
        <v>2310</v>
      </c>
      <c r="F1169" s="75" t="s">
        <v>1509</v>
      </c>
      <c r="G1169" s="76">
        <v>45674</v>
      </c>
      <c r="H1169" s="75" t="s">
        <v>21</v>
      </c>
      <c r="I1169" s="75" t="s">
        <v>32</v>
      </c>
      <c r="J1169" s="75">
        <v>500</v>
      </c>
      <c r="K1169" s="75" t="str">
        <f t="shared" si="18"/>
        <v>01-2025</v>
      </c>
      <c r="L1169" s="10" t="s">
        <v>2599</v>
      </c>
    </row>
    <row r="1170" spans="1:12" hidden="1" x14ac:dyDescent="0.35">
      <c r="A1170" s="75">
        <v>7495</v>
      </c>
      <c r="B1170" s="75" t="s">
        <v>284</v>
      </c>
      <c r="C1170" s="75" t="s">
        <v>1508</v>
      </c>
      <c r="D1170" s="75" t="s">
        <v>866</v>
      </c>
      <c r="E1170" s="75" t="s">
        <v>2311</v>
      </c>
      <c r="F1170" s="75" t="s">
        <v>1509</v>
      </c>
      <c r="G1170" s="76">
        <v>45674</v>
      </c>
      <c r="H1170" s="75" t="s">
        <v>35</v>
      </c>
      <c r="I1170" s="75" t="s">
        <v>54</v>
      </c>
      <c r="J1170" s="75">
        <v>500</v>
      </c>
      <c r="K1170" s="75" t="str">
        <f t="shared" si="18"/>
        <v>01-2025</v>
      </c>
      <c r="L1170" s="10" t="s">
        <v>2599</v>
      </c>
    </row>
    <row r="1171" spans="1:12" hidden="1" x14ac:dyDescent="0.35">
      <c r="A1171" s="75">
        <v>7411</v>
      </c>
      <c r="B1171" s="75" t="s">
        <v>1835</v>
      </c>
      <c r="C1171" s="75" t="s">
        <v>1508</v>
      </c>
      <c r="D1171" s="75" t="s">
        <v>866</v>
      </c>
      <c r="E1171" s="75" t="s">
        <v>2312</v>
      </c>
      <c r="F1171" s="75" t="s">
        <v>1509</v>
      </c>
      <c r="G1171" s="76">
        <v>45674</v>
      </c>
      <c r="H1171" s="75" t="s">
        <v>40</v>
      </c>
      <c r="I1171" s="75" t="s">
        <v>54</v>
      </c>
      <c r="J1171" s="75">
        <v>500</v>
      </c>
      <c r="K1171" s="75" t="str">
        <f t="shared" si="18"/>
        <v>01-2025</v>
      </c>
      <c r="L1171" s="10" t="s">
        <v>2599</v>
      </c>
    </row>
    <row r="1172" spans="1:12" hidden="1" x14ac:dyDescent="0.35">
      <c r="A1172" s="75">
        <v>4385</v>
      </c>
      <c r="B1172" s="75" t="s">
        <v>1839</v>
      </c>
      <c r="C1172" s="75" t="s">
        <v>1508</v>
      </c>
      <c r="D1172" s="75" t="s">
        <v>866</v>
      </c>
      <c r="E1172" s="75" t="s">
        <v>2313</v>
      </c>
      <c r="F1172" s="75" t="s">
        <v>1509</v>
      </c>
      <c r="G1172" s="76">
        <v>45674</v>
      </c>
      <c r="H1172" s="75" t="s">
        <v>40</v>
      </c>
      <c r="I1172" s="75" t="s">
        <v>32</v>
      </c>
      <c r="J1172" s="75">
        <v>500</v>
      </c>
      <c r="K1172" s="75" t="str">
        <f t="shared" si="18"/>
        <v>01-2025</v>
      </c>
      <c r="L1172" s="10" t="s">
        <v>2599</v>
      </c>
    </row>
    <row r="1173" spans="1:12" hidden="1" x14ac:dyDescent="0.35">
      <c r="A1173" s="75">
        <v>7436</v>
      </c>
      <c r="B1173" s="75" t="s">
        <v>1845</v>
      </c>
      <c r="C1173" s="75" t="s">
        <v>1508</v>
      </c>
      <c r="D1173" s="75" t="s">
        <v>866</v>
      </c>
      <c r="E1173" s="75" t="s">
        <v>2314</v>
      </c>
      <c r="F1173" s="75" t="s">
        <v>1509</v>
      </c>
      <c r="G1173" s="76">
        <v>45674</v>
      </c>
      <c r="H1173" s="75" t="s">
        <v>73</v>
      </c>
      <c r="I1173" s="75" t="e">
        <v>#N/A</v>
      </c>
      <c r="J1173" s="75">
        <v>500</v>
      </c>
      <c r="K1173" s="75" t="str">
        <f t="shared" si="18"/>
        <v>01-2025</v>
      </c>
      <c r="L1173" s="10" t="s">
        <v>2599</v>
      </c>
    </row>
    <row r="1174" spans="1:12" hidden="1" x14ac:dyDescent="0.35">
      <c r="A1174" s="75">
        <v>7401</v>
      </c>
      <c r="B1174" s="75" t="s">
        <v>1769</v>
      </c>
      <c r="C1174" s="75" t="s">
        <v>1508</v>
      </c>
      <c r="D1174" s="75" t="s">
        <v>866</v>
      </c>
      <c r="E1174" s="75" t="s">
        <v>2315</v>
      </c>
      <c r="F1174" s="75" t="s">
        <v>1509</v>
      </c>
      <c r="G1174" s="76">
        <v>45674</v>
      </c>
      <c r="H1174" s="75" t="s">
        <v>21</v>
      </c>
      <c r="I1174" s="75" t="s">
        <v>54</v>
      </c>
      <c r="J1174" s="75">
        <v>500</v>
      </c>
      <c r="K1174" s="75" t="str">
        <f t="shared" si="18"/>
        <v>01-2025</v>
      </c>
      <c r="L1174" s="10" t="s">
        <v>2599</v>
      </c>
    </row>
    <row r="1175" spans="1:12" hidden="1" x14ac:dyDescent="0.35">
      <c r="A1175" s="75">
        <v>1945</v>
      </c>
      <c r="B1175" s="75" t="s">
        <v>110</v>
      </c>
      <c r="C1175" s="75" t="s">
        <v>1508</v>
      </c>
      <c r="D1175" s="75" t="s">
        <v>866</v>
      </c>
      <c r="E1175" s="75" t="s">
        <v>2316</v>
      </c>
      <c r="F1175" s="75" t="s">
        <v>1509</v>
      </c>
      <c r="G1175" s="76">
        <v>45674</v>
      </c>
      <c r="H1175" s="75" t="s">
        <v>16</v>
      </c>
      <c r="I1175" s="75" t="s">
        <v>54</v>
      </c>
      <c r="J1175" s="75">
        <v>500</v>
      </c>
      <c r="K1175" s="75" t="str">
        <f t="shared" si="18"/>
        <v>01-2025</v>
      </c>
      <c r="L1175" s="10" t="s">
        <v>2599</v>
      </c>
    </row>
    <row r="1176" spans="1:12" hidden="1" x14ac:dyDescent="0.35">
      <c r="A1176" s="75">
        <v>7258</v>
      </c>
      <c r="B1176" s="75" t="s">
        <v>805</v>
      </c>
      <c r="C1176" s="75" t="s">
        <v>1508</v>
      </c>
      <c r="D1176" s="75" t="s">
        <v>866</v>
      </c>
      <c r="E1176" s="75" t="s">
        <v>2317</v>
      </c>
      <c r="F1176" s="75" t="s">
        <v>1509</v>
      </c>
      <c r="G1176" s="76">
        <v>45674</v>
      </c>
      <c r="H1176" s="75" t="s">
        <v>16</v>
      </c>
      <c r="I1176" s="75" t="s">
        <v>74</v>
      </c>
      <c r="J1176" s="75">
        <v>500</v>
      </c>
      <c r="K1176" s="75" t="str">
        <f t="shared" si="18"/>
        <v>01-2025</v>
      </c>
      <c r="L1176" s="10" t="s">
        <v>2599</v>
      </c>
    </row>
    <row r="1177" spans="1:12" hidden="1" x14ac:dyDescent="0.35">
      <c r="A1177" s="75">
        <v>3653</v>
      </c>
      <c r="B1177" s="75" t="s">
        <v>299</v>
      </c>
      <c r="C1177" s="75" t="s">
        <v>1508</v>
      </c>
      <c r="D1177" s="75" t="s">
        <v>866</v>
      </c>
      <c r="E1177" s="75" t="s">
        <v>2318</v>
      </c>
      <c r="F1177" s="75" t="s">
        <v>1509</v>
      </c>
      <c r="G1177" s="76">
        <v>45674</v>
      </c>
      <c r="H1177" s="75" t="s">
        <v>73</v>
      </c>
      <c r="I1177" s="75" t="s">
        <v>74</v>
      </c>
      <c r="J1177" s="75">
        <v>500</v>
      </c>
      <c r="K1177" s="75" t="str">
        <f t="shared" si="18"/>
        <v>01-2025</v>
      </c>
      <c r="L1177" s="10" t="s">
        <v>2599</v>
      </c>
    </row>
    <row r="1178" spans="1:12" hidden="1" x14ac:dyDescent="0.35">
      <c r="A1178" s="75">
        <v>7721</v>
      </c>
      <c r="B1178" s="75" t="s">
        <v>803</v>
      </c>
      <c r="C1178" s="75" t="s">
        <v>1508</v>
      </c>
      <c r="D1178" s="75" t="s">
        <v>866</v>
      </c>
      <c r="E1178" s="75" t="s">
        <v>2319</v>
      </c>
      <c r="F1178" s="75" t="s">
        <v>1509</v>
      </c>
      <c r="G1178" s="76">
        <v>45674</v>
      </c>
      <c r="H1178" s="75" t="s">
        <v>40</v>
      </c>
      <c r="I1178" s="75" t="s">
        <v>74</v>
      </c>
      <c r="J1178" s="75">
        <v>500</v>
      </c>
      <c r="K1178" s="75" t="str">
        <f t="shared" si="18"/>
        <v>01-2025</v>
      </c>
      <c r="L1178" s="10" t="s">
        <v>2599</v>
      </c>
    </row>
    <row r="1179" spans="1:12" hidden="1" x14ac:dyDescent="0.35">
      <c r="A1179" s="75">
        <v>7394</v>
      </c>
      <c r="B1179" s="75" t="s">
        <v>286</v>
      </c>
      <c r="C1179" s="75" t="s">
        <v>1508</v>
      </c>
      <c r="D1179" s="75" t="s">
        <v>866</v>
      </c>
      <c r="E1179" s="75" t="s">
        <v>2320</v>
      </c>
      <c r="F1179" s="75" t="s">
        <v>1509</v>
      </c>
      <c r="G1179" s="76">
        <v>45674</v>
      </c>
      <c r="H1179" s="75" t="s">
        <v>73</v>
      </c>
      <c r="I1179" s="75" t="s">
        <v>54</v>
      </c>
      <c r="J1179" s="75">
        <v>500</v>
      </c>
      <c r="K1179" s="75" t="str">
        <f t="shared" si="18"/>
        <v>01-2025</v>
      </c>
      <c r="L1179" s="10" t="s">
        <v>2599</v>
      </c>
    </row>
    <row r="1180" spans="1:12" hidden="1" x14ac:dyDescent="0.35">
      <c r="A1180" s="75">
        <v>7212</v>
      </c>
      <c r="B1180" s="75" t="s">
        <v>599</v>
      </c>
      <c r="C1180" s="75" t="s">
        <v>1508</v>
      </c>
      <c r="D1180" s="75" t="s">
        <v>866</v>
      </c>
      <c r="E1180" s="75" t="s">
        <v>2321</v>
      </c>
      <c r="F1180" s="75" t="s">
        <v>1509</v>
      </c>
      <c r="G1180" s="76">
        <v>45674</v>
      </c>
      <c r="H1180" s="75" t="s">
        <v>9</v>
      </c>
      <c r="I1180" s="75" t="s">
        <v>32</v>
      </c>
      <c r="J1180" s="75">
        <v>500</v>
      </c>
      <c r="K1180" s="75" t="str">
        <f t="shared" si="18"/>
        <v>01-2025</v>
      </c>
      <c r="L1180" s="10" t="s">
        <v>2599</v>
      </c>
    </row>
    <row r="1181" spans="1:12" hidden="1" x14ac:dyDescent="0.35">
      <c r="A1181" s="75">
        <v>5459</v>
      </c>
      <c r="B1181" s="75" t="s">
        <v>1744</v>
      </c>
      <c r="C1181" s="75" t="s">
        <v>1508</v>
      </c>
      <c r="D1181" s="75" t="s">
        <v>866</v>
      </c>
      <c r="E1181" s="75" t="s">
        <v>2322</v>
      </c>
      <c r="F1181" s="75" t="s">
        <v>1509</v>
      </c>
      <c r="G1181" s="76">
        <v>45674</v>
      </c>
      <c r="H1181" s="75" t="s">
        <v>73</v>
      </c>
      <c r="I1181" s="75" t="s">
        <v>32</v>
      </c>
      <c r="J1181" s="75">
        <v>500</v>
      </c>
      <c r="K1181" s="75" t="str">
        <f t="shared" si="18"/>
        <v>01-2025</v>
      </c>
      <c r="L1181" s="10" t="s">
        <v>2599</v>
      </c>
    </row>
    <row r="1182" spans="1:12" hidden="1" x14ac:dyDescent="0.35">
      <c r="A1182" s="75">
        <v>2799</v>
      </c>
      <c r="B1182" s="75" t="s">
        <v>823</v>
      </c>
      <c r="C1182" s="75" t="s">
        <v>1508</v>
      </c>
      <c r="D1182" s="75" t="s">
        <v>866</v>
      </c>
      <c r="E1182" s="75" t="s">
        <v>2323</v>
      </c>
      <c r="F1182" s="75" t="s">
        <v>1509</v>
      </c>
      <c r="G1182" s="76">
        <v>45674</v>
      </c>
      <c r="H1182" s="75" t="s">
        <v>73</v>
      </c>
      <c r="I1182" s="75" t="s">
        <v>54</v>
      </c>
      <c r="J1182" s="75">
        <v>500</v>
      </c>
      <c r="K1182" s="75" t="str">
        <f t="shared" si="18"/>
        <v>01-2025</v>
      </c>
      <c r="L1182" s="10" t="s">
        <v>2599</v>
      </c>
    </row>
    <row r="1183" spans="1:12" hidden="1" x14ac:dyDescent="0.35">
      <c r="A1183" s="75">
        <v>5679</v>
      </c>
      <c r="B1183" s="75" t="s">
        <v>812</v>
      </c>
      <c r="C1183" s="75" t="s">
        <v>1508</v>
      </c>
      <c r="D1183" s="75" t="s">
        <v>866</v>
      </c>
      <c r="E1183" s="75" t="s">
        <v>2563</v>
      </c>
      <c r="F1183" s="75" t="s">
        <v>1509</v>
      </c>
      <c r="G1183" s="76">
        <v>45674</v>
      </c>
      <c r="H1183" s="75" t="s">
        <v>53</v>
      </c>
      <c r="I1183" s="75" t="s">
        <v>54</v>
      </c>
      <c r="J1183" s="75">
        <v>500</v>
      </c>
      <c r="K1183" s="75" t="str">
        <f t="shared" si="18"/>
        <v>01-2025</v>
      </c>
      <c r="L1183" s="10" t="s">
        <v>2599</v>
      </c>
    </row>
    <row r="1184" spans="1:12" hidden="1" x14ac:dyDescent="0.35">
      <c r="A1184" s="75">
        <v>5897</v>
      </c>
      <c r="B1184" s="75" t="s">
        <v>298</v>
      </c>
      <c r="C1184" s="75" t="s">
        <v>1508</v>
      </c>
      <c r="D1184" s="75" t="s">
        <v>866</v>
      </c>
      <c r="E1184" s="75" t="s">
        <v>2324</v>
      </c>
      <c r="F1184" s="75" t="s">
        <v>1509</v>
      </c>
      <c r="G1184" s="76">
        <v>45674</v>
      </c>
      <c r="H1184" s="75" t="s">
        <v>16</v>
      </c>
      <c r="I1184" s="75" t="s">
        <v>74</v>
      </c>
      <c r="J1184" s="75">
        <v>500</v>
      </c>
      <c r="K1184" s="75" t="str">
        <f t="shared" si="18"/>
        <v>01-2025</v>
      </c>
      <c r="L1184" s="10" t="s">
        <v>2599</v>
      </c>
    </row>
    <row r="1185" spans="1:12" hidden="1" x14ac:dyDescent="0.35">
      <c r="A1185" s="75">
        <v>7855</v>
      </c>
      <c r="B1185" s="75" t="s">
        <v>1861</v>
      </c>
      <c r="C1185" s="75" t="s">
        <v>1508</v>
      </c>
      <c r="D1185" s="75" t="s">
        <v>866</v>
      </c>
      <c r="E1185" s="75" t="s">
        <v>2325</v>
      </c>
      <c r="F1185" s="75" t="s">
        <v>1509</v>
      </c>
      <c r="G1185" s="76">
        <v>45674</v>
      </c>
      <c r="H1185" s="75" t="s">
        <v>40</v>
      </c>
      <c r="I1185" s="75" t="s">
        <v>54</v>
      </c>
      <c r="J1185" s="75">
        <v>500</v>
      </c>
      <c r="K1185" s="75" t="str">
        <f t="shared" si="18"/>
        <v>01-2025</v>
      </c>
      <c r="L1185" s="10" t="s">
        <v>2599</v>
      </c>
    </row>
    <row r="1186" spans="1:12" hidden="1" x14ac:dyDescent="0.35">
      <c r="A1186" s="75">
        <v>6422</v>
      </c>
      <c r="B1186" s="75" t="s">
        <v>1840</v>
      </c>
      <c r="C1186" s="75" t="s">
        <v>1508</v>
      </c>
      <c r="D1186" s="75" t="s">
        <v>866</v>
      </c>
      <c r="E1186" s="75" t="s">
        <v>2326</v>
      </c>
      <c r="F1186" s="75" t="s">
        <v>1509</v>
      </c>
      <c r="G1186" s="76">
        <v>45674</v>
      </c>
      <c r="H1186" s="75" t="s">
        <v>40</v>
      </c>
      <c r="I1186" s="75" t="s">
        <v>54</v>
      </c>
      <c r="J1186" s="75">
        <v>500</v>
      </c>
      <c r="K1186" s="75" t="str">
        <f t="shared" si="18"/>
        <v>01-2025</v>
      </c>
      <c r="L1186" s="10" t="s">
        <v>2599</v>
      </c>
    </row>
    <row r="1187" spans="1:12" hidden="1" x14ac:dyDescent="0.35">
      <c r="A1187" s="75">
        <v>6541</v>
      </c>
      <c r="B1187" s="75" t="s">
        <v>439</v>
      </c>
      <c r="C1187" s="75" t="s">
        <v>1508</v>
      </c>
      <c r="D1187" s="75" t="s">
        <v>866</v>
      </c>
      <c r="E1187" s="75" t="s">
        <v>2327</v>
      </c>
      <c r="F1187" s="75" t="s">
        <v>1509</v>
      </c>
      <c r="G1187" s="76">
        <v>45674</v>
      </c>
      <c r="H1187" s="75" t="s">
        <v>53</v>
      </c>
      <c r="I1187" s="75" t="s">
        <v>74</v>
      </c>
      <c r="J1187" s="75">
        <v>500</v>
      </c>
      <c r="K1187" s="75" t="str">
        <f t="shared" si="18"/>
        <v>01-2025</v>
      </c>
      <c r="L1187" s="10" t="s">
        <v>2599</v>
      </c>
    </row>
    <row r="1188" spans="1:12" hidden="1" x14ac:dyDescent="0.35">
      <c r="A1188" s="75">
        <v>5710</v>
      </c>
      <c r="B1188" s="75" t="s">
        <v>889</v>
      </c>
      <c r="C1188" s="75" t="s">
        <v>1508</v>
      </c>
      <c r="D1188" s="75" t="s">
        <v>866</v>
      </c>
      <c r="E1188" s="75" t="s">
        <v>2328</v>
      </c>
      <c r="F1188" s="75" t="s">
        <v>1509</v>
      </c>
      <c r="G1188" s="76">
        <v>45674</v>
      </c>
      <c r="H1188" s="75" t="s">
        <v>73</v>
      </c>
      <c r="I1188" s="75" t="s">
        <v>32</v>
      </c>
      <c r="J1188" s="75">
        <v>500</v>
      </c>
      <c r="K1188" s="75" t="str">
        <f t="shared" si="18"/>
        <v>01-2025</v>
      </c>
      <c r="L1188" s="10" t="s">
        <v>2599</v>
      </c>
    </row>
    <row r="1189" spans="1:12" hidden="1" x14ac:dyDescent="0.35">
      <c r="A1189" s="75">
        <v>4416</v>
      </c>
      <c r="B1189" s="75" t="s">
        <v>269</v>
      </c>
      <c r="C1189" s="75">
        <v>7454</v>
      </c>
      <c r="D1189" s="75" t="s">
        <v>1863</v>
      </c>
      <c r="E1189" s="75" t="s">
        <v>1881</v>
      </c>
      <c r="F1189" s="75" t="s">
        <v>1510</v>
      </c>
      <c r="G1189" s="76">
        <v>45670</v>
      </c>
      <c r="H1189" s="75" t="s">
        <v>35</v>
      </c>
      <c r="I1189" s="75" t="s">
        <v>10</v>
      </c>
      <c r="J1189" s="75">
        <v>0</v>
      </c>
      <c r="K1189" s="75" t="str">
        <f t="shared" si="18"/>
        <v>01-2025</v>
      </c>
      <c r="L1189" s="10" t="s">
        <v>2599</v>
      </c>
    </row>
    <row r="1190" spans="1:12" hidden="1" x14ac:dyDescent="0.35">
      <c r="A1190" s="75">
        <v>5726</v>
      </c>
      <c r="B1190" s="75" t="s">
        <v>853</v>
      </c>
      <c r="C1190" s="75">
        <v>7247</v>
      </c>
      <c r="D1190" s="75" t="s">
        <v>752</v>
      </c>
      <c r="E1190" s="75" t="s">
        <v>1882</v>
      </c>
      <c r="F1190" s="75" t="s">
        <v>1510</v>
      </c>
      <c r="G1190" s="76">
        <v>45667</v>
      </c>
      <c r="H1190" s="75" t="s">
        <v>250</v>
      </c>
      <c r="I1190" s="75" t="s">
        <v>10</v>
      </c>
      <c r="J1190" s="75">
        <v>0</v>
      </c>
      <c r="K1190" s="75" t="str">
        <f t="shared" si="18"/>
        <v>01-2025</v>
      </c>
      <c r="L1190" s="10" t="s">
        <v>2599</v>
      </c>
    </row>
    <row r="1191" spans="1:12" hidden="1" x14ac:dyDescent="0.35">
      <c r="A1191" s="75">
        <v>6127</v>
      </c>
      <c r="B1191" s="75" t="s">
        <v>277</v>
      </c>
      <c r="C1191" s="75">
        <v>7247</v>
      </c>
      <c r="D1191" s="75" t="s">
        <v>752</v>
      </c>
      <c r="E1191" s="75" t="s">
        <v>1883</v>
      </c>
      <c r="F1191" s="75" t="s">
        <v>1510</v>
      </c>
      <c r="G1191" s="76">
        <v>45667</v>
      </c>
      <c r="H1191" s="75" t="s">
        <v>250</v>
      </c>
      <c r="I1191" s="75" t="s">
        <v>54</v>
      </c>
      <c r="J1191" s="75">
        <v>0</v>
      </c>
      <c r="K1191" s="75" t="str">
        <f t="shared" si="18"/>
        <v>01-2025</v>
      </c>
      <c r="L1191" s="10" t="s">
        <v>2599</v>
      </c>
    </row>
    <row r="1192" spans="1:12" hidden="1" x14ac:dyDescent="0.35">
      <c r="A1192" s="75">
        <v>7653</v>
      </c>
      <c r="B1192" s="75" t="s">
        <v>694</v>
      </c>
      <c r="C1192" s="75">
        <v>7517</v>
      </c>
      <c r="D1192" s="75" t="s">
        <v>108</v>
      </c>
      <c r="E1192" s="75" t="s">
        <v>1884</v>
      </c>
      <c r="F1192" s="75" t="s">
        <v>1510</v>
      </c>
      <c r="G1192" s="76">
        <v>45666</v>
      </c>
      <c r="H1192" s="75" t="s">
        <v>9</v>
      </c>
      <c r="I1192" s="75" t="s">
        <v>54</v>
      </c>
      <c r="J1192" s="75">
        <v>0</v>
      </c>
      <c r="K1192" s="75" t="str">
        <f t="shared" si="18"/>
        <v>01-2025</v>
      </c>
      <c r="L1192" s="10" t="s">
        <v>2599</v>
      </c>
    </row>
    <row r="1193" spans="1:12" hidden="1" x14ac:dyDescent="0.35">
      <c r="A1193" s="75">
        <v>7480</v>
      </c>
      <c r="B1193" s="75" t="s">
        <v>409</v>
      </c>
      <c r="C1193" s="75">
        <v>7056</v>
      </c>
      <c r="D1193" s="75" t="s">
        <v>413</v>
      </c>
      <c r="E1193" s="75" t="s">
        <v>1885</v>
      </c>
      <c r="F1193" s="75" t="s">
        <v>1510</v>
      </c>
      <c r="G1193" s="76">
        <v>45665</v>
      </c>
      <c r="H1193" s="75" t="s">
        <v>9</v>
      </c>
      <c r="I1193" s="75" t="s">
        <v>54</v>
      </c>
      <c r="J1193" s="75">
        <v>0</v>
      </c>
      <c r="K1193" s="75" t="str">
        <f t="shared" si="18"/>
        <v>01-2025</v>
      </c>
      <c r="L1193" s="10" t="s">
        <v>2599</v>
      </c>
    </row>
    <row r="1194" spans="1:12" hidden="1" x14ac:dyDescent="0.35">
      <c r="A1194" s="75">
        <v>2859</v>
      </c>
      <c r="B1194" s="75" t="s">
        <v>1828</v>
      </c>
      <c r="C1194" s="75">
        <v>7286</v>
      </c>
      <c r="D1194" s="75" t="s">
        <v>414</v>
      </c>
      <c r="E1194" s="75" t="s">
        <v>1886</v>
      </c>
      <c r="F1194" s="75" t="s">
        <v>1510</v>
      </c>
      <c r="G1194" s="76">
        <v>45665</v>
      </c>
      <c r="H1194" s="75" t="s">
        <v>9</v>
      </c>
      <c r="I1194" s="75" t="s">
        <v>32</v>
      </c>
      <c r="J1194" s="75">
        <v>0</v>
      </c>
      <c r="K1194" s="75" t="str">
        <f t="shared" si="18"/>
        <v>01-2025</v>
      </c>
      <c r="L1194" s="10" t="s">
        <v>2599</v>
      </c>
    </row>
    <row r="1195" spans="1:12" hidden="1" x14ac:dyDescent="0.35">
      <c r="A1195" s="75">
        <v>6611</v>
      </c>
      <c r="B1195" s="75" t="s">
        <v>1829</v>
      </c>
      <c r="C1195" s="75">
        <v>2775</v>
      </c>
      <c r="D1195" s="75" t="s">
        <v>1528</v>
      </c>
      <c r="E1195" s="75" t="s">
        <v>1887</v>
      </c>
      <c r="F1195" s="75" t="s">
        <v>1510</v>
      </c>
      <c r="G1195" s="76">
        <v>45659</v>
      </c>
      <c r="H1195" s="75" t="s">
        <v>35</v>
      </c>
      <c r="I1195" s="75" t="e">
        <v>#N/A</v>
      </c>
      <c r="J1195" s="75">
        <v>0</v>
      </c>
      <c r="K1195" s="75" t="str">
        <f t="shared" si="18"/>
        <v>01-2025</v>
      </c>
      <c r="L1195" s="10" t="s">
        <v>2599</v>
      </c>
    </row>
  </sheetData>
  <autoFilter ref="A1:L1195" xr:uid="{6AD27ACC-1E38-4602-96AB-DECF0B8A04ED}">
    <filterColumn colId="6">
      <filters>
        <dateGroupItem year="2024" month="2" dateTimeGrouping="month"/>
        <dateGroupItem year="2024" month="3" dateTimeGrouping="month"/>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46A2-8844-4B5B-9260-F84760BB0967}">
  <dimension ref="A1:J32"/>
  <sheetViews>
    <sheetView workbookViewId="0">
      <pane ySplit="1" topLeftCell="A8" activePane="bottomLeft" state="frozen"/>
      <selection pane="bottomLeft" activeCell="F1" sqref="F1"/>
    </sheetView>
  </sheetViews>
  <sheetFormatPr defaultRowHeight="14.5" x14ac:dyDescent="0.35"/>
  <cols>
    <col min="1" max="1" width="13.81640625" style="7" customWidth="1"/>
    <col min="2" max="2" width="16.81640625" style="7" bestFit="1" customWidth="1"/>
    <col min="3" max="4" width="8.7265625" style="7"/>
    <col min="5" max="5" width="10.453125" style="7" customWidth="1"/>
    <col min="6" max="6" width="8.7265625" style="7"/>
    <col min="7" max="7" width="10.26953125" style="7" bestFit="1" customWidth="1"/>
    <col min="8" max="8" width="14.54296875" style="7" customWidth="1"/>
    <col min="9" max="9" width="18" style="7" bestFit="1" customWidth="1"/>
    <col min="10" max="16384" width="8.7265625" style="7"/>
  </cols>
  <sheetData>
    <row r="1" spans="1:10" x14ac:dyDescent="0.35">
      <c r="A1" s="2" t="s">
        <v>337</v>
      </c>
      <c r="B1" s="2" t="s">
        <v>338</v>
      </c>
      <c r="C1" s="2" t="s">
        <v>357</v>
      </c>
      <c r="D1" s="2" t="s">
        <v>358</v>
      </c>
      <c r="E1" s="2" t="s">
        <v>77</v>
      </c>
      <c r="F1" s="2" t="s">
        <v>106</v>
      </c>
      <c r="G1" s="2" t="s">
        <v>392</v>
      </c>
      <c r="H1" s="2" t="s">
        <v>394</v>
      </c>
      <c r="I1" s="2" t="s">
        <v>4</v>
      </c>
      <c r="J1" s="2" t="s">
        <v>5</v>
      </c>
    </row>
    <row r="2" spans="1:10" s="8" customFormat="1" ht="12" x14ac:dyDescent="0.3">
      <c r="A2" s="8">
        <v>7742</v>
      </c>
      <c r="B2" s="8" t="s">
        <v>339</v>
      </c>
      <c r="C2" s="8">
        <v>7690</v>
      </c>
      <c r="D2" s="8" t="s">
        <v>359</v>
      </c>
      <c r="E2" s="8" t="s">
        <v>373</v>
      </c>
      <c r="F2" s="8" t="s">
        <v>396</v>
      </c>
      <c r="G2" s="8" t="s">
        <v>393</v>
      </c>
      <c r="H2" s="9">
        <v>45572</v>
      </c>
      <c r="I2" s="8" t="s">
        <v>21</v>
      </c>
      <c r="J2" s="8" t="s">
        <v>10</v>
      </c>
    </row>
    <row r="3" spans="1:10" s="8" customFormat="1" ht="12" x14ac:dyDescent="0.3">
      <c r="A3" s="8">
        <v>7868</v>
      </c>
      <c r="B3" s="8" t="s">
        <v>340</v>
      </c>
      <c r="C3" s="8">
        <v>7224</v>
      </c>
      <c r="D3" s="8" t="s">
        <v>360</v>
      </c>
      <c r="E3" s="8" t="s">
        <v>374</v>
      </c>
      <c r="F3" s="8" t="s">
        <v>396</v>
      </c>
      <c r="G3" s="8" t="s">
        <v>393</v>
      </c>
      <c r="H3" s="9">
        <v>45572</v>
      </c>
      <c r="I3" s="8" t="s">
        <v>21</v>
      </c>
      <c r="J3" s="8" t="s">
        <v>10</v>
      </c>
    </row>
    <row r="4" spans="1:10" s="8" customFormat="1" ht="12" x14ac:dyDescent="0.3">
      <c r="A4" s="8">
        <v>7750</v>
      </c>
      <c r="B4" s="8" t="s">
        <v>341</v>
      </c>
      <c r="C4" s="8">
        <v>7035</v>
      </c>
      <c r="D4" s="8" t="s">
        <v>361</v>
      </c>
      <c r="E4" s="8" t="s">
        <v>375</v>
      </c>
      <c r="F4" s="8" t="s">
        <v>396</v>
      </c>
      <c r="G4" s="8" t="s">
        <v>393</v>
      </c>
      <c r="H4" s="9">
        <v>45569</v>
      </c>
      <c r="I4" s="8" t="s">
        <v>35</v>
      </c>
      <c r="J4" s="8" t="s">
        <v>32</v>
      </c>
    </row>
    <row r="5" spans="1:10" s="8" customFormat="1" ht="12" x14ac:dyDescent="0.3">
      <c r="A5" s="8">
        <v>7748</v>
      </c>
      <c r="B5" s="8" t="s">
        <v>342</v>
      </c>
      <c r="C5" s="8">
        <v>7024</v>
      </c>
      <c r="D5" s="8" t="s">
        <v>362</v>
      </c>
      <c r="E5" s="8" t="s">
        <v>376</v>
      </c>
      <c r="F5" s="8" t="s">
        <v>396</v>
      </c>
      <c r="G5" s="8" t="s">
        <v>393</v>
      </c>
      <c r="H5" s="9">
        <v>45569</v>
      </c>
      <c r="I5" s="8" t="s">
        <v>9</v>
      </c>
      <c r="J5" s="8" t="s">
        <v>10</v>
      </c>
    </row>
    <row r="6" spans="1:10" s="8" customFormat="1" ht="12" x14ac:dyDescent="0.3">
      <c r="A6" s="8">
        <v>7751</v>
      </c>
      <c r="B6" s="8" t="s">
        <v>343</v>
      </c>
      <c r="C6" s="8">
        <v>5517</v>
      </c>
      <c r="D6" s="8" t="s">
        <v>363</v>
      </c>
      <c r="E6" s="8" t="s">
        <v>377</v>
      </c>
      <c r="F6" s="8" t="s">
        <v>396</v>
      </c>
      <c r="G6" s="8" t="s">
        <v>393</v>
      </c>
      <c r="H6" s="9">
        <v>45569</v>
      </c>
      <c r="I6" s="8" t="s">
        <v>9</v>
      </c>
      <c r="J6" s="8" t="s">
        <v>10</v>
      </c>
    </row>
    <row r="7" spans="1:10" s="8" customFormat="1" ht="12" x14ac:dyDescent="0.3">
      <c r="A7" s="8">
        <v>7739</v>
      </c>
      <c r="B7" s="8" t="s">
        <v>344</v>
      </c>
      <c r="C7" s="8">
        <v>4926</v>
      </c>
      <c r="D7" s="8" t="s">
        <v>364</v>
      </c>
      <c r="E7" s="8" t="s">
        <v>378</v>
      </c>
      <c r="F7" s="8" t="s">
        <v>396</v>
      </c>
      <c r="G7" s="8" t="s">
        <v>393</v>
      </c>
      <c r="H7" s="9">
        <v>45568</v>
      </c>
      <c r="I7" s="8" t="s">
        <v>9</v>
      </c>
      <c r="J7" s="8" t="s">
        <v>10</v>
      </c>
    </row>
    <row r="8" spans="1:10" s="8" customFormat="1" ht="12" x14ac:dyDescent="0.3">
      <c r="A8" s="8">
        <v>7841</v>
      </c>
      <c r="B8" s="8" t="s">
        <v>345</v>
      </c>
      <c r="C8" s="8">
        <v>4735</v>
      </c>
      <c r="D8" s="8" t="s">
        <v>365</v>
      </c>
      <c r="E8" s="8" t="s">
        <v>379</v>
      </c>
      <c r="F8" s="8" t="s">
        <v>198</v>
      </c>
      <c r="G8" s="8" t="s">
        <v>393</v>
      </c>
      <c r="H8" s="9">
        <v>45514</v>
      </c>
      <c r="I8" s="8" t="s">
        <v>40</v>
      </c>
      <c r="J8" s="8" t="s">
        <v>74</v>
      </c>
    </row>
    <row r="9" spans="1:10" s="8" customFormat="1" ht="12" x14ac:dyDescent="0.3">
      <c r="A9" s="8">
        <v>7747</v>
      </c>
      <c r="B9" s="8" t="s">
        <v>346</v>
      </c>
      <c r="C9" s="8">
        <v>7580</v>
      </c>
      <c r="D9" s="8" t="s">
        <v>366</v>
      </c>
      <c r="E9" s="8" t="s">
        <v>380</v>
      </c>
      <c r="F9" s="8" t="s">
        <v>198</v>
      </c>
      <c r="G9" s="8" t="s">
        <v>393</v>
      </c>
      <c r="H9" s="9">
        <v>45513</v>
      </c>
      <c r="I9" s="8" t="s">
        <v>249</v>
      </c>
      <c r="J9" s="8" t="s">
        <v>10</v>
      </c>
    </row>
    <row r="10" spans="1:10" s="8" customFormat="1" ht="12" x14ac:dyDescent="0.3">
      <c r="A10" s="8">
        <v>7834</v>
      </c>
      <c r="B10" s="8" t="s">
        <v>347</v>
      </c>
      <c r="C10" s="8">
        <v>2477</v>
      </c>
      <c r="D10" s="8" t="s">
        <v>367</v>
      </c>
      <c r="E10" s="8" t="s">
        <v>381</v>
      </c>
      <c r="F10" s="8" t="s">
        <v>198</v>
      </c>
      <c r="G10" s="8" t="s">
        <v>393</v>
      </c>
      <c r="H10" s="9">
        <v>45513</v>
      </c>
      <c r="I10" s="8" t="s">
        <v>9</v>
      </c>
      <c r="J10" s="8" t="s">
        <v>54</v>
      </c>
    </row>
    <row r="11" spans="1:10" s="8" customFormat="1" ht="12" x14ac:dyDescent="0.3">
      <c r="A11" s="8">
        <v>7737</v>
      </c>
      <c r="B11" s="8" t="s">
        <v>176</v>
      </c>
      <c r="C11" s="8">
        <v>7224</v>
      </c>
      <c r="D11" s="8" t="s">
        <v>360</v>
      </c>
      <c r="E11" s="8" t="s">
        <v>382</v>
      </c>
      <c r="F11" s="8" t="s">
        <v>198</v>
      </c>
      <c r="G11" s="8" t="s">
        <v>393</v>
      </c>
      <c r="H11" s="9">
        <v>45513</v>
      </c>
      <c r="I11" s="8" t="s">
        <v>21</v>
      </c>
      <c r="J11" s="8" t="s">
        <v>10</v>
      </c>
    </row>
    <row r="12" spans="1:10" s="8" customFormat="1" ht="12" x14ac:dyDescent="0.3">
      <c r="A12" s="8">
        <v>7837</v>
      </c>
      <c r="B12" s="8" t="s">
        <v>348</v>
      </c>
      <c r="C12" s="8">
        <v>1908</v>
      </c>
      <c r="D12" s="8" t="s">
        <v>368</v>
      </c>
      <c r="E12" s="8" t="s">
        <v>383</v>
      </c>
      <c r="F12" s="8" t="s">
        <v>198</v>
      </c>
      <c r="G12" s="8" t="s">
        <v>393</v>
      </c>
      <c r="H12" s="9">
        <v>45512</v>
      </c>
      <c r="I12" s="8" t="s">
        <v>35</v>
      </c>
      <c r="J12" s="8" t="s">
        <v>32</v>
      </c>
    </row>
    <row r="13" spans="1:10" s="8" customFormat="1" ht="12" x14ac:dyDescent="0.3">
      <c r="A13" s="8">
        <v>7827</v>
      </c>
      <c r="B13" s="8" t="s">
        <v>349</v>
      </c>
      <c r="C13" s="8">
        <v>4763</v>
      </c>
      <c r="D13" s="8" t="s">
        <v>369</v>
      </c>
      <c r="E13" s="8" t="s">
        <v>384</v>
      </c>
      <c r="F13" s="8" t="s">
        <v>198</v>
      </c>
      <c r="G13" s="8" t="s">
        <v>393</v>
      </c>
      <c r="H13" s="9">
        <v>45511</v>
      </c>
      <c r="I13" s="8" t="s">
        <v>395</v>
      </c>
      <c r="J13" s="8" t="s">
        <v>10</v>
      </c>
    </row>
    <row r="14" spans="1:10" s="8" customFormat="1" ht="12" x14ac:dyDescent="0.3">
      <c r="A14" s="8">
        <v>7729</v>
      </c>
      <c r="B14" s="8" t="s">
        <v>350</v>
      </c>
      <c r="C14" s="8">
        <v>2815</v>
      </c>
      <c r="D14" s="8" t="s">
        <v>123</v>
      </c>
      <c r="E14" s="8" t="s">
        <v>385</v>
      </c>
      <c r="F14" s="8" t="s">
        <v>198</v>
      </c>
      <c r="G14" s="8" t="s">
        <v>393</v>
      </c>
      <c r="H14" s="9">
        <v>45506</v>
      </c>
      <c r="I14" s="8" t="s">
        <v>73</v>
      </c>
      <c r="J14" s="8" t="s">
        <v>74</v>
      </c>
    </row>
    <row r="15" spans="1:10" s="8" customFormat="1" ht="12" x14ac:dyDescent="0.3">
      <c r="A15" s="8">
        <v>7823</v>
      </c>
      <c r="B15" s="8" t="s">
        <v>351</v>
      </c>
      <c r="C15" s="8">
        <v>6481</v>
      </c>
      <c r="D15" s="8" t="s">
        <v>126</v>
      </c>
      <c r="E15" s="8" t="s">
        <v>386</v>
      </c>
      <c r="F15" s="8" t="s">
        <v>198</v>
      </c>
      <c r="G15" s="8" t="s">
        <v>393</v>
      </c>
      <c r="H15" s="9">
        <v>45491</v>
      </c>
      <c r="I15" s="8" t="s">
        <v>21</v>
      </c>
      <c r="J15" s="8" t="s">
        <v>10</v>
      </c>
    </row>
    <row r="16" spans="1:10" s="8" customFormat="1" ht="12" x14ac:dyDescent="0.3">
      <c r="A16" s="8">
        <v>7836</v>
      </c>
      <c r="B16" s="8" t="s">
        <v>352</v>
      </c>
      <c r="C16" s="8">
        <v>3472</v>
      </c>
      <c r="D16" s="8" t="s">
        <v>370</v>
      </c>
      <c r="E16" s="8" t="s">
        <v>387</v>
      </c>
      <c r="F16" s="8" t="s">
        <v>198</v>
      </c>
      <c r="G16" s="8" t="s">
        <v>393</v>
      </c>
      <c r="H16" s="9">
        <v>45483</v>
      </c>
      <c r="I16" s="8" t="s">
        <v>35</v>
      </c>
      <c r="J16" s="8" t="s">
        <v>32</v>
      </c>
    </row>
    <row r="17" spans="1:10" s="8" customFormat="1" ht="12" x14ac:dyDescent="0.3">
      <c r="A17" s="8">
        <v>7794</v>
      </c>
      <c r="B17" s="8" t="s">
        <v>354</v>
      </c>
      <c r="C17" s="8">
        <v>6638</v>
      </c>
      <c r="D17" s="8" t="s">
        <v>371</v>
      </c>
      <c r="E17" s="8" t="s">
        <v>388</v>
      </c>
      <c r="F17" s="8" t="s">
        <v>107</v>
      </c>
      <c r="G17" s="8" t="s">
        <v>393</v>
      </c>
      <c r="H17" s="9">
        <v>45383</v>
      </c>
      <c r="I17" s="8" t="s">
        <v>9</v>
      </c>
      <c r="J17" s="8" t="s">
        <v>10</v>
      </c>
    </row>
    <row r="18" spans="1:10" s="8" customFormat="1" ht="12" x14ac:dyDescent="0.3">
      <c r="A18" s="8">
        <v>7811</v>
      </c>
      <c r="B18" s="8" t="s">
        <v>355</v>
      </c>
      <c r="C18" s="8">
        <v>6481</v>
      </c>
      <c r="D18" s="8" t="s">
        <v>126</v>
      </c>
      <c r="E18" s="8" t="s">
        <v>389</v>
      </c>
      <c r="F18" s="8" t="s">
        <v>107</v>
      </c>
      <c r="G18" s="8" t="s">
        <v>393</v>
      </c>
      <c r="H18" s="9">
        <v>45377</v>
      </c>
      <c r="I18" s="8" t="s">
        <v>21</v>
      </c>
      <c r="J18" s="8" t="s">
        <v>10</v>
      </c>
    </row>
    <row r="19" spans="1:10" s="8" customFormat="1" ht="12" x14ac:dyDescent="0.3">
      <c r="A19" s="8">
        <v>7808</v>
      </c>
      <c r="B19" s="8" t="s">
        <v>177</v>
      </c>
      <c r="C19" s="8">
        <v>6481</v>
      </c>
      <c r="D19" s="8" t="s">
        <v>126</v>
      </c>
      <c r="E19" s="8" t="s">
        <v>390</v>
      </c>
      <c r="F19" s="8" t="s">
        <v>107</v>
      </c>
      <c r="G19" s="8" t="s">
        <v>393</v>
      </c>
      <c r="H19" s="9">
        <v>45377</v>
      </c>
      <c r="I19" s="8" t="s">
        <v>21</v>
      </c>
      <c r="J19" s="8" t="s">
        <v>10</v>
      </c>
    </row>
    <row r="20" spans="1:10" s="8" customFormat="1" ht="12" x14ac:dyDescent="0.3">
      <c r="A20" s="8">
        <v>7800</v>
      </c>
      <c r="B20" s="8" t="s">
        <v>356</v>
      </c>
      <c r="C20" s="8">
        <v>7408</v>
      </c>
      <c r="D20" s="8" t="s">
        <v>372</v>
      </c>
      <c r="E20" s="8" t="s">
        <v>391</v>
      </c>
      <c r="F20" s="8" t="s">
        <v>107</v>
      </c>
      <c r="G20" s="8" t="s">
        <v>393</v>
      </c>
      <c r="H20" s="9">
        <v>45373</v>
      </c>
      <c r="I20" s="8" t="s">
        <v>13</v>
      </c>
      <c r="J20" s="8" t="s">
        <v>10</v>
      </c>
    </row>
    <row r="21" spans="1:10" x14ac:dyDescent="0.35">
      <c r="A21" s="8">
        <v>7924</v>
      </c>
      <c r="B21" s="8" t="s">
        <v>1820</v>
      </c>
      <c r="C21" s="8">
        <v>2815</v>
      </c>
      <c r="D21" s="8" t="s">
        <v>123</v>
      </c>
      <c r="E21" s="8" t="s">
        <v>1824</v>
      </c>
      <c r="F21" s="36" t="s">
        <v>1727</v>
      </c>
      <c r="G21" s="8" t="s">
        <v>393</v>
      </c>
      <c r="H21" s="9">
        <v>45652</v>
      </c>
      <c r="I21" s="8" t="s">
        <v>73</v>
      </c>
      <c r="J21" s="8" t="s">
        <v>74</v>
      </c>
    </row>
    <row r="22" spans="1:10" x14ac:dyDescent="0.35">
      <c r="A22" s="8">
        <v>7949</v>
      </c>
      <c r="B22" s="8" t="s">
        <v>1821</v>
      </c>
      <c r="C22" s="8">
        <v>5546</v>
      </c>
      <c r="D22" s="8" t="s">
        <v>466</v>
      </c>
      <c r="E22" s="8" t="s">
        <v>1825</v>
      </c>
      <c r="F22" s="36" t="s">
        <v>1727</v>
      </c>
      <c r="G22" s="8" t="s">
        <v>393</v>
      </c>
      <c r="H22" s="9">
        <v>45652</v>
      </c>
      <c r="I22" s="8" t="s">
        <v>35</v>
      </c>
      <c r="J22" s="8" t="s">
        <v>32</v>
      </c>
    </row>
    <row r="23" spans="1:10" x14ac:dyDescent="0.35">
      <c r="A23" s="8">
        <v>7930</v>
      </c>
      <c r="B23" s="8" t="s">
        <v>1822</v>
      </c>
      <c r="C23" s="8">
        <v>7136</v>
      </c>
      <c r="D23" s="8" t="s">
        <v>1823</v>
      </c>
      <c r="E23" s="8" t="s">
        <v>1826</v>
      </c>
      <c r="F23" s="36" t="s">
        <v>1727</v>
      </c>
      <c r="G23" s="8" t="s">
        <v>393</v>
      </c>
      <c r="H23" s="9">
        <v>45649</v>
      </c>
      <c r="I23" s="8" t="s">
        <v>73</v>
      </c>
      <c r="J23" s="8" t="s">
        <v>32</v>
      </c>
    </row>
    <row r="24" spans="1:10" x14ac:dyDescent="0.35">
      <c r="A24" s="8">
        <v>7915</v>
      </c>
      <c r="B24" s="8" t="s">
        <v>873</v>
      </c>
      <c r="C24" s="8">
        <v>7290</v>
      </c>
      <c r="D24" s="8" t="s">
        <v>711</v>
      </c>
      <c r="E24" s="8" t="s">
        <v>1827</v>
      </c>
      <c r="F24" s="36" t="s">
        <v>1727</v>
      </c>
      <c r="G24" s="8" t="s">
        <v>393</v>
      </c>
      <c r="H24" s="9">
        <v>45643</v>
      </c>
      <c r="I24" s="8" t="s">
        <v>9</v>
      </c>
      <c r="J24" s="8" t="s">
        <v>10</v>
      </c>
    </row>
    <row r="25" spans="1:10" x14ac:dyDescent="0.35">
      <c r="A25" s="8">
        <v>7943</v>
      </c>
      <c r="B25" s="8" t="s">
        <v>2076</v>
      </c>
      <c r="C25" s="8">
        <v>5517</v>
      </c>
      <c r="D25" s="8" t="s">
        <v>363</v>
      </c>
      <c r="E25" s="8" t="s">
        <v>2080</v>
      </c>
      <c r="F25" s="8" t="s">
        <v>2085</v>
      </c>
      <c r="G25" s="8" t="s">
        <v>393</v>
      </c>
      <c r="H25" s="9">
        <v>45755</v>
      </c>
      <c r="I25" s="8" t="s">
        <v>9</v>
      </c>
      <c r="J25" s="8" t="s">
        <v>10</v>
      </c>
    </row>
    <row r="26" spans="1:10" x14ac:dyDescent="0.35">
      <c r="A26" s="8">
        <v>7961</v>
      </c>
      <c r="B26" s="8" t="s">
        <v>2077</v>
      </c>
      <c r="C26" s="8">
        <v>6435</v>
      </c>
      <c r="D26" s="8" t="s">
        <v>471</v>
      </c>
      <c r="E26" s="8" t="s">
        <v>2081</v>
      </c>
      <c r="F26" s="8" t="s">
        <v>2085</v>
      </c>
      <c r="G26" s="8" t="s">
        <v>393</v>
      </c>
      <c r="H26" s="9">
        <v>45755</v>
      </c>
      <c r="I26" s="8" t="s">
        <v>9</v>
      </c>
      <c r="J26" s="8" t="s">
        <v>54</v>
      </c>
    </row>
    <row r="27" spans="1:10" x14ac:dyDescent="0.35">
      <c r="A27" s="8">
        <v>7969</v>
      </c>
      <c r="B27" s="8" t="s">
        <v>2042</v>
      </c>
      <c r="C27" s="8">
        <v>7024</v>
      </c>
      <c r="D27" s="8" t="s">
        <v>362</v>
      </c>
      <c r="E27" s="8" t="s">
        <v>2082</v>
      </c>
      <c r="F27" s="8" t="s">
        <v>2085</v>
      </c>
      <c r="G27" s="8" t="s">
        <v>393</v>
      </c>
      <c r="H27" s="9">
        <v>45751</v>
      </c>
      <c r="I27" s="8" t="s">
        <v>9</v>
      </c>
      <c r="J27" s="8" t="s">
        <v>10</v>
      </c>
    </row>
    <row r="28" spans="1:10" x14ac:dyDescent="0.35">
      <c r="A28" s="8">
        <v>7965</v>
      </c>
      <c r="B28" s="8" t="s">
        <v>2078</v>
      </c>
      <c r="C28" s="8">
        <v>7884</v>
      </c>
      <c r="D28" s="8" t="s">
        <v>1795</v>
      </c>
      <c r="E28" s="8" t="s">
        <v>2083</v>
      </c>
      <c r="F28" s="8" t="s">
        <v>2085</v>
      </c>
      <c r="G28" s="8" t="s">
        <v>393</v>
      </c>
      <c r="H28" s="9">
        <v>45751</v>
      </c>
      <c r="I28" s="8" t="s">
        <v>9</v>
      </c>
      <c r="J28" s="8" t="s">
        <v>10</v>
      </c>
    </row>
    <row r="29" spans="1:10" x14ac:dyDescent="0.35">
      <c r="A29" s="8">
        <v>7972</v>
      </c>
      <c r="B29" s="8" t="s">
        <v>2079</v>
      </c>
      <c r="C29" s="8">
        <v>2353</v>
      </c>
      <c r="D29" s="8" t="s">
        <v>872</v>
      </c>
      <c r="E29" s="8" t="s">
        <v>2084</v>
      </c>
      <c r="F29" s="8" t="s">
        <v>2085</v>
      </c>
      <c r="G29" s="8" t="s">
        <v>393</v>
      </c>
      <c r="H29" s="9">
        <v>45743</v>
      </c>
      <c r="I29" s="8" t="s">
        <v>35</v>
      </c>
      <c r="J29" s="8" t="s">
        <v>32</v>
      </c>
    </row>
    <row r="30" spans="1:10" x14ac:dyDescent="0.35">
      <c r="A30" s="8">
        <v>7999</v>
      </c>
      <c r="B30" s="8" t="s">
        <v>2522</v>
      </c>
      <c r="C30" s="8">
        <v>5780</v>
      </c>
      <c r="D30" s="8" t="s">
        <v>483</v>
      </c>
      <c r="E30" s="8" t="s">
        <v>2525</v>
      </c>
      <c r="F30" s="8" t="s">
        <v>2497</v>
      </c>
      <c r="G30" s="8" t="s">
        <v>393</v>
      </c>
      <c r="H30" s="9">
        <v>45846</v>
      </c>
      <c r="I30" s="8" t="s">
        <v>9</v>
      </c>
      <c r="J30" s="8" t="s">
        <v>10</v>
      </c>
    </row>
    <row r="31" spans="1:10" x14ac:dyDescent="0.35">
      <c r="A31" s="8">
        <v>7995</v>
      </c>
      <c r="B31" s="8" t="s">
        <v>2523</v>
      </c>
      <c r="C31" s="8">
        <v>6068</v>
      </c>
      <c r="D31" s="8" t="s">
        <v>594</v>
      </c>
      <c r="E31" s="8" t="s">
        <v>2526</v>
      </c>
      <c r="F31" s="8" t="s">
        <v>2497</v>
      </c>
      <c r="G31" s="8" t="s">
        <v>393</v>
      </c>
      <c r="H31" s="9">
        <v>45835</v>
      </c>
      <c r="I31" s="8" t="s">
        <v>9</v>
      </c>
      <c r="J31" s="8" t="s">
        <v>10</v>
      </c>
    </row>
    <row r="32" spans="1:10" x14ac:dyDescent="0.35">
      <c r="A32" s="8">
        <v>7996</v>
      </c>
      <c r="B32" s="8" t="s">
        <v>2524</v>
      </c>
      <c r="C32" s="8">
        <v>7884</v>
      </c>
      <c r="D32" s="8" t="s">
        <v>1795</v>
      </c>
      <c r="E32" s="8" t="s">
        <v>2527</v>
      </c>
      <c r="F32" s="8" t="s">
        <v>2497</v>
      </c>
      <c r="G32" s="8" t="s">
        <v>393</v>
      </c>
      <c r="H32" s="9">
        <v>45835</v>
      </c>
      <c r="I32" s="8" t="s">
        <v>9</v>
      </c>
      <c r="J32" s="8" t="s">
        <v>10</v>
      </c>
    </row>
  </sheetData>
  <autoFilter ref="A1:J32" xr:uid="{D0B346A2-8844-4B5B-9260-F84760BB0967}"/>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731E-0446-4E5C-B9DD-E4D2373D5BD3}">
  <dimension ref="A1:AL158"/>
  <sheetViews>
    <sheetView workbookViewId="0">
      <pane ySplit="1" topLeftCell="A48" activePane="bottomLeft" state="frozen"/>
      <selection pane="bottomLeft" activeCell="F48" sqref="F48"/>
    </sheetView>
  </sheetViews>
  <sheetFormatPr defaultRowHeight="14.5" x14ac:dyDescent="0.35"/>
  <cols>
    <col min="2" max="2" width="15.90625" bestFit="1" customWidth="1"/>
    <col min="3" max="3" width="16.81640625" bestFit="1" customWidth="1"/>
    <col min="7" max="7" width="13.6328125" bestFit="1" customWidth="1"/>
    <col min="8" max="8" width="14.54296875" bestFit="1" customWidth="1"/>
    <col min="9" max="9" width="16.54296875" bestFit="1" customWidth="1"/>
    <col min="10" max="10" width="8.1796875" bestFit="1" customWidth="1"/>
    <col min="11" max="38" width="8.7265625" style="12"/>
  </cols>
  <sheetData>
    <row r="1" spans="1:38" x14ac:dyDescent="0.35">
      <c r="A1" s="61" t="s">
        <v>337</v>
      </c>
      <c r="B1" s="61" t="s">
        <v>338</v>
      </c>
      <c r="C1" s="61" t="s">
        <v>357</v>
      </c>
      <c r="D1" s="61" t="s">
        <v>358</v>
      </c>
      <c r="E1" s="61" t="s">
        <v>77</v>
      </c>
      <c r="F1" s="61" t="s">
        <v>106</v>
      </c>
      <c r="G1" s="61" t="s">
        <v>392</v>
      </c>
      <c r="H1" s="61" t="s">
        <v>394</v>
      </c>
      <c r="I1" s="61" t="s">
        <v>4</v>
      </c>
      <c r="J1" s="61" t="s">
        <v>5</v>
      </c>
    </row>
    <row r="2" spans="1:38" x14ac:dyDescent="0.35">
      <c r="A2" s="57">
        <v>6803</v>
      </c>
      <c r="B2" s="57" t="s">
        <v>122</v>
      </c>
      <c r="C2" s="57">
        <v>7955</v>
      </c>
      <c r="D2" s="57" t="s">
        <v>454</v>
      </c>
      <c r="E2" s="57" t="s">
        <v>495</v>
      </c>
      <c r="F2" s="57" t="s">
        <v>396</v>
      </c>
      <c r="G2" s="57" t="s">
        <v>584</v>
      </c>
      <c r="H2" s="58">
        <v>45583</v>
      </c>
      <c r="I2" s="57" t="s">
        <v>24</v>
      </c>
      <c r="J2" s="57" t="s">
        <v>10</v>
      </c>
      <c r="K2"/>
      <c r="L2"/>
      <c r="M2"/>
      <c r="N2"/>
      <c r="O2"/>
      <c r="P2"/>
      <c r="Q2"/>
      <c r="R2"/>
      <c r="S2"/>
      <c r="T2"/>
      <c r="U2"/>
      <c r="V2"/>
      <c r="W2"/>
      <c r="X2"/>
      <c r="Y2"/>
      <c r="Z2"/>
      <c r="AA2"/>
      <c r="AB2"/>
      <c r="AC2"/>
      <c r="AD2"/>
      <c r="AE2"/>
      <c r="AF2"/>
      <c r="AG2"/>
      <c r="AH2"/>
      <c r="AI2"/>
      <c r="AJ2"/>
      <c r="AK2"/>
      <c r="AL2"/>
    </row>
    <row r="3" spans="1:38" x14ac:dyDescent="0.35">
      <c r="A3" s="57">
        <v>798</v>
      </c>
      <c r="B3" s="57" t="s">
        <v>397</v>
      </c>
      <c r="C3" s="57">
        <v>2508</v>
      </c>
      <c r="D3" s="57" t="s">
        <v>455</v>
      </c>
      <c r="E3" s="57" t="s">
        <v>496</v>
      </c>
      <c r="F3" s="57" t="s">
        <v>396</v>
      </c>
      <c r="G3" s="57" t="s">
        <v>584</v>
      </c>
      <c r="H3" s="58">
        <v>45583</v>
      </c>
      <c r="I3" s="57" t="s">
        <v>24</v>
      </c>
      <c r="J3" s="57" t="s">
        <v>10</v>
      </c>
      <c r="K3"/>
      <c r="L3"/>
      <c r="M3"/>
      <c r="N3"/>
      <c r="O3"/>
      <c r="P3"/>
      <c r="Q3"/>
      <c r="R3"/>
      <c r="S3"/>
      <c r="T3"/>
      <c r="U3"/>
      <c r="V3"/>
      <c r="W3"/>
      <c r="X3"/>
      <c r="Y3"/>
      <c r="Z3"/>
      <c r="AA3"/>
      <c r="AB3"/>
      <c r="AC3"/>
      <c r="AD3"/>
      <c r="AE3"/>
      <c r="AF3"/>
      <c r="AG3"/>
      <c r="AH3"/>
      <c r="AI3"/>
      <c r="AJ3"/>
      <c r="AK3"/>
      <c r="AL3"/>
    </row>
    <row r="4" spans="1:38" x14ac:dyDescent="0.35">
      <c r="A4" s="57">
        <v>6737</v>
      </c>
      <c r="B4" s="57" t="s">
        <v>398</v>
      </c>
      <c r="C4" s="57">
        <v>4329</v>
      </c>
      <c r="D4" s="57" t="s">
        <v>456</v>
      </c>
      <c r="E4" s="57" t="s">
        <v>497</v>
      </c>
      <c r="F4" s="57" t="s">
        <v>396</v>
      </c>
      <c r="G4" s="57" t="s">
        <v>584</v>
      </c>
      <c r="H4" s="58">
        <v>45583</v>
      </c>
      <c r="I4" s="57" t="s">
        <v>24</v>
      </c>
      <c r="J4" s="57" t="s">
        <v>10</v>
      </c>
      <c r="K4"/>
      <c r="L4"/>
      <c r="M4"/>
      <c r="N4"/>
      <c r="O4"/>
      <c r="P4"/>
      <c r="Q4"/>
      <c r="R4"/>
      <c r="S4"/>
      <c r="T4"/>
      <c r="U4"/>
      <c r="V4"/>
      <c r="W4"/>
      <c r="X4"/>
      <c r="Y4"/>
      <c r="Z4"/>
      <c r="AA4"/>
      <c r="AB4"/>
      <c r="AC4"/>
      <c r="AD4"/>
      <c r="AE4"/>
      <c r="AF4"/>
      <c r="AG4"/>
      <c r="AH4"/>
      <c r="AI4"/>
      <c r="AJ4"/>
      <c r="AK4"/>
      <c r="AL4"/>
    </row>
    <row r="5" spans="1:38" x14ac:dyDescent="0.35">
      <c r="A5" s="57">
        <v>7693</v>
      </c>
      <c r="B5" s="57" t="s">
        <v>399</v>
      </c>
      <c r="C5" s="57">
        <v>5744</v>
      </c>
      <c r="D5" s="57" t="s">
        <v>457</v>
      </c>
      <c r="E5" s="57" t="s">
        <v>498</v>
      </c>
      <c r="F5" s="57" t="s">
        <v>396</v>
      </c>
      <c r="G5" s="57" t="s">
        <v>584</v>
      </c>
      <c r="H5" s="58">
        <v>45573</v>
      </c>
      <c r="I5" s="57" t="s">
        <v>40</v>
      </c>
      <c r="J5" s="57" t="s">
        <v>32</v>
      </c>
      <c r="K5"/>
      <c r="L5"/>
      <c r="M5"/>
      <c r="N5"/>
      <c r="O5"/>
      <c r="P5"/>
      <c r="Q5"/>
      <c r="R5"/>
      <c r="S5"/>
      <c r="T5"/>
      <c r="U5"/>
      <c r="V5"/>
      <c r="W5"/>
      <c r="X5"/>
      <c r="Y5"/>
      <c r="Z5"/>
      <c r="AA5"/>
      <c r="AB5"/>
      <c r="AC5"/>
      <c r="AD5"/>
      <c r="AE5"/>
      <c r="AF5"/>
      <c r="AG5"/>
      <c r="AH5"/>
      <c r="AI5"/>
      <c r="AJ5"/>
      <c r="AK5"/>
      <c r="AL5"/>
    </row>
    <row r="6" spans="1:38" x14ac:dyDescent="0.35">
      <c r="A6" s="57">
        <v>7426</v>
      </c>
      <c r="B6" s="57" t="s">
        <v>19</v>
      </c>
      <c r="C6" s="57">
        <v>7807</v>
      </c>
      <c r="D6" s="57" t="s">
        <v>458</v>
      </c>
      <c r="E6" s="57" t="s">
        <v>499</v>
      </c>
      <c r="F6" s="57" t="s">
        <v>396</v>
      </c>
      <c r="G6" s="57" t="s">
        <v>584</v>
      </c>
      <c r="H6" s="58">
        <v>45573</v>
      </c>
      <c r="I6" s="57" t="s">
        <v>21</v>
      </c>
      <c r="J6" s="57" t="s">
        <v>10</v>
      </c>
      <c r="K6"/>
      <c r="L6"/>
      <c r="M6"/>
      <c r="N6"/>
      <c r="O6"/>
      <c r="P6"/>
      <c r="Q6"/>
      <c r="R6"/>
      <c r="S6"/>
      <c r="T6"/>
      <c r="U6"/>
      <c r="V6"/>
      <c r="W6"/>
      <c r="X6"/>
      <c r="Y6"/>
      <c r="Z6"/>
      <c r="AA6"/>
      <c r="AB6"/>
      <c r="AC6"/>
      <c r="AD6"/>
      <c r="AE6"/>
      <c r="AF6"/>
      <c r="AG6"/>
      <c r="AH6"/>
      <c r="AI6"/>
      <c r="AJ6"/>
      <c r="AK6"/>
      <c r="AL6"/>
    </row>
    <row r="7" spans="1:38" x14ac:dyDescent="0.35">
      <c r="A7" s="57">
        <v>7162</v>
      </c>
      <c r="B7" s="57" t="s">
        <v>400</v>
      </c>
      <c r="C7" s="57">
        <v>3469</v>
      </c>
      <c r="D7" s="57" t="s">
        <v>459</v>
      </c>
      <c r="E7" s="57" t="s">
        <v>500</v>
      </c>
      <c r="F7" s="57" t="s">
        <v>396</v>
      </c>
      <c r="G7" s="57" t="s">
        <v>584</v>
      </c>
      <c r="H7" s="58">
        <v>45573</v>
      </c>
      <c r="I7" s="57" t="s">
        <v>249</v>
      </c>
      <c r="J7" s="57" t="s">
        <v>10</v>
      </c>
      <c r="K7"/>
      <c r="L7"/>
      <c r="M7"/>
      <c r="N7"/>
      <c r="O7"/>
      <c r="P7"/>
      <c r="Q7"/>
      <c r="R7"/>
      <c r="S7"/>
      <c r="T7"/>
      <c r="U7"/>
      <c r="V7"/>
      <c r="W7"/>
      <c r="X7"/>
      <c r="Y7"/>
      <c r="Z7"/>
      <c r="AA7"/>
      <c r="AB7"/>
      <c r="AC7"/>
      <c r="AD7"/>
      <c r="AE7"/>
      <c r="AF7"/>
      <c r="AG7"/>
      <c r="AH7"/>
      <c r="AI7"/>
      <c r="AJ7"/>
      <c r="AK7"/>
      <c r="AL7"/>
    </row>
    <row r="8" spans="1:38" x14ac:dyDescent="0.35">
      <c r="A8" s="57">
        <v>7156</v>
      </c>
      <c r="B8" s="57" t="s">
        <v>401</v>
      </c>
      <c r="C8" s="57">
        <v>7282</v>
      </c>
      <c r="D8" s="57" t="s">
        <v>460</v>
      </c>
      <c r="E8" s="57" t="s">
        <v>501</v>
      </c>
      <c r="F8" s="57" t="s">
        <v>396</v>
      </c>
      <c r="G8" s="57" t="s">
        <v>584</v>
      </c>
      <c r="H8" s="58">
        <v>45572</v>
      </c>
      <c r="I8" s="57" t="s">
        <v>73</v>
      </c>
      <c r="J8" s="57" t="s">
        <v>32</v>
      </c>
      <c r="K8"/>
      <c r="L8"/>
      <c r="M8"/>
      <c r="N8"/>
      <c r="O8"/>
      <c r="P8"/>
      <c r="Q8"/>
      <c r="R8"/>
      <c r="S8"/>
      <c r="T8"/>
      <c r="U8"/>
      <c r="V8"/>
      <c r="W8"/>
      <c r="X8"/>
      <c r="Y8"/>
      <c r="Z8"/>
      <c r="AA8"/>
      <c r="AB8"/>
      <c r="AC8"/>
      <c r="AD8"/>
      <c r="AE8"/>
      <c r="AF8"/>
      <c r="AG8"/>
      <c r="AH8"/>
      <c r="AI8"/>
      <c r="AJ8"/>
      <c r="AK8"/>
      <c r="AL8"/>
    </row>
    <row r="9" spans="1:38" x14ac:dyDescent="0.35">
      <c r="A9" s="57">
        <v>7655</v>
      </c>
      <c r="B9" s="57" t="s">
        <v>402</v>
      </c>
      <c r="C9" s="57">
        <v>5495</v>
      </c>
      <c r="D9" s="57" t="s">
        <v>461</v>
      </c>
      <c r="E9" s="57" t="s">
        <v>502</v>
      </c>
      <c r="F9" s="57" t="s">
        <v>396</v>
      </c>
      <c r="G9" s="57" t="s">
        <v>584</v>
      </c>
      <c r="H9" s="58">
        <v>45572</v>
      </c>
      <c r="I9" s="57" t="s">
        <v>73</v>
      </c>
      <c r="J9" s="57" t="s">
        <v>32</v>
      </c>
      <c r="K9"/>
      <c r="L9"/>
      <c r="M9"/>
      <c r="N9"/>
      <c r="O9"/>
      <c r="P9"/>
      <c r="Q9"/>
      <c r="R9"/>
      <c r="S9"/>
      <c r="T9"/>
      <c r="U9"/>
      <c r="V9"/>
      <c r="W9"/>
      <c r="X9"/>
      <c r="Y9"/>
      <c r="Z9"/>
      <c r="AA9"/>
      <c r="AB9"/>
      <c r="AC9"/>
      <c r="AD9"/>
      <c r="AE9"/>
      <c r="AF9"/>
      <c r="AG9"/>
      <c r="AH9"/>
      <c r="AI9"/>
      <c r="AJ9"/>
      <c r="AK9"/>
      <c r="AL9"/>
    </row>
    <row r="10" spans="1:38" x14ac:dyDescent="0.35">
      <c r="A10" s="57">
        <v>5074</v>
      </c>
      <c r="B10" s="57" t="s">
        <v>403</v>
      </c>
      <c r="C10" s="57">
        <v>5495</v>
      </c>
      <c r="D10" s="57" t="s">
        <v>461</v>
      </c>
      <c r="E10" s="57" t="s">
        <v>503</v>
      </c>
      <c r="F10" s="57" t="s">
        <v>396</v>
      </c>
      <c r="G10" s="57" t="s">
        <v>584</v>
      </c>
      <c r="H10" s="58">
        <v>45572</v>
      </c>
      <c r="I10" s="57" t="s">
        <v>73</v>
      </c>
      <c r="J10" s="57" t="s">
        <v>32</v>
      </c>
      <c r="K10"/>
      <c r="L10"/>
      <c r="M10"/>
      <c r="N10"/>
      <c r="O10"/>
      <c r="P10"/>
      <c r="Q10"/>
      <c r="R10"/>
      <c r="S10"/>
      <c r="T10"/>
      <c r="U10"/>
      <c r="V10"/>
      <c r="W10"/>
      <c r="X10"/>
      <c r="Y10"/>
      <c r="Z10"/>
      <c r="AA10"/>
      <c r="AB10"/>
      <c r="AC10"/>
      <c r="AD10"/>
      <c r="AE10"/>
      <c r="AF10"/>
      <c r="AG10"/>
      <c r="AH10"/>
      <c r="AI10"/>
      <c r="AJ10"/>
      <c r="AK10"/>
      <c r="AL10"/>
    </row>
    <row r="11" spans="1:38" x14ac:dyDescent="0.35">
      <c r="A11" s="57">
        <v>4370</v>
      </c>
      <c r="B11" s="57" t="s">
        <v>283</v>
      </c>
      <c r="C11" s="57">
        <v>7619</v>
      </c>
      <c r="D11" s="57" t="s">
        <v>462</v>
      </c>
      <c r="E11" s="57" t="s">
        <v>504</v>
      </c>
      <c r="F11" s="57" t="s">
        <v>396</v>
      </c>
      <c r="G11" s="57" t="s">
        <v>584</v>
      </c>
      <c r="H11" s="58">
        <v>45572</v>
      </c>
      <c r="I11" s="57" t="s">
        <v>73</v>
      </c>
      <c r="J11" s="57" t="s">
        <v>32</v>
      </c>
      <c r="K11"/>
      <c r="L11"/>
      <c r="M11"/>
      <c r="N11"/>
      <c r="O11"/>
      <c r="P11"/>
      <c r="Q11"/>
      <c r="R11"/>
      <c r="S11"/>
      <c r="T11"/>
      <c r="U11"/>
      <c r="V11"/>
      <c r="W11"/>
      <c r="X11"/>
      <c r="Y11"/>
      <c r="Z11"/>
      <c r="AA11"/>
      <c r="AB11"/>
      <c r="AC11"/>
      <c r="AD11"/>
      <c r="AE11"/>
      <c r="AF11"/>
      <c r="AG11"/>
      <c r="AH11"/>
      <c r="AI11"/>
      <c r="AJ11"/>
      <c r="AK11"/>
      <c r="AL11"/>
    </row>
    <row r="12" spans="1:38" x14ac:dyDescent="0.35">
      <c r="A12" s="57">
        <v>7551</v>
      </c>
      <c r="B12" s="57" t="s">
        <v>404</v>
      </c>
      <c r="C12" s="57">
        <v>3634</v>
      </c>
      <c r="D12" s="57" t="s">
        <v>463</v>
      </c>
      <c r="E12" s="57" t="s">
        <v>505</v>
      </c>
      <c r="F12" s="57" t="s">
        <v>396</v>
      </c>
      <c r="G12" s="57" t="s">
        <v>584</v>
      </c>
      <c r="H12" s="58">
        <v>45572</v>
      </c>
      <c r="I12" s="57" t="s">
        <v>73</v>
      </c>
      <c r="J12" s="57" t="s">
        <v>32</v>
      </c>
      <c r="K12"/>
      <c r="L12"/>
      <c r="M12"/>
      <c r="N12"/>
      <c r="O12"/>
      <c r="P12"/>
      <c r="Q12"/>
      <c r="R12"/>
      <c r="S12"/>
      <c r="T12"/>
      <c r="U12"/>
      <c r="V12"/>
      <c r="W12"/>
      <c r="X12"/>
      <c r="Y12"/>
      <c r="Z12"/>
      <c r="AA12"/>
      <c r="AB12"/>
      <c r="AC12"/>
      <c r="AD12"/>
      <c r="AE12"/>
      <c r="AF12"/>
      <c r="AG12"/>
      <c r="AH12"/>
      <c r="AI12"/>
      <c r="AJ12"/>
      <c r="AK12"/>
      <c r="AL12"/>
    </row>
    <row r="13" spans="1:38" x14ac:dyDescent="0.35">
      <c r="A13" s="57">
        <v>7672</v>
      </c>
      <c r="B13" s="57" t="s">
        <v>405</v>
      </c>
      <c r="C13" s="57">
        <v>6658</v>
      </c>
      <c r="D13" s="57" t="s">
        <v>464</v>
      </c>
      <c r="E13" s="57" t="s">
        <v>506</v>
      </c>
      <c r="F13" s="57" t="s">
        <v>396</v>
      </c>
      <c r="G13" s="57" t="s">
        <v>584</v>
      </c>
      <c r="H13" s="58">
        <v>45572</v>
      </c>
      <c r="I13" s="57" t="s">
        <v>35</v>
      </c>
      <c r="J13" s="57" t="s">
        <v>32</v>
      </c>
      <c r="K13"/>
      <c r="L13"/>
      <c r="M13"/>
      <c r="N13"/>
      <c r="O13"/>
      <c r="P13"/>
      <c r="Q13"/>
      <c r="R13"/>
      <c r="S13"/>
      <c r="T13"/>
      <c r="U13"/>
      <c r="V13"/>
      <c r="W13"/>
      <c r="X13"/>
      <c r="Y13"/>
      <c r="Z13"/>
      <c r="AA13"/>
      <c r="AB13"/>
      <c r="AC13"/>
      <c r="AD13"/>
      <c r="AE13"/>
      <c r="AF13"/>
      <c r="AG13"/>
      <c r="AH13"/>
      <c r="AI13"/>
      <c r="AJ13"/>
      <c r="AK13"/>
      <c r="AL13"/>
    </row>
    <row r="14" spans="1:38" x14ac:dyDescent="0.35">
      <c r="A14" s="57">
        <v>6461</v>
      </c>
      <c r="B14" s="57" t="s">
        <v>406</v>
      </c>
      <c r="C14" s="57">
        <v>3634</v>
      </c>
      <c r="D14" s="57" t="s">
        <v>463</v>
      </c>
      <c r="E14" s="57" t="s">
        <v>507</v>
      </c>
      <c r="F14" s="57" t="s">
        <v>396</v>
      </c>
      <c r="G14" s="57" t="s">
        <v>584</v>
      </c>
      <c r="H14" s="58">
        <v>45572</v>
      </c>
      <c r="I14" s="57" t="s">
        <v>73</v>
      </c>
      <c r="J14" s="57" t="s">
        <v>32</v>
      </c>
      <c r="K14"/>
      <c r="L14"/>
      <c r="M14"/>
      <c r="N14"/>
      <c r="O14"/>
      <c r="P14"/>
      <c r="Q14"/>
      <c r="R14"/>
      <c r="S14"/>
      <c r="T14"/>
      <c r="U14"/>
      <c r="V14"/>
      <c r="W14"/>
      <c r="X14"/>
      <c r="Y14"/>
      <c r="Z14"/>
      <c r="AA14"/>
      <c r="AB14"/>
      <c r="AC14"/>
      <c r="AD14"/>
      <c r="AE14"/>
      <c r="AF14"/>
      <c r="AG14"/>
      <c r="AH14"/>
      <c r="AI14"/>
      <c r="AJ14"/>
      <c r="AK14"/>
      <c r="AL14"/>
    </row>
    <row r="15" spans="1:38" x14ac:dyDescent="0.35">
      <c r="A15" s="57">
        <v>7585</v>
      </c>
      <c r="B15" s="57" t="s">
        <v>407</v>
      </c>
      <c r="C15" s="57">
        <v>2026</v>
      </c>
      <c r="D15" s="57" t="s">
        <v>465</v>
      </c>
      <c r="E15" s="57" t="s">
        <v>508</v>
      </c>
      <c r="F15" s="57" t="s">
        <v>396</v>
      </c>
      <c r="G15" s="57" t="s">
        <v>584</v>
      </c>
      <c r="H15" s="58">
        <v>45572</v>
      </c>
      <c r="I15" s="57" t="s">
        <v>16</v>
      </c>
      <c r="J15" s="57" t="s">
        <v>54</v>
      </c>
      <c r="K15"/>
      <c r="L15"/>
      <c r="M15"/>
      <c r="N15"/>
      <c r="O15"/>
      <c r="P15"/>
      <c r="Q15"/>
      <c r="R15"/>
      <c r="S15"/>
      <c r="T15"/>
      <c r="U15"/>
      <c r="V15"/>
      <c r="W15"/>
      <c r="X15"/>
      <c r="Y15"/>
      <c r="Z15"/>
      <c r="AA15"/>
      <c r="AB15"/>
      <c r="AC15"/>
      <c r="AD15"/>
      <c r="AE15"/>
      <c r="AF15"/>
      <c r="AG15"/>
      <c r="AH15"/>
      <c r="AI15"/>
      <c r="AJ15"/>
      <c r="AK15"/>
      <c r="AL15"/>
    </row>
    <row r="16" spans="1:38" x14ac:dyDescent="0.35">
      <c r="A16" s="57">
        <v>7824</v>
      </c>
      <c r="B16" s="57" t="s">
        <v>408</v>
      </c>
      <c r="C16" s="57">
        <v>5546</v>
      </c>
      <c r="D16" s="57" t="s">
        <v>466</v>
      </c>
      <c r="E16" s="57" t="s">
        <v>509</v>
      </c>
      <c r="F16" s="57" t="s">
        <v>396</v>
      </c>
      <c r="G16" s="57" t="s">
        <v>584</v>
      </c>
      <c r="H16" s="58">
        <v>45572</v>
      </c>
      <c r="I16" s="57" t="s">
        <v>35</v>
      </c>
      <c r="J16" s="57" t="s">
        <v>32</v>
      </c>
      <c r="K16"/>
      <c r="L16"/>
      <c r="M16"/>
      <c r="N16"/>
      <c r="O16"/>
      <c r="P16"/>
      <c r="Q16"/>
      <c r="R16"/>
      <c r="S16"/>
      <c r="T16"/>
      <c r="U16"/>
      <c r="V16"/>
      <c r="W16"/>
      <c r="X16"/>
      <c r="Y16"/>
      <c r="Z16"/>
      <c r="AA16"/>
      <c r="AB16"/>
      <c r="AC16"/>
      <c r="AD16"/>
      <c r="AE16"/>
      <c r="AF16"/>
      <c r="AG16"/>
      <c r="AH16"/>
      <c r="AI16"/>
      <c r="AJ16"/>
      <c r="AK16"/>
      <c r="AL16"/>
    </row>
    <row r="17" spans="1:38" x14ac:dyDescent="0.35">
      <c r="A17" s="57">
        <v>7480</v>
      </c>
      <c r="B17" s="57" t="s">
        <v>409</v>
      </c>
      <c r="C17" s="57">
        <v>2477</v>
      </c>
      <c r="D17" s="57" t="s">
        <v>367</v>
      </c>
      <c r="E17" s="57" t="s">
        <v>510</v>
      </c>
      <c r="F17" s="57" t="s">
        <v>396</v>
      </c>
      <c r="G17" s="57" t="s">
        <v>584</v>
      </c>
      <c r="H17" s="58">
        <v>45572</v>
      </c>
      <c r="I17" s="57" t="s">
        <v>9</v>
      </c>
      <c r="J17" s="57" t="s">
        <v>54</v>
      </c>
      <c r="K17"/>
      <c r="L17"/>
      <c r="M17"/>
      <c r="N17"/>
      <c r="O17"/>
      <c r="P17"/>
      <c r="Q17"/>
      <c r="R17"/>
      <c r="S17"/>
      <c r="T17"/>
      <c r="U17"/>
      <c r="V17"/>
      <c r="W17"/>
      <c r="X17"/>
      <c r="Y17"/>
      <c r="Z17"/>
      <c r="AA17"/>
      <c r="AB17"/>
      <c r="AC17"/>
      <c r="AD17"/>
      <c r="AE17"/>
      <c r="AF17"/>
      <c r="AG17"/>
      <c r="AH17"/>
      <c r="AI17"/>
      <c r="AJ17"/>
      <c r="AK17"/>
      <c r="AL17"/>
    </row>
    <row r="18" spans="1:38" x14ac:dyDescent="0.35">
      <c r="A18" s="57">
        <v>7283</v>
      </c>
      <c r="B18" s="57" t="s">
        <v>410</v>
      </c>
      <c r="C18" s="57">
        <v>1313</v>
      </c>
      <c r="D18" s="57" t="s">
        <v>61</v>
      </c>
      <c r="E18" s="57" t="s">
        <v>511</v>
      </c>
      <c r="F18" s="57" t="s">
        <v>396</v>
      </c>
      <c r="G18" s="57" t="s">
        <v>584</v>
      </c>
      <c r="H18" s="58">
        <v>45572</v>
      </c>
      <c r="I18" s="57" t="s">
        <v>53</v>
      </c>
      <c r="J18" s="57" t="s">
        <v>54</v>
      </c>
      <c r="K18"/>
      <c r="L18"/>
      <c r="M18"/>
      <c r="N18"/>
      <c r="O18"/>
      <c r="P18"/>
      <c r="Q18"/>
      <c r="R18"/>
      <c r="S18"/>
      <c r="T18"/>
      <c r="U18"/>
      <c r="V18"/>
      <c r="W18"/>
      <c r="X18"/>
      <c r="Y18"/>
      <c r="Z18"/>
      <c r="AA18"/>
      <c r="AB18"/>
      <c r="AC18"/>
      <c r="AD18"/>
      <c r="AE18"/>
      <c r="AF18"/>
      <c r="AG18"/>
      <c r="AH18"/>
      <c r="AI18"/>
      <c r="AJ18"/>
      <c r="AK18"/>
      <c r="AL18"/>
    </row>
    <row r="19" spans="1:38" x14ac:dyDescent="0.35">
      <c r="A19" s="57">
        <v>7567</v>
      </c>
      <c r="B19" s="57" t="s">
        <v>411</v>
      </c>
      <c r="C19" s="57">
        <v>5517</v>
      </c>
      <c r="D19" s="57" t="s">
        <v>363</v>
      </c>
      <c r="E19" s="57" t="s">
        <v>512</v>
      </c>
      <c r="F19" s="57" t="s">
        <v>396</v>
      </c>
      <c r="G19" s="57" t="s">
        <v>584</v>
      </c>
      <c r="H19" s="58">
        <v>45572</v>
      </c>
      <c r="I19" s="57" t="s">
        <v>9</v>
      </c>
      <c r="J19" s="57" t="s">
        <v>10</v>
      </c>
      <c r="K19"/>
      <c r="L19"/>
      <c r="M19"/>
      <c r="N19"/>
      <c r="O19"/>
      <c r="P19"/>
      <c r="Q19"/>
      <c r="R19"/>
      <c r="S19"/>
      <c r="T19"/>
      <c r="U19"/>
      <c r="V19"/>
      <c r="W19"/>
      <c r="X19"/>
      <c r="Y19"/>
      <c r="Z19"/>
      <c r="AA19"/>
      <c r="AB19"/>
      <c r="AC19"/>
      <c r="AD19"/>
      <c r="AE19"/>
      <c r="AF19"/>
      <c r="AG19"/>
      <c r="AH19"/>
      <c r="AI19"/>
      <c r="AJ19"/>
      <c r="AK19"/>
      <c r="AL19"/>
    </row>
    <row r="20" spans="1:38" x14ac:dyDescent="0.35">
      <c r="A20" s="57">
        <v>6135</v>
      </c>
      <c r="B20" s="57" t="s">
        <v>412</v>
      </c>
      <c r="C20" s="57">
        <v>3812</v>
      </c>
      <c r="D20" s="57" t="s">
        <v>467</v>
      </c>
      <c r="E20" s="57" t="s">
        <v>513</v>
      </c>
      <c r="F20" s="57" t="s">
        <v>396</v>
      </c>
      <c r="G20" s="57" t="s">
        <v>584</v>
      </c>
      <c r="H20" s="58">
        <v>45572</v>
      </c>
      <c r="I20" s="57" t="s">
        <v>73</v>
      </c>
      <c r="J20" s="57" t="s">
        <v>74</v>
      </c>
      <c r="K20"/>
      <c r="L20"/>
      <c r="M20"/>
      <c r="N20"/>
      <c r="O20"/>
      <c r="P20"/>
      <c r="Q20"/>
      <c r="R20"/>
      <c r="S20"/>
      <c r="T20"/>
      <c r="U20"/>
      <c r="V20"/>
      <c r="W20"/>
      <c r="X20"/>
      <c r="Y20"/>
      <c r="Z20"/>
      <c r="AA20"/>
      <c r="AB20"/>
      <c r="AC20"/>
      <c r="AD20"/>
      <c r="AE20"/>
      <c r="AF20"/>
      <c r="AG20"/>
      <c r="AH20"/>
      <c r="AI20"/>
      <c r="AJ20"/>
      <c r="AK20"/>
      <c r="AL20"/>
    </row>
    <row r="21" spans="1:38" x14ac:dyDescent="0.35">
      <c r="A21" s="57">
        <v>6890</v>
      </c>
      <c r="B21" s="57" t="s">
        <v>302</v>
      </c>
      <c r="C21" s="57">
        <v>4379</v>
      </c>
      <c r="D21" s="57" t="s">
        <v>468</v>
      </c>
      <c r="E21" s="57" t="s">
        <v>514</v>
      </c>
      <c r="F21" s="57" t="s">
        <v>396</v>
      </c>
      <c r="G21" s="57" t="s">
        <v>584</v>
      </c>
      <c r="H21" s="58">
        <v>45572</v>
      </c>
      <c r="I21" s="57" t="s">
        <v>9</v>
      </c>
      <c r="J21" s="57" t="s">
        <v>10</v>
      </c>
      <c r="K21"/>
      <c r="L21"/>
      <c r="M21"/>
      <c r="N21"/>
      <c r="O21"/>
      <c r="P21"/>
      <c r="Q21"/>
      <c r="R21"/>
      <c r="S21"/>
      <c r="T21"/>
      <c r="U21"/>
      <c r="V21"/>
      <c r="W21"/>
      <c r="X21"/>
      <c r="Y21"/>
      <c r="Z21"/>
      <c r="AA21"/>
      <c r="AB21"/>
      <c r="AC21"/>
      <c r="AD21"/>
      <c r="AE21"/>
      <c r="AF21"/>
      <c r="AG21"/>
      <c r="AH21"/>
      <c r="AI21"/>
      <c r="AJ21"/>
      <c r="AK21"/>
      <c r="AL21"/>
    </row>
    <row r="22" spans="1:38" x14ac:dyDescent="0.35">
      <c r="A22" s="57">
        <v>7056</v>
      </c>
      <c r="B22" s="57" t="s">
        <v>413</v>
      </c>
      <c r="C22" s="57">
        <v>7035</v>
      </c>
      <c r="D22" s="57" t="s">
        <v>361</v>
      </c>
      <c r="E22" s="57" t="s">
        <v>515</v>
      </c>
      <c r="F22" s="57" t="s">
        <v>396</v>
      </c>
      <c r="G22" s="57" t="s">
        <v>584</v>
      </c>
      <c r="H22" s="58">
        <v>45569</v>
      </c>
      <c r="I22" s="57" t="s">
        <v>35</v>
      </c>
      <c r="J22" s="57" t="s">
        <v>74</v>
      </c>
      <c r="K22"/>
      <c r="L22"/>
      <c r="M22"/>
      <c r="N22"/>
      <c r="O22"/>
      <c r="P22"/>
      <c r="Q22"/>
      <c r="R22"/>
      <c r="S22"/>
      <c r="T22"/>
      <c r="U22"/>
      <c r="V22"/>
      <c r="W22"/>
      <c r="X22"/>
      <c r="Y22"/>
      <c r="Z22"/>
      <c r="AA22"/>
      <c r="AB22"/>
      <c r="AC22"/>
      <c r="AD22"/>
      <c r="AE22"/>
      <c r="AF22"/>
      <c r="AG22"/>
      <c r="AH22"/>
      <c r="AI22"/>
      <c r="AJ22"/>
      <c r="AK22"/>
      <c r="AL22"/>
    </row>
    <row r="23" spans="1:38" x14ac:dyDescent="0.35">
      <c r="A23" s="57">
        <v>7286</v>
      </c>
      <c r="B23" s="57" t="s">
        <v>414</v>
      </c>
      <c r="C23" s="57">
        <v>7035</v>
      </c>
      <c r="D23" s="57" t="s">
        <v>361</v>
      </c>
      <c r="E23" s="57" t="s">
        <v>516</v>
      </c>
      <c r="F23" s="57" t="s">
        <v>396</v>
      </c>
      <c r="G23" s="57" t="s">
        <v>584</v>
      </c>
      <c r="H23" s="58">
        <v>45569</v>
      </c>
      <c r="I23" s="57" t="s">
        <v>35</v>
      </c>
      <c r="J23" s="57" t="s">
        <v>32</v>
      </c>
      <c r="K23"/>
      <c r="L23"/>
      <c r="M23"/>
      <c r="N23"/>
      <c r="O23"/>
      <c r="P23"/>
      <c r="Q23"/>
      <c r="R23"/>
      <c r="S23"/>
      <c r="T23"/>
      <c r="U23"/>
      <c r="V23"/>
      <c r="W23"/>
      <c r="X23"/>
      <c r="Y23"/>
      <c r="Z23"/>
      <c r="AA23"/>
      <c r="AB23"/>
      <c r="AC23"/>
      <c r="AD23"/>
      <c r="AE23"/>
      <c r="AF23"/>
      <c r="AG23"/>
      <c r="AH23"/>
      <c r="AI23"/>
      <c r="AJ23"/>
      <c r="AK23"/>
      <c r="AL23"/>
    </row>
    <row r="24" spans="1:38" x14ac:dyDescent="0.35">
      <c r="A24" s="57">
        <v>7495</v>
      </c>
      <c r="B24" s="57" t="s">
        <v>284</v>
      </c>
      <c r="C24" s="57">
        <v>1908</v>
      </c>
      <c r="D24" s="57" t="s">
        <v>368</v>
      </c>
      <c r="E24" s="57" t="s">
        <v>517</v>
      </c>
      <c r="F24" s="57" t="s">
        <v>396</v>
      </c>
      <c r="G24" s="57" t="s">
        <v>584</v>
      </c>
      <c r="H24" s="58">
        <v>45569</v>
      </c>
      <c r="I24" s="57" t="s">
        <v>35</v>
      </c>
      <c r="J24" s="57" t="s">
        <v>32</v>
      </c>
      <c r="K24"/>
      <c r="L24"/>
      <c r="M24"/>
      <c r="N24"/>
      <c r="O24"/>
      <c r="P24"/>
      <c r="Q24"/>
      <c r="R24"/>
      <c r="S24"/>
      <c r="T24"/>
      <c r="U24"/>
      <c r="V24"/>
      <c r="W24"/>
      <c r="X24"/>
      <c r="Y24"/>
      <c r="Z24"/>
      <c r="AA24"/>
      <c r="AB24"/>
      <c r="AC24"/>
      <c r="AD24"/>
      <c r="AE24"/>
      <c r="AF24"/>
      <c r="AG24"/>
      <c r="AH24"/>
      <c r="AI24"/>
      <c r="AJ24"/>
      <c r="AK24"/>
      <c r="AL24"/>
    </row>
    <row r="25" spans="1:38" x14ac:dyDescent="0.35">
      <c r="A25" s="57">
        <v>2990</v>
      </c>
      <c r="B25" s="57" t="s">
        <v>297</v>
      </c>
      <c r="C25" s="57">
        <v>2169</v>
      </c>
      <c r="D25" s="57" t="s">
        <v>469</v>
      </c>
      <c r="E25" s="57" t="s">
        <v>518</v>
      </c>
      <c r="F25" s="57" t="s">
        <v>396</v>
      </c>
      <c r="G25" s="57" t="s">
        <v>584</v>
      </c>
      <c r="H25" s="58">
        <v>45569</v>
      </c>
      <c r="I25" s="57" t="s">
        <v>35</v>
      </c>
      <c r="J25" s="57" t="s">
        <v>32</v>
      </c>
      <c r="K25"/>
      <c r="L25"/>
      <c r="M25"/>
      <c r="N25"/>
      <c r="O25"/>
      <c r="P25"/>
      <c r="Q25"/>
      <c r="R25"/>
      <c r="S25"/>
      <c r="T25"/>
      <c r="U25"/>
      <c r="V25"/>
      <c r="W25"/>
      <c r="X25"/>
      <c r="Y25"/>
      <c r="Z25"/>
      <c r="AA25"/>
      <c r="AB25"/>
      <c r="AC25"/>
      <c r="AD25"/>
      <c r="AE25"/>
      <c r="AF25"/>
      <c r="AG25"/>
      <c r="AH25"/>
      <c r="AI25"/>
      <c r="AJ25"/>
      <c r="AK25"/>
      <c r="AL25"/>
    </row>
    <row r="26" spans="1:38" x14ac:dyDescent="0.35">
      <c r="A26" s="57">
        <v>7538</v>
      </c>
      <c r="B26" s="57" t="s">
        <v>415</v>
      </c>
      <c r="C26" s="57">
        <v>4735</v>
      </c>
      <c r="D26" s="57" t="s">
        <v>365</v>
      </c>
      <c r="E26" s="57" t="s">
        <v>519</v>
      </c>
      <c r="F26" s="57" t="s">
        <v>198</v>
      </c>
      <c r="G26" s="57" t="s">
        <v>584</v>
      </c>
      <c r="H26" s="58">
        <v>45514</v>
      </c>
      <c r="I26" s="57" t="s">
        <v>40</v>
      </c>
      <c r="J26" s="57" t="s">
        <v>74</v>
      </c>
    </row>
    <row r="27" spans="1:38" x14ac:dyDescent="0.35">
      <c r="A27" s="57">
        <v>2244</v>
      </c>
      <c r="B27" s="57" t="s">
        <v>416</v>
      </c>
      <c r="C27" s="57">
        <v>4060</v>
      </c>
      <c r="D27" s="57" t="s">
        <v>470</v>
      </c>
      <c r="E27" s="57" t="s">
        <v>520</v>
      </c>
      <c r="F27" s="57" t="s">
        <v>198</v>
      </c>
      <c r="G27" s="57" t="s">
        <v>584</v>
      </c>
      <c r="H27" s="58">
        <v>45513</v>
      </c>
      <c r="I27" s="57" t="s">
        <v>53</v>
      </c>
      <c r="J27" s="57" t="s">
        <v>54</v>
      </c>
    </row>
    <row r="28" spans="1:38" x14ac:dyDescent="0.35">
      <c r="A28" s="57">
        <v>7050</v>
      </c>
      <c r="B28" s="57" t="s">
        <v>417</v>
      </c>
      <c r="C28" s="57">
        <v>7282</v>
      </c>
      <c r="D28" s="57" t="s">
        <v>460</v>
      </c>
      <c r="E28" s="57" t="s">
        <v>521</v>
      </c>
      <c r="F28" s="57" t="s">
        <v>198</v>
      </c>
      <c r="G28" s="57" t="s">
        <v>584</v>
      </c>
      <c r="H28" s="58">
        <v>45513</v>
      </c>
      <c r="I28" s="57" t="s">
        <v>73</v>
      </c>
      <c r="J28" s="57" t="s">
        <v>32</v>
      </c>
    </row>
    <row r="29" spans="1:38" x14ac:dyDescent="0.35">
      <c r="A29" s="57">
        <v>7055</v>
      </c>
      <c r="B29" s="57" t="s">
        <v>418</v>
      </c>
      <c r="C29" s="57">
        <v>7282</v>
      </c>
      <c r="D29" s="57" t="s">
        <v>460</v>
      </c>
      <c r="E29" s="57" t="s">
        <v>522</v>
      </c>
      <c r="F29" s="57" t="s">
        <v>198</v>
      </c>
      <c r="G29" s="57" t="s">
        <v>584</v>
      </c>
      <c r="H29" s="58">
        <v>45513</v>
      </c>
      <c r="I29" s="57" t="s">
        <v>73</v>
      </c>
      <c r="J29" s="57" t="s">
        <v>32</v>
      </c>
    </row>
    <row r="30" spans="1:38" x14ac:dyDescent="0.35">
      <c r="A30" s="57">
        <v>7225</v>
      </c>
      <c r="B30" s="57" t="s">
        <v>419</v>
      </c>
      <c r="C30" s="57">
        <v>7580</v>
      </c>
      <c r="D30" s="57" t="s">
        <v>366</v>
      </c>
      <c r="E30" s="57" t="s">
        <v>523</v>
      </c>
      <c r="F30" s="57" t="s">
        <v>198</v>
      </c>
      <c r="G30" s="57" t="s">
        <v>584</v>
      </c>
      <c r="H30" s="58">
        <v>45513</v>
      </c>
      <c r="I30" s="57" t="s">
        <v>249</v>
      </c>
      <c r="J30" s="57" t="s">
        <v>10</v>
      </c>
    </row>
    <row r="31" spans="1:38" x14ac:dyDescent="0.35">
      <c r="A31" s="57">
        <v>6368</v>
      </c>
      <c r="B31" s="57" t="s">
        <v>420</v>
      </c>
      <c r="C31" s="57">
        <v>6435</v>
      </c>
      <c r="D31" s="57" t="s">
        <v>471</v>
      </c>
      <c r="E31" s="57" t="s">
        <v>524</v>
      </c>
      <c r="F31" s="57" t="s">
        <v>198</v>
      </c>
      <c r="G31" s="57" t="s">
        <v>584</v>
      </c>
      <c r="H31" s="58">
        <v>45513</v>
      </c>
      <c r="I31" s="57" t="s">
        <v>9</v>
      </c>
      <c r="J31" s="57" t="s">
        <v>54</v>
      </c>
    </row>
    <row r="32" spans="1:38" x14ac:dyDescent="0.35">
      <c r="A32" s="57">
        <v>7634</v>
      </c>
      <c r="B32" s="57" t="s">
        <v>117</v>
      </c>
      <c r="C32" s="57">
        <v>7190</v>
      </c>
      <c r="D32" s="57" t="s">
        <v>472</v>
      </c>
      <c r="E32" s="57" t="s">
        <v>525</v>
      </c>
      <c r="F32" s="57" t="s">
        <v>198</v>
      </c>
      <c r="G32" s="57" t="s">
        <v>584</v>
      </c>
      <c r="H32" s="58">
        <v>45513</v>
      </c>
      <c r="I32" s="57" t="s">
        <v>168</v>
      </c>
      <c r="J32" s="57" t="s">
        <v>10</v>
      </c>
    </row>
    <row r="33" spans="1:38" x14ac:dyDescent="0.35">
      <c r="A33" s="57">
        <v>7068</v>
      </c>
      <c r="B33" s="57" t="s">
        <v>421</v>
      </c>
      <c r="C33" s="57">
        <v>7315</v>
      </c>
      <c r="D33" s="57" t="s">
        <v>473</v>
      </c>
      <c r="E33" s="57" t="s">
        <v>526</v>
      </c>
      <c r="F33" s="57" t="s">
        <v>198</v>
      </c>
      <c r="G33" s="57" t="s">
        <v>584</v>
      </c>
      <c r="H33" s="58">
        <v>45513</v>
      </c>
      <c r="I33" s="57" t="s">
        <v>73</v>
      </c>
      <c r="J33" s="57" t="s">
        <v>32</v>
      </c>
    </row>
    <row r="34" spans="1:38" x14ac:dyDescent="0.35">
      <c r="A34" s="57">
        <v>7576</v>
      </c>
      <c r="B34" s="57" t="s">
        <v>422</v>
      </c>
      <c r="C34" s="57">
        <v>7315</v>
      </c>
      <c r="D34" s="57" t="s">
        <v>473</v>
      </c>
      <c r="E34" s="57" t="s">
        <v>527</v>
      </c>
      <c r="F34" s="57" t="s">
        <v>198</v>
      </c>
      <c r="G34" s="57" t="s">
        <v>584</v>
      </c>
      <c r="H34" s="58">
        <v>45513</v>
      </c>
      <c r="I34" s="57" t="s">
        <v>73</v>
      </c>
      <c r="J34" s="57" t="s">
        <v>32</v>
      </c>
    </row>
    <row r="35" spans="1:38" x14ac:dyDescent="0.35">
      <c r="A35" s="57">
        <v>7576</v>
      </c>
      <c r="B35" s="57" t="s">
        <v>422</v>
      </c>
      <c r="C35" s="57">
        <v>5495</v>
      </c>
      <c r="D35" s="57" t="s">
        <v>461</v>
      </c>
      <c r="E35" s="57" t="s">
        <v>528</v>
      </c>
      <c r="F35" s="57" t="s">
        <v>198</v>
      </c>
      <c r="G35" s="57" t="s">
        <v>584</v>
      </c>
      <c r="H35" s="58">
        <v>45513</v>
      </c>
      <c r="I35" s="57" t="s">
        <v>73</v>
      </c>
      <c r="J35" s="57" t="s">
        <v>32</v>
      </c>
    </row>
    <row r="36" spans="1:38" x14ac:dyDescent="0.35">
      <c r="A36" s="57">
        <v>3447</v>
      </c>
      <c r="B36" s="57" t="s">
        <v>179</v>
      </c>
      <c r="C36" s="57">
        <v>2826</v>
      </c>
      <c r="D36" s="57" t="s">
        <v>169</v>
      </c>
      <c r="E36" s="57" t="s">
        <v>529</v>
      </c>
      <c r="F36" s="57" t="s">
        <v>198</v>
      </c>
      <c r="G36" s="57" t="s">
        <v>584</v>
      </c>
      <c r="H36" s="58">
        <v>45513</v>
      </c>
      <c r="I36" s="57" t="s">
        <v>9</v>
      </c>
      <c r="J36" s="57" t="s">
        <v>54</v>
      </c>
    </row>
    <row r="37" spans="1:38" x14ac:dyDescent="0.35">
      <c r="A37" s="57">
        <v>7816</v>
      </c>
      <c r="B37" s="57" t="s">
        <v>423</v>
      </c>
      <c r="C37" s="57">
        <v>6481</v>
      </c>
      <c r="D37" s="57" t="s">
        <v>126</v>
      </c>
      <c r="E37" s="57" t="s">
        <v>530</v>
      </c>
      <c r="F37" s="57" t="s">
        <v>198</v>
      </c>
      <c r="G37" s="57" t="s">
        <v>584</v>
      </c>
      <c r="H37" s="58">
        <v>45513</v>
      </c>
      <c r="I37" s="57" t="s">
        <v>21</v>
      </c>
      <c r="J37" s="57" t="s">
        <v>10</v>
      </c>
    </row>
    <row r="38" spans="1:38" s="13" customFormat="1" x14ac:dyDescent="0.35">
      <c r="A38" s="57">
        <v>7804</v>
      </c>
      <c r="B38" s="57" t="s">
        <v>270</v>
      </c>
      <c r="C38" s="57">
        <v>296</v>
      </c>
      <c r="D38" s="57" t="s">
        <v>474</v>
      </c>
      <c r="E38" s="57" t="s">
        <v>531</v>
      </c>
      <c r="F38" s="57" t="s">
        <v>198</v>
      </c>
      <c r="G38" s="57" t="s">
        <v>584</v>
      </c>
      <c r="H38" s="58">
        <v>45513</v>
      </c>
      <c r="I38" s="57" t="s">
        <v>24</v>
      </c>
      <c r="J38" s="57" t="s">
        <v>10</v>
      </c>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row>
    <row r="39" spans="1:38" s="13" customFormat="1" x14ac:dyDescent="0.35">
      <c r="A39" s="57">
        <v>6593</v>
      </c>
      <c r="B39" s="57" t="s">
        <v>128</v>
      </c>
      <c r="C39" s="57">
        <v>296</v>
      </c>
      <c r="D39" s="57" t="s">
        <v>474</v>
      </c>
      <c r="E39" s="57" t="s">
        <v>532</v>
      </c>
      <c r="F39" s="57" t="s">
        <v>198</v>
      </c>
      <c r="G39" s="57" t="s">
        <v>584</v>
      </c>
      <c r="H39" s="58">
        <v>45513</v>
      </c>
      <c r="I39" s="57" t="s">
        <v>24</v>
      </c>
      <c r="J39" s="57" t="s">
        <v>54</v>
      </c>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row>
    <row r="40" spans="1:38" x14ac:dyDescent="0.35">
      <c r="A40" s="57">
        <v>7390</v>
      </c>
      <c r="B40" s="57" t="s">
        <v>424</v>
      </c>
      <c r="C40" s="57">
        <v>3978</v>
      </c>
      <c r="D40" s="57" t="s">
        <v>475</v>
      </c>
      <c r="E40" s="57" t="s">
        <v>533</v>
      </c>
      <c r="F40" s="57" t="s">
        <v>198</v>
      </c>
      <c r="G40" s="57" t="s">
        <v>584</v>
      </c>
      <c r="H40" s="58">
        <v>45513</v>
      </c>
      <c r="I40" s="57" t="s">
        <v>53</v>
      </c>
      <c r="J40" s="57" t="s">
        <v>32</v>
      </c>
    </row>
    <row r="41" spans="1:38" x14ac:dyDescent="0.35">
      <c r="A41" s="57">
        <v>7292</v>
      </c>
      <c r="B41" s="57" t="s">
        <v>259</v>
      </c>
      <c r="C41" s="57">
        <v>1908</v>
      </c>
      <c r="D41" s="57" t="s">
        <v>368</v>
      </c>
      <c r="E41" s="57" t="s">
        <v>534</v>
      </c>
      <c r="F41" s="57" t="s">
        <v>198</v>
      </c>
      <c r="G41" s="57" t="s">
        <v>584</v>
      </c>
      <c r="H41" s="58">
        <v>45512</v>
      </c>
      <c r="I41" s="57" t="s">
        <v>35</v>
      </c>
      <c r="J41" s="57" t="s">
        <v>32</v>
      </c>
    </row>
    <row r="42" spans="1:38" x14ac:dyDescent="0.35">
      <c r="A42" s="57">
        <v>2736</v>
      </c>
      <c r="B42" s="57" t="s">
        <v>425</v>
      </c>
      <c r="C42" s="57">
        <v>1313</v>
      </c>
      <c r="D42" s="57" t="s">
        <v>61</v>
      </c>
      <c r="E42" s="57" t="s">
        <v>535</v>
      </c>
      <c r="F42" s="57" t="s">
        <v>198</v>
      </c>
      <c r="G42" s="57" t="s">
        <v>584</v>
      </c>
      <c r="H42" s="58">
        <v>45512</v>
      </c>
      <c r="I42" s="57" t="s">
        <v>53</v>
      </c>
      <c r="J42" s="57" t="s">
        <v>54</v>
      </c>
    </row>
    <row r="43" spans="1:38" x14ac:dyDescent="0.35">
      <c r="A43" s="57">
        <v>6586</v>
      </c>
      <c r="B43" s="57" t="s">
        <v>426</v>
      </c>
      <c r="C43" s="57">
        <v>5252</v>
      </c>
      <c r="D43" s="57" t="s">
        <v>476</v>
      </c>
      <c r="E43" s="57" t="s">
        <v>536</v>
      </c>
      <c r="F43" s="57" t="s">
        <v>198</v>
      </c>
      <c r="G43" s="57" t="s">
        <v>584</v>
      </c>
      <c r="H43" s="58">
        <v>45512</v>
      </c>
      <c r="I43" s="57" t="s">
        <v>9</v>
      </c>
      <c r="J43" s="57" t="s">
        <v>10</v>
      </c>
    </row>
    <row r="44" spans="1:38" x14ac:dyDescent="0.35">
      <c r="A44" s="57">
        <v>7099</v>
      </c>
      <c r="B44" s="57" t="s">
        <v>427</v>
      </c>
      <c r="C44" s="57">
        <v>7049</v>
      </c>
      <c r="D44" s="57" t="s">
        <v>477</v>
      </c>
      <c r="E44" s="57" t="s">
        <v>537</v>
      </c>
      <c r="F44" s="57" t="s">
        <v>198</v>
      </c>
      <c r="G44" s="57" t="s">
        <v>584</v>
      </c>
      <c r="H44" s="58">
        <v>45512</v>
      </c>
      <c r="I44" s="57" t="s">
        <v>35</v>
      </c>
      <c r="J44" s="57" t="s">
        <v>32</v>
      </c>
    </row>
    <row r="45" spans="1:38" x14ac:dyDescent="0.35">
      <c r="A45" s="57">
        <v>4416</v>
      </c>
      <c r="B45" s="57" t="s">
        <v>269</v>
      </c>
      <c r="C45" s="57">
        <v>1626</v>
      </c>
      <c r="D45" s="57" t="s">
        <v>478</v>
      </c>
      <c r="E45" s="57" t="s">
        <v>538</v>
      </c>
      <c r="F45" s="57" t="s">
        <v>198</v>
      </c>
      <c r="G45" s="57" t="s">
        <v>584</v>
      </c>
      <c r="H45" s="58">
        <v>45512</v>
      </c>
      <c r="I45" s="57" t="s">
        <v>35</v>
      </c>
      <c r="J45" s="57" t="s">
        <v>32</v>
      </c>
    </row>
    <row r="46" spans="1:38" x14ac:dyDescent="0.35">
      <c r="A46" s="57">
        <v>1313</v>
      </c>
      <c r="B46" s="57" t="s">
        <v>61</v>
      </c>
      <c r="C46" s="57">
        <v>7227</v>
      </c>
      <c r="D46" s="57" t="s">
        <v>479</v>
      </c>
      <c r="E46" s="57" t="s">
        <v>539</v>
      </c>
      <c r="F46" s="57" t="s">
        <v>198</v>
      </c>
      <c r="G46" s="57" t="s">
        <v>584</v>
      </c>
      <c r="H46" s="58">
        <v>45511</v>
      </c>
      <c r="I46" s="57" t="s">
        <v>53</v>
      </c>
      <c r="J46" s="57" t="s">
        <v>54</v>
      </c>
    </row>
    <row r="47" spans="1:38" x14ac:dyDescent="0.35">
      <c r="A47" s="57">
        <v>4853</v>
      </c>
      <c r="B47" s="57" t="s">
        <v>428</v>
      </c>
      <c r="C47" s="57">
        <v>66</v>
      </c>
      <c r="D47" s="57" t="s">
        <v>480</v>
      </c>
      <c r="E47" s="57" t="s">
        <v>540</v>
      </c>
      <c r="F47" s="57" t="s">
        <v>198</v>
      </c>
      <c r="G47" s="57" t="s">
        <v>584</v>
      </c>
      <c r="H47" s="58">
        <v>45510</v>
      </c>
      <c r="I47" s="57" t="s">
        <v>395</v>
      </c>
      <c r="J47" s="57" t="s">
        <v>32</v>
      </c>
    </row>
    <row r="48" spans="1:38" x14ac:dyDescent="0.35">
      <c r="A48" s="57">
        <v>7244</v>
      </c>
      <c r="B48" s="57" t="s">
        <v>429</v>
      </c>
      <c r="C48" s="57">
        <v>7580</v>
      </c>
      <c r="D48" s="57" t="s">
        <v>366</v>
      </c>
      <c r="E48" s="57" t="s">
        <v>541</v>
      </c>
      <c r="F48" s="57" t="s">
        <v>107</v>
      </c>
      <c r="G48" s="57" t="s">
        <v>584</v>
      </c>
      <c r="H48" s="58">
        <v>45504</v>
      </c>
      <c r="I48" s="57" t="s">
        <v>249</v>
      </c>
      <c r="J48" s="57" t="s">
        <v>10</v>
      </c>
      <c r="K48"/>
      <c r="L48"/>
      <c r="M48"/>
      <c r="N48"/>
      <c r="O48"/>
      <c r="P48"/>
      <c r="Q48"/>
      <c r="R48"/>
      <c r="S48"/>
      <c r="T48"/>
      <c r="U48"/>
      <c r="V48"/>
      <c r="W48"/>
      <c r="X48"/>
      <c r="Y48"/>
      <c r="Z48"/>
      <c r="AA48"/>
      <c r="AB48"/>
      <c r="AC48"/>
      <c r="AD48"/>
      <c r="AE48"/>
      <c r="AF48"/>
      <c r="AG48"/>
      <c r="AH48"/>
      <c r="AI48"/>
      <c r="AJ48"/>
      <c r="AK48"/>
      <c r="AL48"/>
    </row>
    <row r="49" spans="1:10" customFormat="1" x14ac:dyDescent="0.35">
      <c r="A49" s="57">
        <v>6806</v>
      </c>
      <c r="B49" s="57" t="s">
        <v>430</v>
      </c>
      <c r="C49" s="57">
        <v>3469</v>
      </c>
      <c r="D49" s="57" t="s">
        <v>459</v>
      </c>
      <c r="E49" s="57" t="s">
        <v>542</v>
      </c>
      <c r="F49" s="57" t="s">
        <v>107</v>
      </c>
      <c r="G49" s="57" t="s">
        <v>584</v>
      </c>
      <c r="H49" s="58">
        <v>45503</v>
      </c>
      <c r="I49" s="57" t="s">
        <v>249</v>
      </c>
      <c r="J49" s="57" t="s">
        <v>10</v>
      </c>
    </row>
    <row r="50" spans="1:10" customFormat="1" x14ac:dyDescent="0.35">
      <c r="A50" s="57">
        <v>7352</v>
      </c>
      <c r="B50" s="57" t="s">
        <v>431</v>
      </c>
      <c r="C50" s="57">
        <v>2815</v>
      </c>
      <c r="D50" s="57" t="s">
        <v>123</v>
      </c>
      <c r="E50" s="57" t="s">
        <v>543</v>
      </c>
      <c r="F50" s="57" t="s">
        <v>1516</v>
      </c>
      <c r="G50" s="57" t="s">
        <v>584</v>
      </c>
      <c r="H50" s="58">
        <v>45503</v>
      </c>
      <c r="I50" s="57" t="s">
        <v>73</v>
      </c>
      <c r="J50" s="57" t="s">
        <v>74</v>
      </c>
    </row>
    <row r="51" spans="1:10" customFormat="1" x14ac:dyDescent="0.35">
      <c r="A51" s="57">
        <v>7369</v>
      </c>
      <c r="B51" s="57" t="s">
        <v>432</v>
      </c>
      <c r="C51" s="57">
        <v>7445</v>
      </c>
      <c r="D51" s="57" t="s">
        <v>118</v>
      </c>
      <c r="E51" s="57" t="s">
        <v>544</v>
      </c>
      <c r="F51" s="57" t="s">
        <v>1516</v>
      </c>
      <c r="G51" s="57" t="s">
        <v>584</v>
      </c>
      <c r="H51" s="58">
        <v>45503</v>
      </c>
      <c r="I51" s="57" t="s">
        <v>73</v>
      </c>
      <c r="J51" s="57" t="s">
        <v>74</v>
      </c>
    </row>
    <row r="52" spans="1:10" customFormat="1" x14ac:dyDescent="0.35">
      <c r="A52" s="57">
        <v>7635</v>
      </c>
      <c r="B52" s="57" t="s">
        <v>76</v>
      </c>
      <c r="C52" s="57">
        <v>7445</v>
      </c>
      <c r="D52" s="57" t="s">
        <v>118</v>
      </c>
      <c r="E52" s="57" t="s">
        <v>545</v>
      </c>
      <c r="F52" s="57" t="s">
        <v>1516</v>
      </c>
      <c r="G52" s="57" t="s">
        <v>584</v>
      </c>
      <c r="H52" s="58">
        <v>45503</v>
      </c>
      <c r="I52" s="57" t="s">
        <v>73</v>
      </c>
      <c r="J52" s="57" t="s">
        <v>74</v>
      </c>
    </row>
    <row r="53" spans="1:10" customFormat="1" x14ac:dyDescent="0.35">
      <c r="A53" s="57">
        <v>6745</v>
      </c>
      <c r="B53" s="57" t="s">
        <v>75</v>
      </c>
      <c r="C53" s="57">
        <v>7445</v>
      </c>
      <c r="D53" s="57" t="s">
        <v>118</v>
      </c>
      <c r="E53" s="57" t="s">
        <v>546</v>
      </c>
      <c r="F53" s="57" t="s">
        <v>1516</v>
      </c>
      <c r="G53" s="57" t="s">
        <v>584</v>
      </c>
      <c r="H53" s="58">
        <v>45503</v>
      </c>
      <c r="I53" s="57" t="s">
        <v>73</v>
      </c>
      <c r="J53" s="57" t="s">
        <v>74</v>
      </c>
    </row>
    <row r="54" spans="1:10" customFormat="1" x14ac:dyDescent="0.35">
      <c r="A54" s="57">
        <v>7683</v>
      </c>
      <c r="B54" s="57" t="s">
        <v>433</v>
      </c>
      <c r="C54" s="57">
        <v>4222</v>
      </c>
      <c r="D54" s="57" t="s">
        <v>481</v>
      </c>
      <c r="E54" s="57" t="s">
        <v>547</v>
      </c>
      <c r="F54" s="57" t="s">
        <v>1516</v>
      </c>
      <c r="G54" s="57" t="s">
        <v>584</v>
      </c>
      <c r="H54" s="58">
        <v>45503</v>
      </c>
      <c r="I54" s="57" t="s">
        <v>73</v>
      </c>
      <c r="J54" s="57" t="s">
        <v>54</v>
      </c>
    </row>
    <row r="55" spans="1:10" customFormat="1" x14ac:dyDescent="0.35">
      <c r="A55" s="57">
        <v>6443</v>
      </c>
      <c r="B55" s="57" t="s">
        <v>434</v>
      </c>
      <c r="C55" s="57">
        <v>2815</v>
      </c>
      <c r="D55" s="57" t="s">
        <v>123</v>
      </c>
      <c r="E55" s="57" t="s">
        <v>548</v>
      </c>
      <c r="F55" s="57" t="s">
        <v>1516</v>
      </c>
      <c r="G55" s="57" t="s">
        <v>584</v>
      </c>
      <c r="H55" s="58">
        <v>45503</v>
      </c>
      <c r="I55" s="57" t="s">
        <v>73</v>
      </c>
      <c r="J55" s="57" t="s">
        <v>74</v>
      </c>
    </row>
    <row r="56" spans="1:10" customFormat="1" x14ac:dyDescent="0.35">
      <c r="A56" s="57">
        <v>5373</v>
      </c>
      <c r="B56" s="57" t="s">
        <v>435</v>
      </c>
      <c r="C56" s="57">
        <v>1458</v>
      </c>
      <c r="D56" s="57" t="s">
        <v>278</v>
      </c>
      <c r="E56" s="57" t="s">
        <v>549</v>
      </c>
      <c r="F56" s="57" t="s">
        <v>1516</v>
      </c>
      <c r="G56" s="57" t="s">
        <v>584</v>
      </c>
      <c r="H56" s="58">
        <v>45503</v>
      </c>
      <c r="I56" s="57" t="s">
        <v>40</v>
      </c>
      <c r="J56" s="57" t="s">
        <v>251</v>
      </c>
    </row>
    <row r="57" spans="1:10" customFormat="1" x14ac:dyDescent="0.35">
      <c r="A57" s="57">
        <v>7656</v>
      </c>
      <c r="B57" s="57" t="s">
        <v>25</v>
      </c>
      <c r="C57" s="57">
        <v>7807</v>
      </c>
      <c r="D57" s="57" t="s">
        <v>458</v>
      </c>
      <c r="E57" s="57" t="s">
        <v>550</v>
      </c>
      <c r="F57" s="57" t="s">
        <v>107</v>
      </c>
      <c r="G57" s="57" t="s">
        <v>584</v>
      </c>
      <c r="H57" s="58">
        <v>45503</v>
      </c>
      <c r="I57" s="57" t="s">
        <v>21</v>
      </c>
      <c r="J57" s="57" t="s">
        <v>10</v>
      </c>
    </row>
    <row r="58" spans="1:10" customFormat="1" x14ac:dyDescent="0.35">
      <c r="A58" s="57">
        <v>6388</v>
      </c>
      <c r="B58" s="57" t="s">
        <v>436</v>
      </c>
      <c r="C58" s="57">
        <v>7690</v>
      </c>
      <c r="D58" s="57" t="s">
        <v>359</v>
      </c>
      <c r="E58" s="57" t="s">
        <v>551</v>
      </c>
      <c r="F58" s="57" t="s">
        <v>107</v>
      </c>
      <c r="G58" s="57" t="s">
        <v>584</v>
      </c>
      <c r="H58" s="58">
        <v>45503</v>
      </c>
      <c r="I58" s="57" t="s">
        <v>21</v>
      </c>
      <c r="J58" s="57" t="s">
        <v>10</v>
      </c>
    </row>
    <row r="59" spans="1:10" customFormat="1" x14ac:dyDescent="0.35">
      <c r="A59" s="57">
        <v>7811</v>
      </c>
      <c r="B59" s="57" t="s">
        <v>355</v>
      </c>
      <c r="C59" s="57">
        <v>6481</v>
      </c>
      <c r="D59" s="57" t="s">
        <v>126</v>
      </c>
      <c r="E59" s="57" t="s">
        <v>552</v>
      </c>
      <c r="F59" s="57" t="s">
        <v>107</v>
      </c>
      <c r="G59" s="57" t="s">
        <v>584</v>
      </c>
      <c r="H59" s="58">
        <v>45503</v>
      </c>
      <c r="I59" s="57" t="s">
        <v>21</v>
      </c>
      <c r="J59" s="57" t="s">
        <v>10</v>
      </c>
    </row>
    <row r="60" spans="1:10" customFormat="1" x14ac:dyDescent="0.35">
      <c r="A60" s="57">
        <v>4010</v>
      </c>
      <c r="B60" s="57" t="s">
        <v>437</v>
      </c>
      <c r="C60" s="57">
        <v>6988</v>
      </c>
      <c r="D60" s="57" t="s">
        <v>482</v>
      </c>
      <c r="E60" s="57" t="s">
        <v>553</v>
      </c>
      <c r="F60" s="57" t="s">
        <v>107</v>
      </c>
      <c r="G60" s="57" t="s">
        <v>584</v>
      </c>
      <c r="H60" s="58">
        <v>45503</v>
      </c>
      <c r="I60" s="57" t="s">
        <v>9</v>
      </c>
      <c r="J60" s="57" t="s">
        <v>54</v>
      </c>
    </row>
    <row r="61" spans="1:10" customFormat="1" x14ac:dyDescent="0.35">
      <c r="A61" s="57">
        <v>5766</v>
      </c>
      <c r="B61" s="57" t="s">
        <v>438</v>
      </c>
      <c r="C61" s="57">
        <v>6435</v>
      </c>
      <c r="D61" s="57" t="s">
        <v>471</v>
      </c>
      <c r="E61" s="57" t="s">
        <v>554</v>
      </c>
      <c r="F61" s="57" t="s">
        <v>107</v>
      </c>
      <c r="G61" s="57" t="s">
        <v>584</v>
      </c>
      <c r="H61" s="58">
        <v>45503</v>
      </c>
      <c r="I61" s="57" t="s">
        <v>9</v>
      </c>
      <c r="J61" s="57" t="s">
        <v>54</v>
      </c>
    </row>
    <row r="62" spans="1:10" customFormat="1" x14ac:dyDescent="0.35">
      <c r="A62" s="57">
        <v>6541</v>
      </c>
      <c r="B62" s="57" t="s">
        <v>439</v>
      </c>
      <c r="C62" s="57">
        <v>1313</v>
      </c>
      <c r="D62" s="57" t="s">
        <v>61</v>
      </c>
      <c r="E62" s="57" t="s">
        <v>555</v>
      </c>
      <c r="F62" s="57" t="s">
        <v>107</v>
      </c>
      <c r="G62" s="57" t="s">
        <v>584</v>
      </c>
      <c r="H62" s="58">
        <v>45503</v>
      </c>
      <c r="I62" s="57" t="s">
        <v>53</v>
      </c>
      <c r="J62" s="57" t="s">
        <v>54</v>
      </c>
    </row>
    <row r="63" spans="1:10" customFormat="1" x14ac:dyDescent="0.35">
      <c r="A63" s="57">
        <v>7640</v>
      </c>
      <c r="B63" s="57" t="s">
        <v>6</v>
      </c>
      <c r="C63" s="57">
        <v>5780</v>
      </c>
      <c r="D63" s="57" t="s">
        <v>483</v>
      </c>
      <c r="E63" s="57" t="s">
        <v>556</v>
      </c>
      <c r="F63" s="57" t="s">
        <v>107</v>
      </c>
      <c r="G63" s="57" t="s">
        <v>584</v>
      </c>
      <c r="H63" s="58">
        <v>45503</v>
      </c>
      <c r="I63" s="57" t="s">
        <v>9</v>
      </c>
      <c r="J63" s="57" t="s">
        <v>10</v>
      </c>
    </row>
    <row r="64" spans="1:10" customFormat="1" x14ac:dyDescent="0.35">
      <c r="A64" s="57">
        <v>3941</v>
      </c>
      <c r="B64" s="57" t="s">
        <v>441</v>
      </c>
      <c r="C64" s="57">
        <v>4150</v>
      </c>
      <c r="D64" s="57" t="s">
        <v>485</v>
      </c>
      <c r="E64" s="57" t="s">
        <v>557</v>
      </c>
      <c r="F64" s="57" t="s">
        <v>107</v>
      </c>
      <c r="G64" s="57" t="s">
        <v>584</v>
      </c>
      <c r="H64" s="58">
        <v>45503</v>
      </c>
      <c r="I64" s="57" t="s">
        <v>40</v>
      </c>
      <c r="J64" s="57" t="s">
        <v>32</v>
      </c>
    </row>
    <row r="65" spans="1:10" customFormat="1" x14ac:dyDescent="0.35">
      <c r="A65" s="57">
        <v>5782</v>
      </c>
      <c r="B65" s="57" t="s">
        <v>442</v>
      </c>
      <c r="C65" s="57">
        <v>4150</v>
      </c>
      <c r="D65" s="57" t="s">
        <v>485</v>
      </c>
      <c r="E65" s="57" t="s">
        <v>558</v>
      </c>
      <c r="F65" s="57" t="s">
        <v>107</v>
      </c>
      <c r="G65" s="57" t="s">
        <v>584</v>
      </c>
      <c r="H65" s="58">
        <v>45503</v>
      </c>
      <c r="I65" s="57" t="s">
        <v>40</v>
      </c>
      <c r="J65" s="57" t="s">
        <v>54</v>
      </c>
    </row>
    <row r="66" spans="1:10" customFormat="1" x14ac:dyDescent="0.35">
      <c r="A66" s="57">
        <v>7474</v>
      </c>
      <c r="B66" s="57" t="s">
        <v>443</v>
      </c>
      <c r="C66" s="57">
        <v>7804</v>
      </c>
      <c r="D66" s="57" t="s">
        <v>270</v>
      </c>
      <c r="E66" s="57" t="s">
        <v>559</v>
      </c>
      <c r="F66" s="57" t="s">
        <v>107</v>
      </c>
      <c r="G66" s="57" t="s">
        <v>584</v>
      </c>
      <c r="H66" s="58">
        <v>45503</v>
      </c>
      <c r="I66" s="57" t="s">
        <v>24</v>
      </c>
      <c r="J66" s="57" t="s">
        <v>10</v>
      </c>
    </row>
    <row r="67" spans="1:10" customFormat="1" x14ac:dyDescent="0.35">
      <c r="A67" s="57">
        <v>5254</v>
      </c>
      <c r="B67" s="57" t="s">
        <v>444</v>
      </c>
      <c r="C67" s="57">
        <v>1778</v>
      </c>
      <c r="D67" s="57" t="s">
        <v>486</v>
      </c>
      <c r="E67" s="57" t="s">
        <v>560</v>
      </c>
      <c r="F67" s="57" t="s">
        <v>107</v>
      </c>
      <c r="G67" s="57" t="s">
        <v>584</v>
      </c>
      <c r="H67" s="58">
        <v>45503</v>
      </c>
      <c r="I67" s="57" t="s">
        <v>24</v>
      </c>
      <c r="J67" s="57" t="s">
        <v>10</v>
      </c>
    </row>
    <row r="68" spans="1:10" customFormat="1" x14ac:dyDescent="0.35">
      <c r="A68" s="57">
        <v>7029</v>
      </c>
      <c r="B68" s="57" t="s">
        <v>171</v>
      </c>
      <c r="C68" s="57">
        <v>7400</v>
      </c>
      <c r="D68" s="57" t="s">
        <v>487</v>
      </c>
      <c r="E68" s="57" t="s">
        <v>561</v>
      </c>
      <c r="F68" s="57" t="s">
        <v>107</v>
      </c>
      <c r="G68" s="57" t="s">
        <v>584</v>
      </c>
      <c r="H68" s="58">
        <v>45503</v>
      </c>
      <c r="I68" s="57" t="s">
        <v>53</v>
      </c>
      <c r="J68" s="57" t="s">
        <v>54</v>
      </c>
    </row>
    <row r="69" spans="1:10" customFormat="1" x14ac:dyDescent="0.35">
      <c r="A69" s="57">
        <v>6721</v>
      </c>
      <c r="B69" s="57" t="s">
        <v>170</v>
      </c>
      <c r="C69" s="57">
        <v>7400</v>
      </c>
      <c r="D69" s="57" t="s">
        <v>487</v>
      </c>
      <c r="E69" s="57" t="s">
        <v>562</v>
      </c>
      <c r="F69" s="57" t="s">
        <v>107</v>
      </c>
      <c r="G69" s="57" t="s">
        <v>584</v>
      </c>
      <c r="H69" s="58">
        <v>45503</v>
      </c>
      <c r="I69" s="57" t="s">
        <v>53</v>
      </c>
      <c r="J69" s="57" t="s">
        <v>54</v>
      </c>
    </row>
    <row r="70" spans="1:10" customFormat="1" x14ac:dyDescent="0.35">
      <c r="A70" s="57">
        <v>3834</v>
      </c>
      <c r="B70" s="57" t="s">
        <v>445</v>
      </c>
      <c r="C70" s="57">
        <v>3009</v>
      </c>
      <c r="D70" s="57" t="s">
        <v>488</v>
      </c>
      <c r="E70" s="57" t="s">
        <v>563</v>
      </c>
      <c r="F70" s="57" t="s">
        <v>1516</v>
      </c>
      <c r="G70" s="57" t="s">
        <v>584</v>
      </c>
      <c r="H70" s="58">
        <v>45503</v>
      </c>
      <c r="I70" s="57" t="s">
        <v>40</v>
      </c>
      <c r="J70" s="57" t="s">
        <v>74</v>
      </c>
    </row>
    <row r="71" spans="1:10" customFormat="1" x14ac:dyDescent="0.35">
      <c r="A71" s="57">
        <v>7438</v>
      </c>
      <c r="B71" s="57" t="s">
        <v>446</v>
      </c>
      <c r="C71" s="57">
        <v>3009</v>
      </c>
      <c r="D71" s="57" t="s">
        <v>488</v>
      </c>
      <c r="E71" s="57" t="s">
        <v>564</v>
      </c>
      <c r="F71" s="57" t="s">
        <v>1516</v>
      </c>
      <c r="G71" s="57" t="s">
        <v>584</v>
      </c>
      <c r="H71" s="58">
        <v>45503</v>
      </c>
      <c r="I71" s="57" t="s">
        <v>40</v>
      </c>
      <c r="J71" s="57" t="s">
        <v>74</v>
      </c>
    </row>
    <row r="72" spans="1:10" customFormat="1" x14ac:dyDescent="0.35">
      <c r="A72" s="57">
        <v>7339</v>
      </c>
      <c r="B72" s="57" t="s">
        <v>447</v>
      </c>
      <c r="C72" s="57">
        <v>6638</v>
      </c>
      <c r="D72" s="57" t="s">
        <v>371</v>
      </c>
      <c r="E72" s="57" t="s">
        <v>565</v>
      </c>
      <c r="F72" s="59" t="s">
        <v>107</v>
      </c>
      <c r="G72" s="57" t="s">
        <v>584</v>
      </c>
      <c r="H72" s="58">
        <v>45503</v>
      </c>
      <c r="I72" s="57" t="s">
        <v>9</v>
      </c>
      <c r="J72" s="57" t="s">
        <v>10</v>
      </c>
    </row>
    <row r="73" spans="1:10" customFormat="1" x14ac:dyDescent="0.35">
      <c r="A73" s="57">
        <v>7656</v>
      </c>
      <c r="B73" s="57" t="s">
        <v>25</v>
      </c>
      <c r="C73" s="57">
        <v>7807</v>
      </c>
      <c r="D73" s="57" t="s">
        <v>458</v>
      </c>
      <c r="E73" s="57" t="s">
        <v>566</v>
      </c>
      <c r="F73" s="59" t="s">
        <v>107</v>
      </c>
      <c r="G73" s="57" t="s">
        <v>584</v>
      </c>
      <c r="H73" s="58">
        <v>45496</v>
      </c>
      <c r="I73" s="57" t="s">
        <v>21</v>
      </c>
      <c r="J73" s="57" t="s">
        <v>10</v>
      </c>
    </row>
    <row r="74" spans="1:10" customFormat="1" x14ac:dyDescent="0.35">
      <c r="A74" s="57">
        <v>6388</v>
      </c>
      <c r="B74" s="57" t="s">
        <v>436</v>
      </c>
      <c r="C74" s="57">
        <v>7690</v>
      </c>
      <c r="D74" s="57" t="s">
        <v>359</v>
      </c>
      <c r="E74" s="57" t="s">
        <v>567</v>
      </c>
      <c r="F74" s="59" t="s">
        <v>107</v>
      </c>
      <c r="G74" s="57" t="s">
        <v>584</v>
      </c>
      <c r="H74" s="58">
        <v>45496</v>
      </c>
      <c r="I74" s="57" t="s">
        <v>21</v>
      </c>
      <c r="J74" s="57" t="s">
        <v>10</v>
      </c>
    </row>
    <row r="75" spans="1:10" customFormat="1" x14ac:dyDescent="0.35">
      <c r="A75" s="57">
        <v>7811</v>
      </c>
      <c r="B75" s="57" t="s">
        <v>355</v>
      </c>
      <c r="C75" s="57">
        <v>6481</v>
      </c>
      <c r="D75" s="57" t="s">
        <v>126</v>
      </c>
      <c r="E75" s="57" t="s">
        <v>552</v>
      </c>
      <c r="F75" s="59" t="s">
        <v>107</v>
      </c>
      <c r="G75" s="57" t="s">
        <v>584</v>
      </c>
      <c r="H75" s="58">
        <v>45496</v>
      </c>
      <c r="I75" s="57" t="s">
        <v>21</v>
      </c>
      <c r="J75" s="57" t="s">
        <v>10</v>
      </c>
    </row>
    <row r="76" spans="1:10" customFormat="1" x14ac:dyDescent="0.35">
      <c r="A76" s="57">
        <v>4010</v>
      </c>
      <c r="B76" s="57" t="s">
        <v>437</v>
      </c>
      <c r="C76" s="57">
        <v>6988</v>
      </c>
      <c r="D76" s="57" t="s">
        <v>482</v>
      </c>
      <c r="E76" s="57" t="s">
        <v>568</v>
      </c>
      <c r="F76" s="59" t="s">
        <v>107</v>
      </c>
      <c r="G76" s="57" t="s">
        <v>584</v>
      </c>
      <c r="H76" s="58">
        <v>45496</v>
      </c>
      <c r="I76" s="57" t="s">
        <v>9</v>
      </c>
      <c r="J76" s="57" t="s">
        <v>54</v>
      </c>
    </row>
    <row r="77" spans="1:10" customFormat="1" x14ac:dyDescent="0.35">
      <c r="A77" s="57">
        <v>5766</v>
      </c>
      <c r="B77" s="57" t="s">
        <v>438</v>
      </c>
      <c r="C77" s="57">
        <v>6435</v>
      </c>
      <c r="D77" s="57" t="s">
        <v>471</v>
      </c>
      <c r="E77" s="57" t="s">
        <v>569</v>
      </c>
      <c r="F77" s="59" t="s">
        <v>107</v>
      </c>
      <c r="G77" s="57" t="s">
        <v>584</v>
      </c>
      <c r="H77" s="58">
        <v>45495</v>
      </c>
      <c r="I77" s="57" t="s">
        <v>9</v>
      </c>
      <c r="J77" s="57" t="s">
        <v>54</v>
      </c>
    </row>
    <row r="78" spans="1:10" customFormat="1" x14ac:dyDescent="0.35">
      <c r="A78" s="57">
        <v>7339</v>
      </c>
      <c r="B78" s="57" t="s">
        <v>447</v>
      </c>
      <c r="C78" s="57">
        <v>6638</v>
      </c>
      <c r="D78" s="57" t="s">
        <v>371</v>
      </c>
      <c r="E78" s="57" t="s">
        <v>570</v>
      </c>
      <c r="F78" s="59" t="s">
        <v>107</v>
      </c>
      <c r="G78" s="57" t="s">
        <v>584</v>
      </c>
      <c r="H78" s="58">
        <v>45491</v>
      </c>
      <c r="I78" s="57" t="s">
        <v>9</v>
      </c>
      <c r="J78" s="57" t="s">
        <v>10</v>
      </c>
    </row>
    <row r="79" spans="1:10" customFormat="1" x14ac:dyDescent="0.35">
      <c r="A79" s="57">
        <v>7640</v>
      </c>
      <c r="B79" s="57" t="s">
        <v>6</v>
      </c>
      <c r="C79" s="57">
        <v>5780</v>
      </c>
      <c r="D79" s="57" t="s">
        <v>483</v>
      </c>
      <c r="E79" s="57" t="s">
        <v>571</v>
      </c>
      <c r="F79" s="59" t="s">
        <v>107</v>
      </c>
      <c r="G79" s="57" t="s">
        <v>584</v>
      </c>
      <c r="H79" s="58">
        <v>45491</v>
      </c>
      <c r="I79" s="57" t="s">
        <v>9</v>
      </c>
      <c r="J79" s="57" t="s">
        <v>10</v>
      </c>
    </row>
    <row r="80" spans="1:10" customFormat="1" x14ac:dyDescent="0.35">
      <c r="A80" s="57">
        <v>3949</v>
      </c>
      <c r="B80" s="57" t="s">
        <v>440</v>
      </c>
      <c r="C80" s="57">
        <v>648</v>
      </c>
      <c r="D80" s="57" t="s">
        <v>484</v>
      </c>
      <c r="E80" s="57" t="s">
        <v>572</v>
      </c>
      <c r="F80" s="57" t="s">
        <v>107</v>
      </c>
      <c r="G80" s="57" t="s">
        <v>584</v>
      </c>
      <c r="H80" s="58">
        <v>45491</v>
      </c>
      <c r="I80" s="57" t="s">
        <v>16</v>
      </c>
      <c r="J80" s="57" t="s">
        <v>54</v>
      </c>
    </row>
    <row r="81" spans="1:10" customFormat="1" x14ac:dyDescent="0.35">
      <c r="A81" s="57">
        <v>7642</v>
      </c>
      <c r="B81" s="57" t="s">
        <v>130</v>
      </c>
      <c r="C81" s="57">
        <v>2779</v>
      </c>
      <c r="D81" s="57" t="s">
        <v>489</v>
      </c>
      <c r="E81" s="57" t="s">
        <v>573</v>
      </c>
      <c r="F81" s="57" t="s">
        <v>107</v>
      </c>
      <c r="G81" s="57" t="s">
        <v>584</v>
      </c>
      <c r="H81" s="58">
        <v>45491</v>
      </c>
      <c r="I81" s="57" t="s">
        <v>35</v>
      </c>
      <c r="J81" s="57" t="s">
        <v>32</v>
      </c>
    </row>
    <row r="82" spans="1:10" customFormat="1" x14ac:dyDescent="0.35">
      <c r="A82" s="57">
        <v>6406</v>
      </c>
      <c r="B82" s="57" t="s">
        <v>448</v>
      </c>
      <c r="C82" s="57">
        <v>3411</v>
      </c>
      <c r="D82" s="57" t="s">
        <v>490</v>
      </c>
      <c r="E82" s="57" t="s">
        <v>574</v>
      </c>
      <c r="F82" s="57" t="s">
        <v>1516</v>
      </c>
      <c r="G82" s="57" t="s">
        <v>584</v>
      </c>
      <c r="H82" s="58">
        <v>45393</v>
      </c>
      <c r="I82" s="57" t="s">
        <v>16</v>
      </c>
      <c r="J82" s="57" t="s">
        <v>54</v>
      </c>
    </row>
    <row r="83" spans="1:10" customFormat="1" x14ac:dyDescent="0.35">
      <c r="A83" s="57">
        <v>7590</v>
      </c>
      <c r="B83" s="57" t="s">
        <v>449</v>
      </c>
      <c r="C83" s="57">
        <v>3411</v>
      </c>
      <c r="D83" s="57" t="s">
        <v>490</v>
      </c>
      <c r="E83" s="57" t="s">
        <v>575</v>
      </c>
      <c r="F83" s="57" t="s">
        <v>1516</v>
      </c>
      <c r="G83" s="57" t="s">
        <v>584</v>
      </c>
      <c r="H83" s="58">
        <v>45393</v>
      </c>
      <c r="I83" s="57" t="s">
        <v>16</v>
      </c>
      <c r="J83" s="57" t="s">
        <v>32</v>
      </c>
    </row>
    <row r="84" spans="1:10" customFormat="1" x14ac:dyDescent="0.35">
      <c r="A84" s="57">
        <v>7426</v>
      </c>
      <c r="B84" s="57" t="s">
        <v>19</v>
      </c>
      <c r="C84" s="57">
        <v>7807</v>
      </c>
      <c r="D84" s="57" t="s">
        <v>458</v>
      </c>
      <c r="E84" s="57" t="s">
        <v>576</v>
      </c>
      <c r="F84" s="57" t="s">
        <v>1516</v>
      </c>
      <c r="G84" s="57" t="s">
        <v>584</v>
      </c>
      <c r="H84" s="58">
        <v>45390</v>
      </c>
      <c r="I84" s="57" t="s">
        <v>21</v>
      </c>
      <c r="J84" s="57" t="s">
        <v>10</v>
      </c>
    </row>
    <row r="85" spans="1:10" customFormat="1" x14ac:dyDescent="0.35">
      <c r="A85" s="57">
        <v>6339</v>
      </c>
      <c r="B85" s="57" t="s">
        <v>450</v>
      </c>
      <c r="C85" s="57">
        <v>2720</v>
      </c>
      <c r="D85" s="57" t="s">
        <v>491</v>
      </c>
      <c r="E85" s="57" t="s">
        <v>577</v>
      </c>
      <c r="F85" s="57" t="s">
        <v>1516</v>
      </c>
      <c r="G85" s="57" t="s">
        <v>584</v>
      </c>
      <c r="H85" s="58">
        <v>45387</v>
      </c>
      <c r="I85" s="57" t="s">
        <v>35</v>
      </c>
      <c r="J85" s="57" t="s">
        <v>32</v>
      </c>
    </row>
    <row r="86" spans="1:10" customFormat="1" x14ac:dyDescent="0.35">
      <c r="A86" s="57">
        <v>7056</v>
      </c>
      <c r="B86" s="57" t="s">
        <v>413</v>
      </c>
      <c r="C86" s="57">
        <v>7035</v>
      </c>
      <c r="D86" s="57" t="s">
        <v>361</v>
      </c>
      <c r="E86" s="57" t="s">
        <v>578</v>
      </c>
      <c r="F86" s="57" t="s">
        <v>1516</v>
      </c>
      <c r="G86" s="57" t="s">
        <v>584</v>
      </c>
      <c r="H86" s="58">
        <v>45386</v>
      </c>
      <c r="I86" s="57" t="s">
        <v>35</v>
      </c>
      <c r="J86" s="57" t="s">
        <v>74</v>
      </c>
    </row>
    <row r="87" spans="1:10" customFormat="1" x14ac:dyDescent="0.35">
      <c r="A87" s="57">
        <v>6375</v>
      </c>
      <c r="B87" s="57" t="s">
        <v>17</v>
      </c>
      <c r="C87" s="57">
        <v>6623</v>
      </c>
      <c r="D87" s="57" t="s">
        <v>492</v>
      </c>
      <c r="E87" s="57" t="s">
        <v>579</v>
      </c>
      <c r="F87" s="57" t="s">
        <v>1516</v>
      </c>
      <c r="G87" s="57" t="s">
        <v>584</v>
      </c>
      <c r="H87" s="58">
        <v>45385</v>
      </c>
      <c r="I87" s="57" t="s">
        <v>9</v>
      </c>
      <c r="J87" s="57" t="s">
        <v>10</v>
      </c>
    </row>
    <row r="88" spans="1:10" customFormat="1" x14ac:dyDescent="0.35">
      <c r="A88" s="57">
        <v>7323</v>
      </c>
      <c r="B88" s="57" t="s">
        <v>451</v>
      </c>
      <c r="C88" s="57">
        <v>2169</v>
      </c>
      <c r="D88" s="57" t="s">
        <v>469</v>
      </c>
      <c r="E88" s="57" t="s">
        <v>580</v>
      </c>
      <c r="F88" s="57" t="s">
        <v>1516</v>
      </c>
      <c r="G88" s="57" t="s">
        <v>584</v>
      </c>
      <c r="H88" s="58">
        <v>45383</v>
      </c>
      <c r="I88" s="57" t="s">
        <v>35</v>
      </c>
      <c r="J88" s="57" t="s">
        <v>32</v>
      </c>
    </row>
    <row r="89" spans="1:10" customFormat="1" x14ac:dyDescent="0.35">
      <c r="A89" s="57">
        <v>3458</v>
      </c>
      <c r="B89" s="57" t="s">
        <v>452</v>
      </c>
      <c r="C89" s="57">
        <v>4708</v>
      </c>
      <c r="D89" s="57" t="s">
        <v>493</v>
      </c>
      <c r="E89" s="57" t="s">
        <v>581</v>
      </c>
      <c r="F89" s="57" t="s">
        <v>1516</v>
      </c>
      <c r="G89" s="57" t="s">
        <v>584</v>
      </c>
      <c r="H89" s="58">
        <v>45383</v>
      </c>
      <c r="I89" s="57" t="s">
        <v>9</v>
      </c>
      <c r="J89" s="57" t="s">
        <v>54</v>
      </c>
    </row>
    <row r="90" spans="1:10" customFormat="1" x14ac:dyDescent="0.35">
      <c r="A90" s="57">
        <v>7517</v>
      </c>
      <c r="B90" s="57" t="s">
        <v>108</v>
      </c>
      <c r="C90" s="57">
        <v>4926</v>
      </c>
      <c r="D90" s="57" t="s">
        <v>364</v>
      </c>
      <c r="E90" s="57" t="s">
        <v>582</v>
      </c>
      <c r="F90" s="57" t="s">
        <v>1516</v>
      </c>
      <c r="G90" s="57" t="s">
        <v>584</v>
      </c>
      <c r="H90" s="58">
        <v>45383</v>
      </c>
      <c r="I90" s="57" t="s">
        <v>9</v>
      </c>
      <c r="J90" s="57" t="s">
        <v>10</v>
      </c>
    </row>
    <row r="91" spans="1:10" customFormat="1" x14ac:dyDescent="0.35">
      <c r="A91" s="57">
        <v>7524</v>
      </c>
      <c r="B91" s="57" t="s">
        <v>453</v>
      </c>
      <c r="C91" s="57">
        <v>3558</v>
      </c>
      <c r="D91" s="57" t="s">
        <v>494</v>
      </c>
      <c r="E91" s="57" t="s">
        <v>583</v>
      </c>
      <c r="F91" s="57" t="s">
        <v>1516</v>
      </c>
      <c r="G91" s="57" t="s">
        <v>584</v>
      </c>
      <c r="H91" s="58">
        <v>45381</v>
      </c>
      <c r="I91" s="57" t="s">
        <v>16</v>
      </c>
      <c r="J91" s="57" t="s">
        <v>54</v>
      </c>
    </row>
    <row r="92" spans="1:10" x14ac:dyDescent="0.35">
      <c r="A92" s="57">
        <v>7886</v>
      </c>
      <c r="B92" s="57" t="s">
        <v>779</v>
      </c>
      <c r="C92" s="57">
        <v>3009</v>
      </c>
      <c r="D92" s="57" t="s">
        <v>488</v>
      </c>
      <c r="E92" s="57" t="s">
        <v>1797</v>
      </c>
      <c r="F92" s="57" t="s">
        <v>1727</v>
      </c>
      <c r="G92" s="57" t="s">
        <v>584</v>
      </c>
      <c r="H92" s="58">
        <v>45653</v>
      </c>
      <c r="I92" s="57" t="s">
        <v>40</v>
      </c>
      <c r="J92" s="57" t="s">
        <v>74</v>
      </c>
    </row>
    <row r="93" spans="1:10" x14ac:dyDescent="0.35">
      <c r="A93" s="57">
        <v>2199</v>
      </c>
      <c r="B93" s="57" t="s">
        <v>854</v>
      </c>
      <c r="C93" s="57">
        <v>4060</v>
      </c>
      <c r="D93" s="57" t="s">
        <v>470</v>
      </c>
      <c r="E93" s="57" t="s">
        <v>1798</v>
      </c>
      <c r="F93" s="57" t="s">
        <v>1727</v>
      </c>
      <c r="G93" s="57" t="s">
        <v>584</v>
      </c>
      <c r="H93" s="58">
        <v>45653</v>
      </c>
      <c r="I93" s="57" t="s">
        <v>53</v>
      </c>
      <c r="J93" s="57" t="s">
        <v>54</v>
      </c>
    </row>
    <row r="94" spans="1:10" x14ac:dyDescent="0.35">
      <c r="A94" s="57">
        <v>7029</v>
      </c>
      <c r="B94" s="57" t="s">
        <v>171</v>
      </c>
      <c r="C94" s="57">
        <v>7400</v>
      </c>
      <c r="D94" s="57" t="s">
        <v>487</v>
      </c>
      <c r="E94" s="57" t="s">
        <v>1799</v>
      </c>
      <c r="F94" s="57" t="s">
        <v>1727</v>
      </c>
      <c r="G94" s="57" t="s">
        <v>584</v>
      </c>
      <c r="H94" s="58">
        <v>45652</v>
      </c>
      <c r="I94" s="57" t="s">
        <v>53</v>
      </c>
      <c r="J94" s="57" t="s">
        <v>54</v>
      </c>
    </row>
    <row r="95" spans="1:10" x14ac:dyDescent="0.35">
      <c r="A95" s="57">
        <v>6721</v>
      </c>
      <c r="B95" s="57" t="s">
        <v>170</v>
      </c>
      <c r="C95" s="57">
        <v>7400</v>
      </c>
      <c r="D95" s="57" t="s">
        <v>487</v>
      </c>
      <c r="E95" s="57" t="s">
        <v>1800</v>
      </c>
      <c r="F95" s="57" t="s">
        <v>1727</v>
      </c>
      <c r="G95" s="57" t="s">
        <v>584</v>
      </c>
      <c r="H95" s="58">
        <v>45652</v>
      </c>
      <c r="I95" s="57" t="s">
        <v>53</v>
      </c>
      <c r="J95" s="57" t="s">
        <v>54</v>
      </c>
    </row>
    <row r="96" spans="1:10" x14ac:dyDescent="0.35">
      <c r="A96" s="57">
        <v>4717</v>
      </c>
      <c r="B96" s="57" t="s">
        <v>1783</v>
      </c>
      <c r="C96" s="57">
        <v>4069</v>
      </c>
      <c r="D96" s="57" t="s">
        <v>1792</v>
      </c>
      <c r="E96" s="57" t="s">
        <v>1801</v>
      </c>
      <c r="F96" s="57" t="s">
        <v>1727</v>
      </c>
      <c r="G96" s="57" t="s">
        <v>584</v>
      </c>
      <c r="H96" s="58">
        <v>45652</v>
      </c>
      <c r="I96" s="57" t="s">
        <v>40</v>
      </c>
      <c r="J96" s="57" t="s">
        <v>54</v>
      </c>
    </row>
    <row r="97" spans="1:10" x14ac:dyDescent="0.35">
      <c r="A97" s="57">
        <v>7092</v>
      </c>
      <c r="B97" s="57" t="s">
        <v>1784</v>
      </c>
      <c r="C97" s="57">
        <v>3812</v>
      </c>
      <c r="D97" s="57" t="s">
        <v>467</v>
      </c>
      <c r="E97" s="57" t="s">
        <v>1802</v>
      </c>
      <c r="F97" s="57" t="s">
        <v>1727</v>
      </c>
      <c r="G97" s="57" t="s">
        <v>584</v>
      </c>
      <c r="H97" s="58">
        <v>45652</v>
      </c>
      <c r="I97" s="57" t="s">
        <v>73</v>
      </c>
      <c r="J97" s="57" t="s">
        <v>74</v>
      </c>
    </row>
    <row r="98" spans="1:10" x14ac:dyDescent="0.35">
      <c r="A98" s="57">
        <v>7526</v>
      </c>
      <c r="B98" s="57" t="s">
        <v>821</v>
      </c>
      <c r="C98" s="57">
        <v>5726</v>
      </c>
      <c r="D98" s="57" t="s">
        <v>853</v>
      </c>
      <c r="E98" s="57" t="s">
        <v>1803</v>
      </c>
      <c r="F98" s="57" t="s">
        <v>1727</v>
      </c>
      <c r="G98" s="57" t="s">
        <v>584</v>
      </c>
      <c r="H98" s="58">
        <v>45652</v>
      </c>
      <c r="I98" s="57" t="s">
        <v>250</v>
      </c>
      <c r="J98" s="57" t="s">
        <v>32</v>
      </c>
    </row>
    <row r="99" spans="1:10" x14ac:dyDescent="0.35">
      <c r="A99" s="57">
        <v>4901</v>
      </c>
      <c r="B99" s="57" t="s">
        <v>1785</v>
      </c>
      <c r="C99" s="57">
        <v>2300</v>
      </c>
      <c r="D99" s="57" t="s">
        <v>1793</v>
      </c>
      <c r="E99" s="57" t="s">
        <v>1804</v>
      </c>
      <c r="F99" s="57" t="s">
        <v>1727</v>
      </c>
      <c r="G99" s="57" t="s">
        <v>584</v>
      </c>
      <c r="H99" s="58">
        <v>45652</v>
      </c>
      <c r="I99" s="57" t="s">
        <v>53</v>
      </c>
      <c r="J99" s="57" t="s">
        <v>54</v>
      </c>
    </row>
    <row r="100" spans="1:10" x14ac:dyDescent="0.35">
      <c r="A100" s="57">
        <v>7739</v>
      </c>
      <c r="B100" s="57" t="s">
        <v>344</v>
      </c>
      <c r="C100" s="57">
        <v>4926</v>
      </c>
      <c r="D100" s="57" t="s">
        <v>364</v>
      </c>
      <c r="E100" s="57" t="s">
        <v>1805</v>
      </c>
      <c r="F100" s="57" t="s">
        <v>1727</v>
      </c>
      <c r="G100" s="57" t="s">
        <v>584</v>
      </c>
      <c r="H100" s="58">
        <v>45652</v>
      </c>
      <c r="I100" s="57" t="s">
        <v>9</v>
      </c>
      <c r="J100" s="57" t="s">
        <v>10</v>
      </c>
    </row>
    <row r="101" spans="1:10" x14ac:dyDescent="0.35">
      <c r="A101" s="57">
        <v>6585</v>
      </c>
      <c r="B101" s="57" t="s">
        <v>777</v>
      </c>
      <c r="C101" s="57">
        <v>7408</v>
      </c>
      <c r="D101" s="57" t="s">
        <v>372</v>
      </c>
      <c r="E101" s="57" t="s">
        <v>1806</v>
      </c>
      <c r="F101" s="57" t="s">
        <v>1727</v>
      </c>
      <c r="G101" s="57" t="s">
        <v>584</v>
      </c>
      <c r="H101" s="58">
        <v>45652</v>
      </c>
      <c r="I101" s="57" t="s">
        <v>13</v>
      </c>
      <c r="J101" s="57" t="s">
        <v>10</v>
      </c>
    </row>
    <row r="102" spans="1:10" x14ac:dyDescent="0.35">
      <c r="A102" s="57">
        <v>3442</v>
      </c>
      <c r="B102" s="57" t="s">
        <v>1786</v>
      </c>
      <c r="C102" s="57">
        <v>2424</v>
      </c>
      <c r="D102" s="57" t="s">
        <v>1794</v>
      </c>
      <c r="E102" s="57" t="s">
        <v>1807</v>
      </c>
      <c r="F102" s="57" t="s">
        <v>1727</v>
      </c>
      <c r="G102" s="57" t="s">
        <v>584</v>
      </c>
      <c r="H102" s="58">
        <v>45652</v>
      </c>
      <c r="I102" s="57" t="s">
        <v>35</v>
      </c>
      <c r="J102" s="57" t="s">
        <v>32</v>
      </c>
    </row>
    <row r="103" spans="1:10" x14ac:dyDescent="0.35">
      <c r="A103" s="57">
        <v>5454</v>
      </c>
      <c r="B103" s="57" t="s">
        <v>636</v>
      </c>
      <c r="C103" s="57">
        <v>5624</v>
      </c>
      <c r="D103" s="57" t="s">
        <v>659</v>
      </c>
      <c r="E103" s="57" t="s">
        <v>1808</v>
      </c>
      <c r="F103" s="57" t="s">
        <v>1727</v>
      </c>
      <c r="G103" s="57" t="s">
        <v>584</v>
      </c>
      <c r="H103" s="58">
        <v>45651</v>
      </c>
      <c r="I103" s="57" t="s">
        <v>40</v>
      </c>
      <c r="J103" s="57" t="s">
        <v>74</v>
      </c>
    </row>
    <row r="104" spans="1:10" x14ac:dyDescent="0.35">
      <c r="A104" s="57">
        <v>2733</v>
      </c>
      <c r="B104" s="57" t="s">
        <v>767</v>
      </c>
      <c r="C104" s="57">
        <v>2720</v>
      </c>
      <c r="D104" s="57" t="s">
        <v>491</v>
      </c>
      <c r="E104" s="57" t="s">
        <v>1809</v>
      </c>
      <c r="F104" s="57" t="s">
        <v>1727</v>
      </c>
      <c r="G104" s="57" t="s">
        <v>584</v>
      </c>
      <c r="H104" s="58">
        <v>45650</v>
      </c>
      <c r="I104" s="57" t="s">
        <v>35</v>
      </c>
      <c r="J104" s="57" t="s">
        <v>32</v>
      </c>
    </row>
    <row r="105" spans="1:10" x14ac:dyDescent="0.35">
      <c r="A105" s="57">
        <v>6068</v>
      </c>
      <c r="B105" s="57" t="s">
        <v>594</v>
      </c>
      <c r="C105" s="57">
        <v>7884</v>
      </c>
      <c r="D105" s="57" t="s">
        <v>1795</v>
      </c>
      <c r="E105" s="57" t="s">
        <v>1810</v>
      </c>
      <c r="F105" s="57" t="s">
        <v>1727</v>
      </c>
      <c r="G105" s="57" t="s">
        <v>584</v>
      </c>
      <c r="H105" s="58">
        <v>45650</v>
      </c>
      <c r="I105" s="57" t="s">
        <v>9</v>
      </c>
      <c r="J105" s="57" t="s">
        <v>10</v>
      </c>
    </row>
    <row r="106" spans="1:10" x14ac:dyDescent="0.35">
      <c r="A106" s="57">
        <v>6224</v>
      </c>
      <c r="B106" s="57" t="s">
        <v>1787</v>
      </c>
      <c r="C106" s="57">
        <v>1760</v>
      </c>
      <c r="D106" s="57" t="s">
        <v>885</v>
      </c>
      <c r="E106" s="57" t="s">
        <v>1811</v>
      </c>
      <c r="F106" s="57" t="s">
        <v>1727</v>
      </c>
      <c r="G106" s="57" t="s">
        <v>584</v>
      </c>
      <c r="H106" s="58">
        <v>45650</v>
      </c>
      <c r="I106" s="57" t="s">
        <v>35</v>
      </c>
      <c r="J106" s="57" t="s">
        <v>32</v>
      </c>
    </row>
    <row r="107" spans="1:10" x14ac:dyDescent="0.35">
      <c r="A107" s="57">
        <v>4502</v>
      </c>
      <c r="B107" s="57" t="s">
        <v>621</v>
      </c>
      <c r="C107" s="57">
        <v>1978</v>
      </c>
      <c r="D107" s="57" t="s">
        <v>656</v>
      </c>
      <c r="E107" s="57" t="s">
        <v>1812</v>
      </c>
      <c r="F107" s="57" t="s">
        <v>1727</v>
      </c>
      <c r="G107" s="57" t="s">
        <v>584</v>
      </c>
      <c r="H107" s="58">
        <v>45649</v>
      </c>
      <c r="I107" s="57" t="s">
        <v>53</v>
      </c>
      <c r="J107" s="57" t="s">
        <v>32</v>
      </c>
    </row>
    <row r="108" spans="1:10" x14ac:dyDescent="0.35">
      <c r="A108" s="57">
        <v>7759</v>
      </c>
      <c r="B108" s="57" t="s">
        <v>610</v>
      </c>
      <c r="C108" s="57">
        <v>1313</v>
      </c>
      <c r="D108" s="57" t="s">
        <v>61</v>
      </c>
      <c r="E108" s="57" t="s">
        <v>1813</v>
      </c>
      <c r="F108" s="57" t="s">
        <v>1727</v>
      </c>
      <c r="G108" s="57" t="s">
        <v>584</v>
      </c>
      <c r="H108" s="58">
        <v>45649</v>
      </c>
      <c r="I108" s="57" t="s">
        <v>53</v>
      </c>
      <c r="J108" s="57" t="s">
        <v>54</v>
      </c>
    </row>
    <row r="109" spans="1:10" x14ac:dyDescent="0.35">
      <c r="A109" s="57">
        <v>7748</v>
      </c>
      <c r="B109" s="57" t="s">
        <v>342</v>
      </c>
      <c r="C109" s="57">
        <v>6623</v>
      </c>
      <c r="D109" s="57" t="s">
        <v>492</v>
      </c>
      <c r="E109" s="57" t="s">
        <v>1814</v>
      </c>
      <c r="F109" s="57" t="s">
        <v>1727</v>
      </c>
      <c r="G109" s="57" t="s">
        <v>584</v>
      </c>
      <c r="H109" s="58">
        <v>45649</v>
      </c>
      <c r="I109" s="57" t="s">
        <v>9</v>
      </c>
      <c r="J109" s="57" t="s">
        <v>10</v>
      </c>
    </row>
    <row r="110" spans="1:10" x14ac:dyDescent="0.35">
      <c r="A110" s="57">
        <v>7774</v>
      </c>
      <c r="B110" s="57" t="s">
        <v>1788</v>
      </c>
      <c r="C110" s="57">
        <v>2508</v>
      </c>
      <c r="D110" s="57" t="s">
        <v>455</v>
      </c>
      <c r="E110" s="57" t="s">
        <v>1815</v>
      </c>
      <c r="F110" s="57" t="s">
        <v>1727</v>
      </c>
      <c r="G110" s="57" t="s">
        <v>584</v>
      </c>
      <c r="H110" s="58">
        <v>45649</v>
      </c>
      <c r="I110" s="57" t="s">
        <v>24</v>
      </c>
      <c r="J110" s="57" t="s">
        <v>10</v>
      </c>
    </row>
    <row r="111" spans="1:10" x14ac:dyDescent="0.35">
      <c r="A111" s="57">
        <v>2843</v>
      </c>
      <c r="B111" s="57" t="s">
        <v>1789</v>
      </c>
      <c r="C111" s="57">
        <v>4927</v>
      </c>
      <c r="D111" s="57" t="s">
        <v>653</v>
      </c>
      <c r="E111" s="57" t="s">
        <v>1816</v>
      </c>
      <c r="F111" s="57" t="s">
        <v>1727</v>
      </c>
      <c r="G111" s="57" t="s">
        <v>584</v>
      </c>
      <c r="H111" s="58">
        <v>45649</v>
      </c>
      <c r="I111" s="57" t="s">
        <v>24</v>
      </c>
      <c r="J111" s="57" t="s">
        <v>32</v>
      </c>
    </row>
    <row r="112" spans="1:10" x14ac:dyDescent="0.35">
      <c r="A112" s="57">
        <v>5644</v>
      </c>
      <c r="B112" s="57" t="s">
        <v>1790</v>
      </c>
      <c r="C112" s="57">
        <v>3472</v>
      </c>
      <c r="D112" s="57" t="s">
        <v>370</v>
      </c>
      <c r="E112" s="57" t="s">
        <v>1817</v>
      </c>
      <c r="F112" s="57" t="s">
        <v>1727</v>
      </c>
      <c r="G112" s="57" t="s">
        <v>584</v>
      </c>
      <c r="H112" s="58">
        <v>45649</v>
      </c>
      <c r="I112" s="57" t="s">
        <v>35</v>
      </c>
      <c r="J112" s="57" t="s">
        <v>54</v>
      </c>
    </row>
    <row r="113" spans="1:10" x14ac:dyDescent="0.35">
      <c r="A113" s="57">
        <v>7670</v>
      </c>
      <c r="B113" s="57" t="s">
        <v>1791</v>
      </c>
      <c r="C113" s="57">
        <v>5290</v>
      </c>
      <c r="D113" s="57" t="s">
        <v>608</v>
      </c>
      <c r="E113" s="57" t="s">
        <v>1818</v>
      </c>
      <c r="F113" s="57" t="s">
        <v>1727</v>
      </c>
      <c r="G113" s="57" t="s">
        <v>584</v>
      </c>
      <c r="H113" s="58">
        <v>45646</v>
      </c>
      <c r="I113" s="57" t="s">
        <v>53</v>
      </c>
      <c r="J113" s="57" t="s">
        <v>54</v>
      </c>
    </row>
    <row r="114" spans="1:10" x14ac:dyDescent="0.35">
      <c r="A114" s="57">
        <v>5290</v>
      </c>
      <c r="B114" s="57" t="s">
        <v>608</v>
      </c>
      <c r="C114" s="57">
        <v>2039</v>
      </c>
      <c r="D114" s="57" t="s">
        <v>1796</v>
      </c>
      <c r="E114" s="57" t="s">
        <v>1819</v>
      </c>
      <c r="F114" s="57" t="s">
        <v>1727</v>
      </c>
      <c r="G114" s="57" t="s">
        <v>584</v>
      </c>
      <c r="H114" s="58">
        <v>45646</v>
      </c>
      <c r="I114" s="57" t="s">
        <v>53</v>
      </c>
      <c r="J114" s="57" t="s">
        <v>54</v>
      </c>
    </row>
    <row r="115" spans="1:10" x14ac:dyDescent="0.35">
      <c r="A115" s="57">
        <v>2651</v>
      </c>
      <c r="B115" s="57" t="s">
        <v>295</v>
      </c>
      <c r="C115" s="57">
        <v>2169</v>
      </c>
      <c r="D115" s="57" t="s">
        <v>469</v>
      </c>
      <c r="E115" s="57" t="s">
        <v>2053</v>
      </c>
      <c r="F115" s="57" t="s">
        <v>2046</v>
      </c>
      <c r="G115" s="57" t="s">
        <v>584</v>
      </c>
      <c r="H115" s="58">
        <v>45757</v>
      </c>
      <c r="I115" s="57" t="s">
        <v>35</v>
      </c>
      <c r="J115" s="57" t="s">
        <v>32</v>
      </c>
    </row>
    <row r="116" spans="1:10" x14ac:dyDescent="0.35">
      <c r="A116" s="57">
        <v>6804</v>
      </c>
      <c r="B116" s="57" t="s">
        <v>304</v>
      </c>
      <c r="C116" s="57">
        <v>3265</v>
      </c>
      <c r="D116" s="57" t="s">
        <v>305</v>
      </c>
      <c r="E116" s="57" t="s">
        <v>2054</v>
      </c>
      <c r="F116" s="57" t="s">
        <v>2046</v>
      </c>
      <c r="G116" s="57" t="s">
        <v>584</v>
      </c>
      <c r="H116" s="58">
        <v>45757</v>
      </c>
      <c r="I116" s="57" t="s">
        <v>24</v>
      </c>
      <c r="J116" s="57" t="s">
        <v>10</v>
      </c>
    </row>
    <row r="117" spans="1:10" x14ac:dyDescent="0.35">
      <c r="A117" s="57">
        <v>3265</v>
      </c>
      <c r="B117" s="57" t="s">
        <v>305</v>
      </c>
      <c r="C117" s="57">
        <v>4762</v>
      </c>
      <c r="D117" s="57" t="s">
        <v>2051</v>
      </c>
      <c r="E117" s="57" t="s">
        <v>2055</v>
      </c>
      <c r="F117" s="57" t="s">
        <v>2046</v>
      </c>
      <c r="G117" s="57" t="s">
        <v>584</v>
      </c>
      <c r="H117" s="58">
        <v>45757</v>
      </c>
      <c r="I117" s="57" t="s">
        <v>24</v>
      </c>
      <c r="J117" s="57" t="s">
        <v>10</v>
      </c>
    </row>
    <row r="118" spans="1:10" x14ac:dyDescent="0.35">
      <c r="A118" s="57">
        <v>3894</v>
      </c>
      <c r="B118" s="57" t="s">
        <v>2047</v>
      </c>
      <c r="C118" s="57">
        <v>7955</v>
      </c>
      <c r="D118" s="57" t="s">
        <v>454</v>
      </c>
      <c r="E118" s="57" t="s">
        <v>2056</v>
      </c>
      <c r="F118" s="57" t="s">
        <v>2046</v>
      </c>
      <c r="G118" s="57" t="s">
        <v>584</v>
      </c>
      <c r="H118" s="58">
        <v>45757</v>
      </c>
      <c r="I118" s="57" t="s">
        <v>24</v>
      </c>
      <c r="J118" s="57" t="s">
        <v>10</v>
      </c>
    </row>
    <row r="119" spans="1:10" x14ac:dyDescent="0.35">
      <c r="A119" s="57">
        <v>7470</v>
      </c>
      <c r="B119" s="57" t="s">
        <v>276</v>
      </c>
      <c r="C119" s="57">
        <v>1908</v>
      </c>
      <c r="D119" s="57" t="s">
        <v>368</v>
      </c>
      <c r="E119" s="57" t="s">
        <v>2057</v>
      </c>
      <c r="F119" s="57" t="s">
        <v>2046</v>
      </c>
      <c r="G119" s="57" t="s">
        <v>584</v>
      </c>
      <c r="H119" s="58">
        <v>45757</v>
      </c>
      <c r="I119" s="57" t="s">
        <v>35</v>
      </c>
      <c r="J119" s="57" t="s">
        <v>32</v>
      </c>
    </row>
    <row r="120" spans="1:10" x14ac:dyDescent="0.35">
      <c r="A120" s="57">
        <v>7491</v>
      </c>
      <c r="B120" s="57" t="s">
        <v>2048</v>
      </c>
      <c r="C120" s="57">
        <v>2904</v>
      </c>
      <c r="D120" s="57" t="s">
        <v>682</v>
      </c>
      <c r="E120" s="57" t="s">
        <v>2058</v>
      </c>
      <c r="F120" s="57" t="s">
        <v>2046</v>
      </c>
      <c r="G120" s="57" t="s">
        <v>584</v>
      </c>
      <c r="H120" s="58">
        <v>45756</v>
      </c>
      <c r="I120" s="57" t="s">
        <v>35</v>
      </c>
      <c r="J120" s="57" t="s">
        <v>32</v>
      </c>
    </row>
    <row r="121" spans="1:10" x14ac:dyDescent="0.35">
      <c r="A121" s="57">
        <v>1591</v>
      </c>
      <c r="B121" s="57" t="s">
        <v>590</v>
      </c>
      <c r="C121" s="57">
        <v>4708</v>
      </c>
      <c r="D121" s="57" t="s">
        <v>493</v>
      </c>
      <c r="E121" s="57" t="s">
        <v>2059</v>
      </c>
      <c r="F121" s="57" t="s">
        <v>2046</v>
      </c>
      <c r="G121" s="57" t="s">
        <v>584</v>
      </c>
      <c r="H121" s="58">
        <v>45755</v>
      </c>
      <c r="I121" s="57" t="s">
        <v>9</v>
      </c>
      <c r="J121" s="57" t="s">
        <v>54</v>
      </c>
    </row>
    <row r="122" spans="1:10" x14ac:dyDescent="0.35">
      <c r="A122" s="57">
        <v>5108</v>
      </c>
      <c r="B122" s="57" t="s">
        <v>1748</v>
      </c>
      <c r="C122" s="57">
        <v>7400</v>
      </c>
      <c r="D122" s="57" t="s">
        <v>487</v>
      </c>
      <c r="E122" s="57" t="s">
        <v>2060</v>
      </c>
      <c r="F122" s="57" t="s">
        <v>2046</v>
      </c>
      <c r="G122" s="57" t="s">
        <v>584</v>
      </c>
      <c r="H122" s="58">
        <v>45755</v>
      </c>
      <c r="I122" s="57" t="s">
        <v>53</v>
      </c>
      <c r="J122" s="57" t="s">
        <v>54</v>
      </c>
    </row>
    <row r="123" spans="1:10" x14ac:dyDescent="0.35">
      <c r="A123" s="57">
        <v>5266</v>
      </c>
      <c r="B123" s="57" t="s">
        <v>2049</v>
      </c>
      <c r="C123" s="57">
        <v>5726</v>
      </c>
      <c r="D123" s="57" t="s">
        <v>853</v>
      </c>
      <c r="E123" s="57" t="s">
        <v>2061</v>
      </c>
      <c r="F123" s="57" t="s">
        <v>2046</v>
      </c>
      <c r="G123" s="57" t="s">
        <v>584</v>
      </c>
      <c r="H123" s="58">
        <v>45755</v>
      </c>
      <c r="I123" s="57" t="s">
        <v>250</v>
      </c>
      <c r="J123" s="57" t="s">
        <v>54</v>
      </c>
    </row>
    <row r="124" spans="1:10" x14ac:dyDescent="0.35">
      <c r="A124" s="57">
        <v>7640</v>
      </c>
      <c r="B124" s="57" t="s">
        <v>6</v>
      </c>
      <c r="C124" s="57">
        <v>5780</v>
      </c>
      <c r="D124" s="57" t="s">
        <v>483</v>
      </c>
      <c r="E124" s="57" t="s">
        <v>2062</v>
      </c>
      <c r="F124" s="57" t="s">
        <v>2046</v>
      </c>
      <c r="G124" s="57" t="s">
        <v>584</v>
      </c>
      <c r="H124" s="58">
        <v>45755</v>
      </c>
      <c r="I124" s="57" t="s">
        <v>9</v>
      </c>
      <c r="J124" s="57" t="s">
        <v>10</v>
      </c>
    </row>
    <row r="125" spans="1:10" x14ac:dyDescent="0.35">
      <c r="A125" s="57">
        <v>6319</v>
      </c>
      <c r="B125" s="57" t="s">
        <v>809</v>
      </c>
      <c r="C125" s="57">
        <v>1205</v>
      </c>
      <c r="D125" s="57" t="s">
        <v>2052</v>
      </c>
      <c r="E125" s="57" t="s">
        <v>2063</v>
      </c>
      <c r="F125" s="57" t="s">
        <v>2046</v>
      </c>
      <c r="G125" s="57" t="s">
        <v>584</v>
      </c>
      <c r="H125" s="58">
        <v>45755</v>
      </c>
      <c r="I125" s="57" t="s">
        <v>40</v>
      </c>
      <c r="J125" s="57" t="s">
        <v>32</v>
      </c>
    </row>
    <row r="126" spans="1:10" x14ac:dyDescent="0.35">
      <c r="A126" s="57">
        <v>7844</v>
      </c>
      <c r="B126" s="57" t="s">
        <v>111</v>
      </c>
      <c r="C126" s="57">
        <v>7667</v>
      </c>
      <c r="D126" s="57" t="s">
        <v>57</v>
      </c>
      <c r="E126" s="57" t="s">
        <v>2064</v>
      </c>
      <c r="F126" s="57" t="s">
        <v>2046</v>
      </c>
      <c r="G126" s="57" t="s">
        <v>584</v>
      </c>
      <c r="H126" s="58">
        <v>45754</v>
      </c>
      <c r="I126" s="57" t="s">
        <v>16</v>
      </c>
      <c r="J126" s="57" t="s">
        <v>54</v>
      </c>
    </row>
    <row r="127" spans="1:10" x14ac:dyDescent="0.35">
      <c r="A127" s="57">
        <v>7868</v>
      </c>
      <c r="B127" s="57" t="s">
        <v>340</v>
      </c>
      <c r="C127" s="57">
        <v>7224</v>
      </c>
      <c r="D127" s="57" t="s">
        <v>360</v>
      </c>
      <c r="E127" s="57" t="s">
        <v>2065</v>
      </c>
      <c r="F127" s="57" t="s">
        <v>2046</v>
      </c>
      <c r="G127" s="57" t="s">
        <v>584</v>
      </c>
      <c r="H127" s="58">
        <v>45754</v>
      </c>
      <c r="I127" s="57" t="s">
        <v>21</v>
      </c>
      <c r="J127" s="57" t="s">
        <v>10</v>
      </c>
    </row>
    <row r="128" spans="1:10" x14ac:dyDescent="0.35">
      <c r="A128" s="57">
        <v>7575</v>
      </c>
      <c r="B128" s="57" t="s">
        <v>2050</v>
      </c>
      <c r="C128" s="57">
        <v>7590</v>
      </c>
      <c r="D128" s="57" t="s">
        <v>449</v>
      </c>
      <c r="E128" s="57" t="s">
        <v>2066</v>
      </c>
      <c r="F128" s="57" t="s">
        <v>2046</v>
      </c>
      <c r="G128" s="57" t="s">
        <v>584</v>
      </c>
      <c r="H128" s="58">
        <v>45754</v>
      </c>
      <c r="I128" s="57" t="s">
        <v>16</v>
      </c>
      <c r="J128" s="57" t="s">
        <v>54</v>
      </c>
    </row>
    <row r="129" spans="1:10" x14ac:dyDescent="0.35">
      <c r="A129" s="57">
        <v>7814</v>
      </c>
      <c r="B129" s="57" t="s">
        <v>691</v>
      </c>
      <c r="C129" s="57">
        <v>885</v>
      </c>
      <c r="D129" s="57" t="s">
        <v>587</v>
      </c>
      <c r="E129" s="57" t="s">
        <v>2067</v>
      </c>
      <c r="F129" s="57" t="s">
        <v>2046</v>
      </c>
      <c r="G129" s="57" t="s">
        <v>584</v>
      </c>
      <c r="H129" s="58">
        <v>45754</v>
      </c>
      <c r="I129" s="57" t="s">
        <v>9</v>
      </c>
      <c r="J129" s="57" t="s">
        <v>54</v>
      </c>
    </row>
    <row r="130" spans="1:10" x14ac:dyDescent="0.35">
      <c r="A130" s="57">
        <v>6998</v>
      </c>
      <c r="B130" s="57" t="s">
        <v>301</v>
      </c>
      <c r="C130" s="57">
        <v>7804</v>
      </c>
      <c r="D130" s="57" t="s">
        <v>270</v>
      </c>
      <c r="E130" s="57" t="s">
        <v>2068</v>
      </c>
      <c r="F130" s="57" t="s">
        <v>2046</v>
      </c>
      <c r="G130" s="57" t="s">
        <v>584</v>
      </c>
      <c r="H130" s="58">
        <v>45754</v>
      </c>
      <c r="I130" s="57" t="s">
        <v>24</v>
      </c>
      <c r="J130" s="57" t="s">
        <v>10</v>
      </c>
    </row>
    <row r="131" spans="1:10" x14ac:dyDescent="0.35">
      <c r="A131" s="57">
        <v>7455</v>
      </c>
      <c r="B131" s="57" t="s">
        <v>712</v>
      </c>
      <c r="C131" s="57">
        <v>4926</v>
      </c>
      <c r="D131" s="57" t="s">
        <v>364</v>
      </c>
      <c r="E131" s="57" t="s">
        <v>2069</v>
      </c>
      <c r="F131" s="57" t="s">
        <v>2046</v>
      </c>
      <c r="G131" s="57" t="s">
        <v>584</v>
      </c>
      <c r="H131" s="58">
        <v>45752</v>
      </c>
      <c r="I131" s="57" t="s">
        <v>9</v>
      </c>
      <c r="J131" s="57" t="s">
        <v>10</v>
      </c>
    </row>
    <row r="132" spans="1:10" x14ac:dyDescent="0.35">
      <c r="A132" s="57">
        <v>6803</v>
      </c>
      <c r="B132" s="57" t="s">
        <v>122</v>
      </c>
      <c r="C132" s="57">
        <v>3894</v>
      </c>
      <c r="D132" s="57" t="s">
        <v>2047</v>
      </c>
      <c r="E132" s="57" t="s">
        <v>2070</v>
      </c>
      <c r="F132" s="57" t="s">
        <v>2046</v>
      </c>
      <c r="G132" s="57" t="s">
        <v>584</v>
      </c>
      <c r="H132" s="58">
        <v>45751</v>
      </c>
      <c r="I132" s="57" t="s">
        <v>24</v>
      </c>
      <c r="J132" s="57" t="s">
        <v>10</v>
      </c>
    </row>
    <row r="133" spans="1:10" x14ac:dyDescent="0.35">
      <c r="A133" s="57">
        <v>5325</v>
      </c>
      <c r="B133" s="57" t="s">
        <v>586</v>
      </c>
      <c r="C133" s="57">
        <v>7884</v>
      </c>
      <c r="D133" s="57" t="s">
        <v>1795</v>
      </c>
      <c r="E133" s="57" t="s">
        <v>2071</v>
      </c>
      <c r="F133" s="57" t="s">
        <v>2046</v>
      </c>
      <c r="G133" s="57" t="s">
        <v>584</v>
      </c>
      <c r="H133" s="58">
        <v>45751</v>
      </c>
      <c r="I133" s="57" t="s">
        <v>9</v>
      </c>
      <c r="J133" s="57" t="s">
        <v>10</v>
      </c>
    </row>
    <row r="134" spans="1:10" x14ac:dyDescent="0.35">
      <c r="A134" s="57">
        <v>6356</v>
      </c>
      <c r="B134" s="57" t="s">
        <v>49</v>
      </c>
      <c r="C134" s="57">
        <v>6224</v>
      </c>
      <c r="D134" s="57" t="s">
        <v>1787</v>
      </c>
      <c r="E134" s="57" t="s">
        <v>2072</v>
      </c>
      <c r="F134" s="57" t="s">
        <v>2046</v>
      </c>
      <c r="G134" s="57" t="s">
        <v>584</v>
      </c>
      <c r="H134" s="58">
        <v>45751</v>
      </c>
      <c r="I134" s="57" t="s">
        <v>35</v>
      </c>
      <c r="J134" s="57" t="s">
        <v>32</v>
      </c>
    </row>
    <row r="135" spans="1:10" x14ac:dyDescent="0.35">
      <c r="A135" s="57">
        <v>7512</v>
      </c>
      <c r="B135" s="57" t="s">
        <v>646</v>
      </c>
      <c r="C135" s="57">
        <v>6409</v>
      </c>
      <c r="D135" s="57" t="s">
        <v>643</v>
      </c>
      <c r="E135" s="57" t="s">
        <v>2073</v>
      </c>
      <c r="F135" s="57" t="s">
        <v>2046</v>
      </c>
      <c r="G135" s="57" t="s">
        <v>584</v>
      </c>
      <c r="H135" s="58">
        <v>45751</v>
      </c>
      <c r="I135" s="57" t="s">
        <v>9</v>
      </c>
      <c r="J135" s="57" t="s">
        <v>10</v>
      </c>
    </row>
    <row r="136" spans="1:10" x14ac:dyDescent="0.35">
      <c r="A136" s="57">
        <v>4214</v>
      </c>
      <c r="B136" s="57" t="s">
        <v>1742</v>
      </c>
      <c r="C136" s="57">
        <v>3634</v>
      </c>
      <c r="D136" s="57" t="s">
        <v>463</v>
      </c>
      <c r="E136" s="57" t="s">
        <v>2074</v>
      </c>
      <c r="F136" s="57" t="s">
        <v>2046</v>
      </c>
      <c r="G136" s="57" t="s">
        <v>584</v>
      </c>
      <c r="H136" s="58">
        <v>45743</v>
      </c>
      <c r="I136" s="57" t="s">
        <v>73</v>
      </c>
      <c r="J136" s="57" t="s">
        <v>32</v>
      </c>
    </row>
    <row r="137" spans="1:10" x14ac:dyDescent="0.35">
      <c r="A137" s="57">
        <v>7843</v>
      </c>
      <c r="B137" s="57" t="s">
        <v>1834</v>
      </c>
      <c r="C137" s="57">
        <v>3340</v>
      </c>
      <c r="D137" s="57" t="s">
        <v>1868</v>
      </c>
      <c r="E137" s="57" t="s">
        <v>2075</v>
      </c>
      <c r="F137" s="57" t="s">
        <v>2046</v>
      </c>
      <c r="G137" s="57" t="s">
        <v>584</v>
      </c>
      <c r="H137" s="58">
        <v>45743</v>
      </c>
      <c r="I137" s="57" t="s">
        <v>40</v>
      </c>
      <c r="J137" s="57" t="s">
        <v>54</v>
      </c>
    </row>
    <row r="138" spans="1:10" x14ac:dyDescent="0.35">
      <c r="A138" s="56">
        <v>7634</v>
      </c>
      <c r="B138" s="57" t="s">
        <v>117</v>
      </c>
      <c r="C138" s="56">
        <v>7190</v>
      </c>
      <c r="D138" s="57" t="s">
        <v>472</v>
      </c>
      <c r="E138" s="56" t="s">
        <v>2501</v>
      </c>
      <c r="F138" s="57" t="s">
        <v>2497</v>
      </c>
      <c r="G138" s="57" t="s">
        <v>584</v>
      </c>
      <c r="H138" s="58">
        <v>45856</v>
      </c>
      <c r="I138" s="56" t="s">
        <v>168</v>
      </c>
      <c r="J138" s="56" t="s">
        <v>10</v>
      </c>
    </row>
    <row r="139" spans="1:10" x14ac:dyDescent="0.35">
      <c r="A139" s="56">
        <v>5254</v>
      </c>
      <c r="B139" s="57" t="s">
        <v>444</v>
      </c>
      <c r="C139" s="56">
        <v>1778</v>
      </c>
      <c r="D139" s="57" t="s">
        <v>486</v>
      </c>
      <c r="E139" s="56" t="s">
        <v>2502</v>
      </c>
      <c r="F139" s="57" t="s">
        <v>2497</v>
      </c>
      <c r="G139" s="57" t="s">
        <v>584</v>
      </c>
      <c r="H139" s="58">
        <v>45860</v>
      </c>
      <c r="I139" s="56" t="s">
        <v>24</v>
      </c>
      <c r="J139" s="56" t="s">
        <v>10</v>
      </c>
    </row>
    <row r="140" spans="1:10" x14ac:dyDescent="0.35">
      <c r="A140" s="56">
        <v>7915</v>
      </c>
      <c r="B140" s="57" t="s">
        <v>873</v>
      </c>
      <c r="C140" s="56">
        <v>5780</v>
      </c>
      <c r="D140" s="57" t="s">
        <v>483</v>
      </c>
      <c r="E140" s="56" t="s">
        <v>2503</v>
      </c>
      <c r="F140" s="57" t="s">
        <v>2497</v>
      </c>
      <c r="G140" s="57" t="s">
        <v>584</v>
      </c>
      <c r="H140" s="58">
        <v>45846</v>
      </c>
      <c r="I140" s="56" t="s">
        <v>9</v>
      </c>
      <c r="J140" s="56" t="s">
        <v>10</v>
      </c>
    </row>
    <row r="141" spans="1:10" x14ac:dyDescent="0.35">
      <c r="A141" s="56">
        <v>496</v>
      </c>
      <c r="B141" s="57" t="s">
        <v>2114</v>
      </c>
      <c r="C141" s="56">
        <v>2430</v>
      </c>
      <c r="D141" s="57" t="s">
        <v>1532</v>
      </c>
      <c r="E141" s="56" t="s">
        <v>2504</v>
      </c>
      <c r="F141" s="57" t="s">
        <v>2497</v>
      </c>
      <c r="G141" s="57" t="s">
        <v>584</v>
      </c>
      <c r="H141" s="58">
        <v>45855</v>
      </c>
      <c r="I141" s="56" t="s">
        <v>35</v>
      </c>
      <c r="J141" s="56" t="s">
        <v>74</v>
      </c>
    </row>
    <row r="142" spans="1:10" x14ac:dyDescent="0.35">
      <c r="A142" s="56">
        <v>885</v>
      </c>
      <c r="B142" s="57" t="s">
        <v>587</v>
      </c>
      <c r="C142" s="56">
        <v>647</v>
      </c>
      <c r="D142" s="57" t="s">
        <v>716</v>
      </c>
      <c r="E142" s="56" t="s">
        <v>2505</v>
      </c>
      <c r="F142" s="57" t="s">
        <v>2497</v>
      </c>
      <c r="G142" s="57" t="s">
        <v>584</v>
      </c>
      <c r="H142" s="58">
        <v>45840</v>
      </c>
      <c r="I142" s="56" t="s">
        <v>9</v>
      </c>
      <c r="J142" s="56" t="s">
        <v>54</v>
      </c>
    </row>
    <row r="143" spans="1:10" x14ac:dyDescent="0.35">
      <c r="A143" s="56">
        <v>2980</v>
      </c>
      <c r="B143" s="57" t="s">
        <v>770</v>
      </c>
      <c r="C143" s="56">
        <v>2874</v>
      </c>
      <c r="D143" s="57" t="s">
        <v>2091</v>
      </c>
      <c r="E143" s="56" t="s">
        <v>2506</v>
      </c>
      <c r="F143" s="57" t="s">
        <v>2497</v>
      </c>
      <c r="G143" s="57" t="s">
        <v>584</v>
      </c>
      <c r="H143" s="58">
        <v>45840</v>
      </c>
      <c r="I143" s="56" t="s">
        <v>35</v>
      </c>
      <c r="J143" s="56" t="s">
        <v>32</v>
      </c>
    </row>
    <row r="144" spans="1:10" x14ac:dyDescent="0.35">
      <c r="A144" s="56">
        <v>7444</v>
      </c>
      <c r="B144" s="57" t="s">
        <v>870</v>
      </c>
      <c r="C144" s="56">
        <v>1760</v>
      </c>
      <c r="D144" s="57" t="s">
        <v>885</v>
      </c>
      <c r="E144" s="56" t="s">
        <v>2507</v>
      </c>
      <c r="F144" s="57" t="s">
        <v>2497</v>
      </c>
      <c r="G144" s="57" t="s">
        <v>584</v>
      </c>
      <c r="H144" s="58">
        <v>45846</v>
      </c>
      <c r="I144" s="56" t="s">
        <v>35</v>
      </c>
      <c r="J144" s="56" t="s">
        <v>32</v>
      </c>
    </row>
    <row r="145" spans="1:10" x14ac:dyDescent="0.35">
      <c r="A145" s="56">
        <v>3081</v>
      </c>
      <c r="B145" s="57" t="s">
        <v>1856</v>
      </c>
      <c r="C145" s="56">
        <v>1760</v>
      </c>
      <c r="D145" s="57" t="s">
        <v>885</v>
      </c>
      <c r="E145" s="56" t="s">
        <v>2508</v>
      </c>
      <c r="F145" s="57" t="s">
        <v>2497</v>
      </c>
      <c r="G145" s="57" t="s">
        <v>584</v>
      </c>
      <c r="H145" s="58">
        <v>45846</v>
      </c>
      <c r="I145" s="56" t="s">
        <v>35</v>
      </c>
      <c r="J145" s="56" t="s">
        <v>74</v>
      </c>
    </row>
    <row r="146" spans="1:10" x14ac:dyDescent="0.35">
      <c r="A146" s="56">
        <v>7594</v>
      </c>
      <c r="B146" s="57" t="s">
        <v>846</v>
      </c>
      <c r="C146" s="56">
        <v>4539</v>
      </c>
      <c r="D146" s="57" t="s">
        <v>804</v>
      </c>
      <c r="E146" s="56" t="s">
        <v>2509</v>
      </c>
      <c r="F146" s="57" t="s">
        <v>2497</v>
      </c>
      <c r="G146" s="57" t="s">
        <v>584</v>
      </c>
      <c r="H146" s="58">
        <v>45854</v>
      </c>
      <c r="I146" s="56" t="s">
        <v>53</v>
      </c>
      <c r="J146" s="56" t="s">
        <v>54</v>
      </c>
    </row>
    <row r="147" spans="1:10" x14ac:dyDescent="0.35">
      <c r="A147" s="56">
        <v>7138</v>
      </c>
      <c r="B147" s="57" t="s">
        <v>824</v>
      </c>
      <c r="C147" s="56">
        <v>3812</v>
      </c>
      <c r="D147" s="57" t="s">
        <v>467</v>
      </c>
      <c r="E147" s="56" t="s">
        <v>2510</v>
      </c>
      <c r="F147" s="57" t="s">
        <v>2497</v>
      </c>
      <c r="G147" s="57" t="s">
        <v>584</v>
      </c>
      <c r="H147" s="58">
        <v>45840</v>
      </c>
      <c r="I147" s="56" t="s">
        <v>73</v>
      </c>
      <c r="J147" s="56" t="s">
        <v>74</v>
      </c>
    </row>
    <row r="148" spans="1:10" x14ac:dyDescent="0.35">
      <c r="A148" s="56">
        <v>7722</v>
      </c>
      <c r="B148" s="57" t="s">
        <v>292</v>
      </c>
      <c r="C148" s="56">
        <v>2815</v>
      </c>
      <c r="D148" s="57" t="s">
        <v>123</v>
      </c>
      <c r="E148" s="56" t="s">
        <v>2511</v>
      </c>
      <c r="F148" s="57" t="s">
        <v>2497</v>
      </c>
      <c r="G148" s="57" t="s">
        <v>584</v>
      </c>
      <c r="H148" s="58">
        <v>45840</v>
      </c>
      <c r="I148" s="56" t="s">
        <v>73</v>
      </c>
      <c r="J148" s="56" t="s">
        <v>74</v>
      </c>
    </row>
    <row r="149" spans="1:10" x14ac:dyDescent="0.35">
      <c r="A149" s="56">
        <v>2990</v>
      </c>
      <c r="B149" s="57" t="s">
        <v>297</v>
      </c>
      <c r="C149" s="56">
        <v>2169</v>
      </c>
      <c r="D149" s="57" t="s">
        <v>469</v>
      </c>
      <c r="E149" s="56" t="s">
        <v>2512</v>
      </c>
      <c r="F149" s="57" t="s">
        <v>2497</v>
      </c>
      <c r="G149" s="57" t="s">
        <v>584</v>
      </c>
      <c r="H149" s="58">
        <v>45839</v>
      </c>
      <c r="I149" s="56" t="s">
        <v>35</v>
      </c>
      <c r="J149" s="56" t="s">
        <v>32</v>
      </c>
    </row>
    <row r="150" spans="1:10" x14ac:dyDescent="0.35">
      <c r="A150" s="56">
        <v>6721</v>
      </c>
      <c r="B150" s="57" t="s">
        <v>170</v>
      </c>
      <c r="C150" s="56">
        <v>7400</v>
      </c>
      <c r="D150" s="57" t="s">
        <v>487</v>
      </c>
      <c r="E150" s="56" t="s">
        <v>2513</v>
      </c>
      <c r="F150" s="57" t="s">
        <v>2497</v>
      </c>
      <c r="G150" s="57" t="s">
        <v>584</v>
      </c>
      <c r="H150" s="58">
        <v>45839</v>
      </c>
      <c r="I150" s="56" t="s">
        <v>53</v>
      </c>
      <c r="J150" s="56" t="s">
        <v>54</v>
      </c>
    </row>
    <row r="151" spans="1:10" x14ac:dyDescent="0.35">
      <c r="A151" s="56">
        <v>4573</v>
      </c>
      <c r="B151" s="57" t="s">
        <v>2498</v>
      </c>
      <c r="C151" s="56">
        <v>4970</v>
      </c>
      <c r="D151" s="57" t="s">
        <v>2499</v>
      </c>
      <c r="E151" s="56" t="s">
        <v>2514</v>
      </c>
      <c r="F151" s="57" t="s">
        <v>2497</v>
      </c>
      <c r="G151" s="57" t="s">
        <v>584</v>
      </c>
      <c r="H151" s="58">
        <v>45838</v>
      </c>
      <c r="I151" s="56" t="s">
        <v>73</v>
      </c>
      <c r="J151" s="56" t="s">
        <v>251</v>
      </c>
    </row>
    <row r="152" spans="1:10" x14ac:dyDescent="0.35">
      <c r="A152" s="56">
        <v>5007</v>
      </c>
      <c r="B152" s="57" t="s">
        <v>609</v>
      </c>
      <c r="C152" s="56">
        <v>2039</v>
      </c>
      <c r="D152" s="57" t="s">
        <v>1796</v>
      </c>
      <c r="E152" s="56" t="s">
        <v>2515</v>
      </c>
      <c r="F152" s="57" t="s">
        <v>2497</v>
      </c>
      <c r="G152" s="57" t="s">
        <v>584</v>
      </c>
      <c r="H152" s="58">
        <v>45838</v>
      </c>
      <c r="I152" s="56" t="s">
        <v>53</v>
      </c>
      <c r="J152" s="56" t="s">
        <v>54</v>
      </c>
    </row>
    <row r="153" spans="1:10" x14ac:dyDescent="0.35">
      <c r="A153" s="56">
        <v>5070</v>
      </c>
      <c r="B153" s="57" t="s">
        <v>822</v>
      </c>
      <c r="C153" s="56">
        <v>1313</v>
      </c>
      <c r="D153" s="57" t="s">
        <v>61</v>
      </c>
      <c r="E153" s="56" t="s">
        <v>2516</v>
      </c>
      <c r="F153" s="57" t="s">
        <v>2497</v>
      </c>
      <c r="G153" s="57" t="s">
        <v>584</v>
      </c>
      <c r="H153" s="58">
        <v>45838</v>
      </c>
      <c r="I153" s="56" t="s">
        <v>53</v>
      </c>
      <c r="J153" s="56" t="s">
        <v>54</v>
      </c>
    </row>
    <row r="154" spans="1:10" x14ac:dyDescent="0.35">
      <c r="A154" s="56">
        <v>6500</v>
      </c>
      <c r="B154" s="57" t="s">
        <v>743</v>
      </c>
      <c r="C154" s="56">
        <v>7418</v>
      </c>
      <c r="D154" s="57" t="s">
        <v>745</v>
      </c>
      <c r="E154" s="56" t="s">
        <v>2517</v>
      </c>
      <c r="F154" s="57" t="s">
        <v>2497</v>
      </c>
      <c r="G154" s="57" t="s">
        <v>584</v>
      </c>
      <c r="H154" s="58">
        <v>45838</v>
      </c>
      <c r="I154" s="56" t="s">
        <v>73</v>
      </c>
      <c r="J154" s="56" t="s">
        <v>251</v>
      </c>
    </row>
    <row r="155" spans="1:10" x14ac:dyDescent="0.35">
      <c r="A155" s="56">
        <v>7965</v>
      </c>
      <c r="B155" s="57" t="s">
        <v>2078</v>
      </c>
      <c r="C155" s="56">
        <v>7884</v>
      </c>
      <c r="D155" s="57" t="s">
        <v>1795</v>
      </c>
      <c r="E155" s="56" t="s">
        <v>2518</v>
      </c>
      <c r="F155" s="57" t="s">
        <v>2497</v>
      </c>
      <c r="G155" s="57" t="s">
        <v>584</v>
      </c>
      <c r="H155" s="58">
        <v>45835</v>
      </c>
      <c r="I155" s="56" t="s">
        <v>9</v>
      </c>
      <c r="J155" s="56" t="s">
        <v>10</v>
      </c>
    </row>
    <row r="156" spans="1:10" x14ac:dyDescent="0.35">
      <c r="A156" s="56">
        <v>6388</v>
      </c>
      <c r="B156" s="57" t="s">
        <v>436</v>
      </c>
      <c r="C156" s="56">
        <v>7221</v>
      </c>
      <c r="D156" s="57" t="s">
        <v>600</v>
      </c>
      <c r="E156" s="56" t="s">
        <v>2519</v>
      </c>
      <c r="F156" s="57" t="s">
        <v>2497</v>
      </c>
      <c r="G156" s="57" t="s">
        <v>584</v>
      </c>
      <c r="H156" s="58">
        <v>45840</v>
      </c>
      <c r="I156" s="56" t="s">
        <v>21</v>
      </c>
      <c r="J156" s="56" t="s">
        <v>10</v>
      </c>
    </row>
    <row r="157" spans="1:10" x14ac:dyDescent="0.35">
      <c r="A157" s="56">
        <v>7462</v>
      </c>
      <c r="B157" s="57" t="s">
        <v>628</v>
      </c>
      <c r="C157" s="56">
        <v>4454</v>
      </c>
      <c r="D157" s="57" t="s">
        <v>657</v>
      </c>
      <c r="E157" s="56" t="s">
        <v>2520</v>
      </c>
      <c r="F157" s="57" t="s">
        <v>2497</v>
      </c>
      <c r="G157" s="57" t="s">
        <v>584</v>
      </c>
      <c r="H157" s="58">
        <v>45854</v>
      </c>
      <c r="I157" s="56" t="s">
        <v>53</v>
      </c>
      <c r="J157" s="56" t="s">
        <v>74</v>
      </c>
    </row>
    <row r="158" spans="1:10" x14ac:dyDescent="0.35">
      <c r="A158" s="56">
        <v>7799</v>
      </c>
      <c r="B158" s="57" t="s">
        <v>778</v>
      </c>
      <c r="C158" s="56">
        <v>4135</v>
      </c>
      <c r="D158" s="57" t="s">
        <v>2500</v>
      </c>
      <c r="E158" s="56" t="s">
        <v>2521</v>
      </c>
      <c r="F158" s="57" t="s">
        <v>2497</v>
      </c>
      <c r="G158" s="57" t="s">
        <v>584</v>
      </c>
      <c r="H158" s="58">
        <v>45833</v>
      </c>
      <c r="I158" s="56" t="s">
        <v>43</v>
      </c>
      <c r="J158" s="56" t="s">
        <v>10</v>
      </c>
    </row>
  </sheetData>
  <autoFilter ref="A1:AL158" xr:uid="{4D87731E-0446-4E5C-B9DD-E4D2373D5B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9AF2-48A5-400E-9CB8-C4212C3CED1A}">
  <dimension ref="A1:K247"/>
  <sheetViews>
    <sheetView workbookViewId="0">
      <pane ySplit="1" topLeftCell="A126" activePane="bottomLeft" state="frozen"/>
      <selection pane="bottomLeft" sqref="A1:XFD1"/>
    </sheetView>
  </sheetViews>
  <sheetFormatPr defaultRowHeight="14.5" x14ac:dyDescent="0.35"/>
  <cols>
    <col min="5" max="5" width="8.6328125" customWidth="1"/>
    <col min="7" max="7" width="19.54296875" bestFit="1" customWidth="1"/>
    <col min="8" max="8" width="14.54296875" bestFit="1" customWidth="1"/>
    <col min="10" max="10" width="9" bestFit="1" customWidth="1"/>
  </cols>
  <sheetData>
    <row r="1" spans="1:11" x14ac:dyDescent="0.35">
      <c r="A1" s="35" t="s">
        <v>337</v>
      </c>
      <c r="B1" s="35" t="s">
        <v>338</v>
      </c>
      <c r="C1" s="35" t="s">
        <v>357</v>
      </c>
      <c r="D1" s="35" t="s">
        <v>358</v>
      </c>
      <c r="E1" s="35" t="s">
        <v>77</v>
      </c>
      <c r="F1" s="35" t="s">
        <v>106</v>
      </c>
      <c r="G1" s="35" t="s">
        <v>392</v>
      </c>
      <c r="H1" s="35" t="s">
        <v>394</v>
      </c>
      <c r="I1" s="35" t="s">
        <v>4</v>
      </c>
      <c r="J1" s="35" t="s">
        <v>5</v>
      </c>
      <c r="K1" s="35" t="s">
        <v>680</v>
      </c>
    </row>
    <row r="2" spans="1:11" x14ac:dyDescent="0.35">
      <c r="A2" s="47">
        <v>5342</v>
      </c>
      <c r="B2" s="47" t="s">
        <v>585</v>
      </c>
      <c r="C2" s="47">
        <v>6623</v>
      </c>
      <c r="D2" s="47" t="s">
        <v>492</v>
      </c>
      <c r="E2" s="65" t="s">
        <v>661</v>
      </c>
      <c r="F2" s="47" t="s">
        <v>252</v>
      </c>
      <c r="G2" s="47" t="s">
        <v>679</v>
      </c>
      <c r="H2" s="67">
        <v>45583</v>
      </c>
      <c r="I2" s="51" t="s">
        <v>249</v>
      </c>
      <c r="J2" s="51" t="s">
        <v>10</v>
      </c>
      <c r="K2" s="51">
        <v>555</v>
      </c>
    </row>
    <row r="3" spans="1:11" x14ac:dyDescent="0.35">
      <c r="A3" s="47">
        <v>7244</v>
      </c>
      <c r="B3" s="47" t="s">
        <v>429</v>
      </c>
      <c r="C3" s="47">
        <v>6623</v>
      </c>
      <c r="D3" s="47" t="s">
        <v>492</v>
      </c>
      <c r="E3" s="65" t="s">
        <v>661</v>
      </c>
      <c r="F3" s="47" t="s">
        <v>252</v>
      </c>
      <c r="G3" s="47" t="s">
        <v>679</v>
      </c>
      <c r="H3" s="67">
        <v>45583</v>
      </c>
      <c r="I3" s="51" t="s">
        <v>249</v>
      </c>
      <c r="J3" s="51" t="s">
        <v>10</v>
      </c>
      <c r="K3" s="51">
        <v>555</v>
      </c>
    </row>
    <row r="4" spans="1:11" x14ac:dyDescent="0.35">
      <c r="A4" s="47">
        <v>5252</v>
      </c>
      <c r="B4" s="47" t="s">
        <v>476</v>
      </c>
      <c r="C4" s="47">
        <v>6623</v>
      </c>
      <c r="D4" s="47" t="s">
        <v>492</v>
      </c>
      <c r="E4" s="65" t="s">
        <v>661</v>
      </c>
      <c r="F4" s="47" t="s">
        <v>252</v>
      </c>
      <c r="G4" s="47" t="s">
        <v>679</v>
      </c>
      <c r="H4" s="67">
        <v>45583</v>
      </c>
      <c r="I4" s="51" t="s">
        <v>9</v>
      </c>
      <c r="J4" s="51" t="s">
        <v>10</v>
      </c>
      <c r="K4" s="51">
        <v>555</v>
      </c>
    </row>
    <row r="5" spans="1:11" x14ac:dyDescent="0.35">
      <c r="A5" s="47">
        <v>6586</v>
      </c>
      <c r="B5" s="47" t="s">
        <v>426</v>
      </c>
      <c r="C5" s="47">
        <v>6623</v>
      </c>
      <c r="D5" s="47" t="s">
        <v>492</v>
      </c>
      <c r="E5" s="65" t="s">
        <v>661</v>
      </c>
      <c r="F5" s="47" t="s">
        <v>252</v>
      </c>
      <c r="G5" s="47" t="s">
        <v>679</v>
      </c>
      <c r="H5" s="67">
        <v>45583</v>
      </c>
      <c r="I5" s="51" t="s">
        <v>9</v>
      </c>
      <c r="J5" s="51" t="s">
        <v>10</v>
      </c>
      <c r="K5" s="51">
        <v>555</v>
      </c>
    </row>
    <row r="6" spans="1:11" x14ac:dyDescent="0.35">
      <c r="A6" s="47">
        <v>7024</v>
      </c>
      <c r="B6" s="47" t="s">
        <v>362</v>
      </c>
      <c r="C6" s="47">
        <v>6623</v>
      </c>
      <c r="D6" s="47" t="s">
        <v>492</v>
      </c>
      <c r="E6" s="65" t="s">
        <v>661</v>
      </c>
      <c r="F6" s="47" t="s">
        <v>252</v>
      </c>
      <c r="G6" s="47" t="s">
        <v>679</v>
      </c>
      <c r="H6" s="67">
        <v>45583</v>
      </c>
      <c r="I6" s="51" t="s">
        <v>9</v>
      </c>
      <c r="J6" s="51" t="s">
        <v>10</v>
      </c>
      <c r="K6" s="51">
        <v>555</v>
      </c>
    </row>
    <row r="7" spans="1:11" x14ac:dyDescent="0.35">
      <c r="A7" s="47">
        <v>7748</v>
      </c>
      <c r="B7" s="47" t="s">
        <v>342</v>
      </c>
      <c r="C7" s="47">
        <v>6623</v>
      </c>
      <c r="D7" s="47" t="s">
        <v>492</v>
      </c>
      <c r="E7" s="65" t="s">
        <v>661</v>
      </c>
      <c r="F7" s="47" t="s">
        <v>252</v>
      </c>
      <c r="G7" s="47" t="s">
        <v>679</v>
      </c>
      <c r="H7" s="67">
        <v>45583</v>
      </c>
      <c r="I7" s="51" t="s">
        <v>9</v>
      </c>
      <c r="J7" s="51" t="s">
        <v>10</v>
      </c>
      <c r="K7" s="51">
        <v>555</v>
      </c>
    </row>
    <row r="8" spans="1:11" x14ac:dyDescent="0.35">
      <c r="A8" s="47">
        <v>7517</v>
      </c>
      <c r="B8" s="47" t="s">
        <v>108</v>
      </c>
      <c r="C8" s="47">
        <v>6623</v>
      </c>
      <c r="D8" s="47" t="s">
        <v>492</v>
      </c>
      <c r="E8" s="65" t="s">
        <v>661</v>
      </c>
      <c r="F8" s="47" t="s">
        <v>252</v>
      </c>
      <c r="G8" s="47" t="s">
        <v>679</v>
      </c>
      <c r="H8" s="67">
        <v>45583</v>
      </c>
      <c r="I8" s="51" t="s">
        <v>9</v>
      </c>
      <c r="J8" s="51" t="s">
        <v>10</v>
      </c>
      <c r="K8" s="51">
        <v>555</v>
      </c>
    </row>
    <row r="9" spans="1:11" x14ac:dyDescent="0.35">
      <c r="A9" s="47">
        <v>7291</v>
      </c>
      <c r="B9" s="47" t="s">
        <v>256</v>
      </c>
      <c r="C9" s="47">
        <v>6623</v>
      </c>
      <c r="D9" s="47" t="s">
        <v>492</v>
      </c>
      <c r="E9" s="65" t="s">
        <v>661</v>
      </c>
      <c r="F9" s="47" t="s">
        <v>252</v>
      </c>
      <c r="G9" s="47" t="s">
        <v>679</v>
      </c>
      <c r="H9" s="67">
        <v>45583</v>
      </c>
      <c r="I9" s="51" t="s">
        <v>9</v>
      </c>
      <c r="J9" s="51" t="s">
        <v>10</v>
      </c>
      <c r="K9" s="51">
        <v>555</v>
      </c>
    </row>
    <row r="10" spans="1:11" x14ac:dyDescent="0.35">
      <c r="A10" s="47">
        <v>5325</v>
      </c>
      <c r="B10" s="47" t="s">
        <v>586</v>
      </c>
      <c r="C10" s="47">
        <v>6623</v>
      </c>
      <c r="D10" s="47" t="s">
        <v>492</v>
      </c>
      <c r="E10" s="65" t="s">
        <v>661</v>
      </c>
      <c r="F10" s="47" t="s">
        <v>252</v>
      </c>
      <c r="G10" s="47" t="s">
        <v>679</v>
      </c>
      <c r="H10" s="67">
        <v>45583</v>
      </c>
      <c r="I10" s="51" t="s">
        <v>9</v>
      </c>
      <c r="J10" s="51" t="s">
        <v>10</v>
      </c>
      <c r="K10" s="51">
        <v>555</v>
      </c>
    </row>
    <row r="11" spans="1:11" x14ac:dyDescent="0.35">
      <c r="A11" s="47">
        <v>885</v>
      </c>
      <c r="B11" s="47" t="s">
        <v>587</v>
      </c>
      <c r="C11" s="47">
        <v>6623</v>
      </c>
      <c r="D11" s="47" t="s">
        <v>492</v>
      </c>
      <c r="E11" s="65" t="s">
        <v>661</v>
      </c>
      <c r="F11" s="47" t="s">
        <v>252</v>
      </c>
      <c r="G11" s="47" t="s">
        <v>679</v>
      </c>
      <c r="H11" s="67">
        <v>45583</v>
      </c>
      <c r="I11" s="51" t="s">
        <v>9</v>
      </c>
      <c r="J11" s="51" t="s">
        <v>54</v>
      </c>
      <c r="K11" s="51">
        <v>555</v>
      </c>
    </row>
    <row r="12" spans="1:11" x14ac:dyDescent="0.35">
      <c r="A12" s="47">
        <v>4013</v>
      </c>
      <c r="B12" s="47" t="s">
        <v>268</v>
      </c>
      <c r="C12" s="47">
        <v>6623</v>
      </c>
      <c r="D12" s="47" t="s">
        <v>492</v>
      </c>
      <c r="E12" s="65" t="s">
        <v>661</v>
      </c>
      <c r="F12" s="47" t="s">
        <v>252</v>
      </c>
      <c r="G12" s="47" t="s">
        <v>679</v>
      </c>
      <c r="H12" s="67">
        <v>45583</v>
      </c>
      <c r="I12" s="51" t="s">
        <v>9</v>
      </c>
      <c r="J12" s="51" t="s">
        <v>54</v>
      </c>
      <c r="K12" s="51">
        <v>555</v>
      </c>
    </row>
    <row r="13" spans="1:11" x14ac:dyDescent="0.35">
      <c r="A13" s="47">
        <v>5201</v>
      </c>
      <c r="B13" s="47" t="s">
        <v>588</v>
      </c>
      <c r="C13" s="47">
        <v>6623</v>
      </c>
      <c r="D13" s="47" t="s">
        <v>492</v>
      </c>
      <c r="E13" s="65" t="s">
        <v>661</v>
      </c>
      <c r="F13" s="47" t="s">
        <v>252</v>
      </c>
      <c r="G13" s="47" t="s">
        <v>679</v>
      </c>
      <c r="H13" s="67">
        <v>45583</v>
      </c>
      <c r="I13" s="51" t="s">
        <v>9</v>
      </c>
      <c r="J13" s="51" t="s">
        <v>54</v>
      </c>
      <c r="K13" s="51">
        <v>555</v>
      </c>
    </row>
    <row r="14" spans="1:11" x14ac:dyDescent="0.35">
      <c r="A14" s="47">
        <v>4004</v>
      </c>
      <c r="B14" s="47" t="s">
        <v>172</v>
      </c>
      <c r="C14" s="47">
        <v>6623</v>
      </c>
      <c r="D14" s="47" t="s">
        <v>492</v>
      </c>
      <c r="E14" s="65" t="s">
        <v>661</v>
      </c>
      <c r="F14" s="47" t="s">
        <v>252</v>
      </c>
      <c r="G14" s="47" t="s">
        <v>679</v>
      </c>
      <c r="H14" s="67">
        <v>45583</v>
      </c>
      <c r="I14" s="51" t="s">
        <v>9</v>
      </c>
      <c r="J14" s="51" t="s">
        <v>54</v>
      </c>
      <c r="K14" s="51">
        <v>555</v>
      </c>
    </row>
    <row r="15" spans="1:11" x14ac:dyDescent="0.35">
      <c r="A15" s="47">
        <v>7095</v>
      </c>
      <c r="B15" s="47" t="s">
        <v>589</v>
      </c>
      <c r="C15" s="47">
        <v>6623</v>
      </c>
      <c r="D15" s="47" t="s">
        <v>492</v>
      </c>
      <c r="E15" s="65" t="s">
        <v>661</v>
      </c>
      <c r="F15" s="47" t="s">
        <v>252</v>
      </c>
      <c r="G15" s="47" t="s">
        <v>679</v>
      </c>
      <c r="H15" s="67">
        <v>45583</v>
      </c>
      <c r="I15" s="51" t="s">
        <v>9</v>
      </c>
      <c r="J15" s="51" t="s">
        <v>10</v>
      </c>
      <c r="K15" s="51">
        <v>555</v>
      </c>
    </row>
    <row r="16" spans="1:11" x14ac:dyDescent="0.35">
      <c r="A16" s="47">
        <v>5714</v>
      </c>
      <c r="B16" s="47" t="s">
        <v>116</v>
      </c>
      <c r="C16" s="47">
        <v>6623</v>
      </c>
      <c r="D16" s="47" t="s">
        <v>492</v>
      </c>
      <c r="E16" s="65" t="s">
        <v>661</v>
      </c>
      <c r="F16" s="47" t="s">
        <v>252</v>
      </c>
      <c r="G16" s="47" t="s">
        <v>679</v>
      </c>
      <c r="H16" s="67">
        <v>45583</v>
      </c>
      <c r="I16" s="51" t="s">
        <v>9</v>
      </c>
      <c r="J16" s="51" t="s">
        <v>54</v>
      </c>
      <c r="K16" s="51">
        <v>555</v>
      </c>
    </row>
    <row r="17" spans="1:11" x14ac:dyDescent="0.35">
      <c r="A17" s="47">
        <v>4068</v>
      </c>
      <c r="B17" s="47" t="s">
        <v>178</v>
      </c>
      <c r="C17" s="47">
        <v>6623</v>
      </c>
      <c r="D17" s="47" t="s">
        <v>492</v>
      </c>
      <c r="E17" s="65" t="s">
        <v>661</v>
      </c>
      <c r="F17" s="47" t="s">
        <v>252</v>
      </c>
      <c r="G17" s="47" t="s">
        <v>679</v>
      </c>
      <c r="H17" s="67">
        <v>45583</v>
      </c>
      <c r="I17" s="51" t="s">
        <v>9</v>
      </c>
      <c r="J17" s="51" t="s">
        <v>54</v>
      </c>
      <c r="K17" s="51">
        <v>555</v>
      </c>
    </row>
    <row r="18" spans="1:11" x14ac:dyDescent="0.35">
      <c r="A18" s="47">
        <v>2826</v>
      </c>
      <c r="B18" s="47" t="s">
        <v>169</v>
      </c>
      <c r="C18" s="47">
        <v>6623</v>
      </c>
      <c r="D18" s="47" t="s">
        <v>492</v>
      </c>
      <c r="E18" s="65" t="s">
        <v>661</v>
      </c>
      <c r="F18" s="47" t="s">
        <v>252</v>
      </c>
      <c r="G18" s="47" t="s">
        <v>679</v>
      </c>
      <c r="H18" s="67">
        <v>45583</v>
      </c>
      <c r="I18" s="51" t="s">
        <v>9</v>
      </c>
      <c r="J18" s="51" t="s">
        <v>54</v>
      </c>
      <c r="K18" s="51">
        <v>555</v>
      </c>
    </row>
    <row r="19" spans="1:11" x14ac:dyDescent="0.35">
      <c r="A19" s="47">
        <v>1591</v>
      </c>
      <c r="B19" s="47" t="s">
        <v>590</v>
      </c>
      <c r="C19" s="47">
        <v>6623</v>
      </c>
      <c r="D19" s="47" t="s">
        <v>492</v>
      </c>
      <c r="E19" s="65" t="s">
        <v>661</v>
      </c>
      <c r="F19" s="47" t="s">
        <v>252</v>
      </c>
      <c r="G19" s="47" t="s">
        <v>679</v>
      </c>
      <c r="H19" s="67">
        <v>45583</v>
      </c>
      <c r="I19" s="51" t="s">
        <v>9</v>
      </c>
      <c r="J19" s="51" t="s">
        <v>54</v>
      </c>
      <c r="K19" s="51">
        <v>555</v>
      </c>
    </row>
    <row r="20" spans="1:11" x14ac:dyDescent="0.35">
      <c r="A20" s="47">
        <v>7482</v>
      </c>
      <c r="B20" s="47" t="s">
        <v>591</v>
      </c>
      <c r="C20" s="47">
        <v>7777</v>
      </c>
      <c r="D20" s="47" t="s">
        <v>652</v>
      </c>
      <c r="E20" s="65" t="s">
        <v>662</v>
      </c>
      <c r="F20" s="47" t="s">
        <v>252</v>
      </c>
      <c r="G20" s="47" t="s">
        <v>679</v>
      </c>
      <c r="H20" s="67">
        <v>45572</v>
      </c>
      <c r="I20" s="51" t="s">
        <v>73</v>
      </c>
      <c r="J20" s="51" t="s">
        <v>32</v>
      </c>
      <c r="K20" s="51">
        <v>5000</v>
      </c>
    </row>
    <row r="21" spans="1:11" x14ac:dyDescent="0.35">
      <c r="A21" s="47">
        <v>7264</v>
      </c>
      <c r="B21" s="47" t="s">
        <v>592</v>
      </c>
      <c r="C21" s="47">
        <v>7777</v>
      </c>
      <c r="D21" s="47" t="s">
        <v>652</v>
      </c>
      <c r="E21" s="65" t="s">
        <v>662</v>
      </c>
      <c r="F21" s="47" t="s">
        <v>252</v>
      </c>
      <c r="G21" s="47" t="s">
        <v>679</v>
      </c>
      <c r="H21" s="67">
        <v>45572</v>
      </c>
      <c r="I21" s="51" t="s">
        <v>73</v>
      </c>
      <c r="J21" s="51" t="s">
        <v>32</v>
      </c>
      <c r="K21" s="51">
        <v>5000</v>
      </c>
    </row>
    <row r="22" spans="1:11" x14ac:dyDescent="0.35">
      <c r="A22" s="47">
        <v>7912</v>
      </c>
      <c r="B22" s="47" t="s">
        <v>593</v>
      </c>
      <c r="C22" s="47">
        <v>7590</v>
      </c>
      <c r="D22" s="47" t="s">
        <v>449</v>
      </c>
      <c r="E22" s="65" t="s">
        <v>663</v>
      </c>
      <c r="F22" s="47" t="s">
        <v>252</v>
      </c>
      <c r="G22" s="47" t="s">
        <v>679</v>
      </c>
      <c r="H22" s="67">
        <v>45569</v>
      </c>
      <c r="I22" s="51" t="s">
        <v>16</v>
      </c>
      <c r="J22" s="51" t="s">
        <v>54</v>
      </c>
      <c r="K22" s="51">
        <v>5000</v>
      </c>
    </row>
    <row r="23" spans="1:11" x14ac:dyDescent="0.35">
      <c r="A23" s="47">
        <v>6406</v>
      </c>
      <c r="B23" s="47" t="s">
        <v>448</v>
      </c>
      <c r="C23" s="47">
        <v>7590</v>
      </c>
      <c r="D23" s="47" t="s">
        <v>449</v>
      </c>
      <c r="E23" s="65" t="s">
        <v>663</v>
      </c>
      <c r="F23" s="47" t="s">
        <v>252</v>
      </c>
      <c r="G23" s="47" t="s">
        <v>679</v>
      </c>
      <c r="H23" s="67">
        <v>45569</v>
      </c>
      <c r="I23" s="51" t="s">
        <v>16</v>
      </c>
      <c r="J23" s="51" t="s">
        <v>54</v>
      </c>
      <c r="K23" s="51">
        <v>5000</v>
      </c>
    </row>
    <row r="24" spans="1:11" x14ac:dyDescent="0.35">
      <c r="A24" s="47">
        <v>5780</v>
      </c>
      <c r="B24" s="47" t="s">
        <v>483</v>
      </c>
      <c r="C24" s="47">
        <v>3469</v>
      </c>
      <c r="D24" s="47" t="s">
        <v>459</v>
      </c>
      <c r="E24" s="65" t="s">
        <v>664</v>
      </c>
      <c r="F24" s="47" t="s">
        <v>198</v>
      </c>
      <c r="G24" s="47" t="s">
        <v>679</v>
      </c>
      <c r="H24" s="67">
        <v>45538</v>
      </c>
      <c r="I24" s="51" t="s">
        <v>9</v>
      </c>
      <c r="J24" s="51" t="s">
        <v>10</v>
      </c>
      <c r="K24" s="51">
        <v>475</v>
      </c>
    </row>
    <row r="25" spans="1:11" x14ac:dyDescent="0.35">
      <c r="A25" s="47">
        <v>6068</v>
      </c>
      <c r="B25" s="47" t="s">
        <v>594</v>
      </c>
      <c r="C25" s="47">
        <v>3469</v>
      </c>
      <c r="D25" s="47" t="s">
        <v>459</v>
      </c>
      <c r="E25" s="65" t="s">
        <v>664</v>
      </c>
      <c r="F25" s="47" t="s">
        <v>198</v>
      </c>
      <c r="G25" s="47" t="s">
        <v>679</v>
      </c>
      <c r="H25" s="67">
        <v>45538</v>
      </c>
      <c r="I25" s="51" t="s">
        <v>9</v>
      </c>
      <c r="J25" s="51" t="s">
        <v>10</v>
      </c>
      <c r="K25" s="51">
        <v>475</v>
      </c>
    </row>
    <row r="26" spans="1:11" x14ac:dyDescent="0.35">
      <c r="A26" s="47">
        <v>6822</v>
      </c>
      <c r="B26" s="47" t="s">
        <v>595</v>
      </c>
      <c r="C26" s="47">
        <v>3469</v>
      </c>
      <c r="D26" s="47" t="s">
        <v>459</v>
      </c>
      <c r="E26" s="65" t="s">
        <v>664</v>
      </c>
      <c r="F26" s="47" t="s">
        <v>198</v>
      </c>
      <c r="G26" s="47" t="s">
        <v>679</v>
      </c>
      <c r="H26" s="67">
        <v>45538</v>
      </c>
      <c r="I26" s="51" t="s">
        <v>249</v>
      </c>
      <c r="J26" s="51" t="s">
        <v>10</v>
      </c>
      <c r="K26" s="51">
        <v>475</v>
      </c>
    </row>
    <row r="27" spans="1:11" x14ac:dyDescent="0.35">
      <c r="A27" s="47">
        <v>6975</v>
      </c>
      <c r="B27" s="47" t="s">
        <v>596</v>
      </c>
      <c r="C27" s="47">
        <v>3469</v>
      </c>
      <c r="D27" s="47" t="s">
        <v>459</v>
      </c>
      <c r="E27" s="65" t="s">
        <v>664</v>
      </c>
      <c r="F27" s="47" t="s">
        <v>198</v>
      </c>
      <c r="G27" s="47" t="s">
        <v>679</v>
      </c>
      <c r="H27" s="67">
        <v>45538</v>
      </c>
      <c r="I27" s="51" t="s">
        <v>249</v>
      </c>
      <c r="J27" s="51" t="s">
        <v>10</v>
      </c>
      <c r="K27" s="51">
        <v>475</v>
      </c>
    </row>
    <row r="28" spans="1:11" x14ac:dyDescent="0.35">
      <c r="A28" s="47">
        <v>7042</v>
      </c>
      <c r="B28" s="47" t="s">
        <v>597</v>
      </c>
      <c r="C28" s="47">
        <v>3469</v>
      </c>
      <c r="D28" s="47" t="s">
        <v>459</v>
      </c>
      <c r="E28" s="65" t="s">
        <v>664</v>
      </c>
      <c r="F28" s="47" t="s">
        <v>198</v>
      </c>
      <c r="G28" s="47" t="s">
        <v>679</v>
      </c>
      <c r="H28" s="67">
        <v>45538</v>
      </c>
      <c r="I28" s="51" t="s">
        <v>9</v>
      </c>
      <c r="J28" s="51" t="s">
        <v>10</v>
      </c>
      <c r="K28" s="51">
        <v>475</v>
      </c>
    </row>
    <row r="29" spans="1:11" x14ac:dyDescent="0.35">
      <c r="A29" s="47">
        <v>7083</v>
      </c>
      <c r="B29" s="47" t="s">
        <v>598</v>
      </c>
      <c r="C29" s="47">
        <v>3469</v>
      </c>
      <c r="D29" s="47" t="s">
        <v>459</v>
      </c>
      <c r="E29" s="65" t="s">
        <v>664</v>
      </c>
      <c r="F29" s="47" t="s">
        <v>198</v>
      </c>
      <c r="G29" s="47" t="s">
        <v>679</v>
      </c>
      <c r="H29" s="67">
        <v>45538</v>
      </c>
      <c r="I29" s="51" t="s">
        <v>9</v>
      </c>
      <c r="J29" s="51" t="s">
        <v>10</v>
      </c>
      <c r="K29" s="51">
        <v>475</v>
      </c>
    </row>
    <row r="30" spans="1:11" x14ac:dyDescent="0.35">
      <c r="A30" s="47">
        <v>7212</v>
      </c>
      <c r="B30" s="47" t="s">
        <v>599</v>
      </c>
      <c r="C30" s="47">
        <v>3469</v>
      </c>
      <c r="D30" s="47" t="s">
        <v>459</v>
      </c>
      <c r="E30" s="65" t="s">
        <v>664</v>
      </c>
      <c r="F30" s="47" t="s">
        <v>198</v>
      </c>
      <c r="G30" s="47" t="s">
        <v>679</v>
      </c>
      <c r="H30" s="67">
        <v>45538</v>
      </c>
      <c r="I30" s="51" t="s">
        <v>9</v>
      </c>
      <c r="J30" s="51" t="s">
        <v>54</v>
      </c>
      <c r="K30" s="51">
        <v>475</v>
      </c>
    </row>
    <row r="31" spans="1:11" x14ac:dyDescent="0.35">
      <c r="A31" s="47">
        <v>7221</v>
      </c>
      <c r="B31" s="47" t="s">
        <v>600</v>
      </c>
      <c r="C31" s="47">
        <v>3469</v>
      </c>
      <c r="D31" s="47" t="s">
        <v>459</v>
      </c>
      <c r="E31" s="65" t="s">
        <v>664</v>
      </c>
      <c r="F31" s="47" t="s">
        <v>198</v>
      </c>
      <c r="G31" s="47" t="s">
        <v>679</v>
      </c>
      <c r="H31" s="67">
        <v>45538</v>
      </c>
      <c r="I31" s="51" t="s">
        <v>21</v>
      </c>
      <c r="J31" s="51" t="s">
        <v>10</v>
      </c>
      <c r="K31" s="51">
        <v>475</v>
      </c>
    </row>
    <row r="32" spans="1:11" x14ac:dyDescent="0.35">
      <c r="A32" s="47">
        <v>7224</v>
      </c>
      <c r="B32" s="47" t="s">
        <v>360</v>
      </c>
      <c r="C32" s="47">
        <v>3469</v>
      </c>
      <c r="D32" s="47" t="s">
        <v>459</v>
      </c>
      <c r="E32" s="65" t="s">
        <v>664</v>
      </c>
      <c r="F32" s="47" t="s">
        <v>198</v>
      </c>
      <c r="G32" s="47" t="s">
        <v>679</v>
      </c>
      <c r="H32" s="67">
        <v>45538</v>
      </c>
      <c r="I32" s="51" t="s">
        <v>21</v>
      </c>
      <c r="J32" s="51" t="s">
        <v>10</v>
      </c>
      <c r="K32" s="51">
        <v>475</v>
      </c>
    </row>
    <row r="33" spans="1:11" x14ac:dyDescent="0.35">
      <c r="A33" s="47">
        <v>7237</v>
      </c>
      <c r="B33" s="47" t="s">
        <v>289</v>
      </c>
      <c r="C33" s="47">
        <v>3469</v>
      </c>
      <c r="D33" s="47" t="s">
        <v>459</v>
      </c>
      <c r="E33" s="65" t="s">
        <v>664</v>
      </c>
      <c r="F33" s="47" t="s">
        <v>198</v>
      </c>
      <c r="G33" s="47" t="s">
        <v>679</v>
      </c>
      <c r="H33" s="67">
        <v>45538</v>
      </c>
      <c r="I33" s="51" t="s">
        <v>9</v>
      </c>
      <c r="J33" s="51" t="s">
        <v>10</v>
      </c>
      <c r="K33" s="51">
        <v>475</v>
      </c>
    </row>
    <row r="34" spans="1:11" x14ac:dyDescent="0.35">
      <c r="A34" s="47">
        <v>7268</v>
      </c>
      <c r="B34" s="47" t="s">
        <v>255</v>
      </c>
      <c r="C34" s="47">
        <v>3469</v>
      </c>
      <c r="D34" s="47" t="s">
        <v>459</v>
      </c>
      <c r="E34" s="65" t="s">
        <v>664</v>
      </c>
      <c r="F34" s="47" t="s">
        <v>198</v>
      </c>
      <c r="G34" s="47" t="s">
        <v>679</v>
      </c>
      <c r="H34" s="67">
        <v>45538</v>
      </c>
      <c r="I34" s="51" t="s">
        <v>9</v>
      </c>
      <c r="J34" s="51" t="s">
        <v>54</v>
      </c>
      <c r="K34" s="51">
        <v>475</v>
      </c>
    </row>
    <row r="35" spans="1:11" x14ac:dyDescent="0.35">
      <c r="A35" s="47">
        <v>7426</v>
      </c>
      <c r="B35" s="47" t="s">
        <v>19</v>
      </c>
      <c r="C35" s="47">
        <v>3469</v>
      </c>
      <c r="D35" s="47" t="s">
        <v>459</v>
      </c>
      <c r="E35" s="65" t="s">
        <v>664</v>
      </c>
      <c r="F35" s="47" t="s">
        <v>198</v>
      </c>
      <c r="G35" s="47" t="s">
        <v>679</v>
      </c>
      <c r="H35" s="67">
        <v>45538</v>
      </c>
      <c r="I35" s="51" t="s">
        <v>21</v>
      </c>
      <c r="J35" s="51" t="s">
        <v>10</v>
      </c>
      <c r="K35" s="51">
        <v>475</v>
      </c>
    </row>
    <row r="36" spans="1:11" x14ac:dyDescent="0.35">
      <c r="A36" s="47">
        <v>7452</v>
      </c>
      <c r="B36" s="47" t="s">
        <v>263</v>
      </c>
      <c r="C36" s="47">
        <v>3469</v>
      </c>
      <c r="D36" s="47" t="s">
        <v>459</v>
      </c>
      <c r="E36" s="65" t="s">
        <v>664</v>
      </c>
      <c r="F36" s="47" t="s">
        <v>198</v>
      </c>
      <c r="G36" s="47" t="s">
        <v>679</v>
      </c>
      <c r="H36" s="67">
        <v>45538</v>
      </c>
      <c r="I36" s="51" t="s">
        <v>249</v>
      </c>
      <c r="J36" s="51" t="s">
        <v>10</v>
      </c>
      <c r="K36" s="51">
        <v>475</v>
      </c>
    </row>
    <row r="37" spans="1:11" x14ac:dyDescent="0.35">
      <c r="A37" s="47">
        <v>7480</v>
      </c>
      <c r="B37" s="47" t="s">
        <v>409</v>
      </c>
      <c r="C37" s="47">
        <v>3469</v>
      </c>
      <c r="D37" s="47" t="s">
        <v>459</v>
      </c>
      <c r="E37" s="65" t="s">
        <v>664</v>
      </c>
      <c r="F37" s="47" t="s">
        <v>198</v>
      </c>
      <c r="G37" s="47" t="s">
        <v>679</v>
      </c>
      <c r="H37" s="67">
        <v>45538</v>
      </c>
      <c r="I37" s="51" t="s">
        <v>9</v>
      </c>
      <c r="J37" s="51" t="s">
        <v>54</v>
      </c>
      <c r="K37" s="51">
        <v>475</v>
      </c>
    </row>
    <row r="38" spans="1:11" x14ac:dyDescent="0.35">
      <c r="A38" s="47">
        <v>7640</v>
      </c>
      <c r="B38" s="47" t="s">
        <v>6</v>
      </c>
      <c r="C38" s="47">
        <v>3469</v>
      </c>
      <c r="D38" s="47" t="s">
        <v>459</v>
      </c>
      <c r="E38" s="65" t="s">
        <v>664</v>
      </c>
      <c r="F38" s="47" t="s">
        <v>198</v>
      </c>
      <c r="G38" s="47" t="s">
        <v>679</v>
      </c>
      <c r="H38" s="67">
        <v>45538</v>
      </c>
      <c r="I38" s="51" t="s">
        <v>9</v>
      </c>
      <c r="J38" s="51" t="s">
        <v>10</v>
      </c>
      <c r="K38" s="51">
        <v>475</v>
      </c>
    </row>
    <row r="39" spans="1:11" x14ac:dyDescent="0.35">
      <c r="A39" s="47">
        <v>7658</v>
      </c>
      <c r="B39" s="47" t="s">
        <v>59</v>
      </c>
      <c r="C39" s="47">
        <v>3469</v>
      </c>
      <c r="D39" s="47" t="s">
        <v>459</v>
      </c>
      <c r="E39" s="65" t="s">
        <v>664</v>
      </c>
      <c r="F39" s="47" t="s">
        <v>198</v>
      </c>
      <c r="G39" s="47" t="s">
        <v>679</v>
      </c>
      <c r="H39" s="67">
        <v>45538</v>
      </c>
      <c r="I39" s="51" t="s">
        <v>9</v>
      </c>
      <c r="J39" s="51" t="s">
        <v>54</v>
      </c>
      <c r="K39" s="51">
        <v>475</v>
      </c>
    </row>
    <row r="40" spans="1:11" x14ac:dyDescent="0.35">
      <c r="A40" s="47">
        <v>7737</v>
      </c>
      <c r="B40" s="47" t="s">
        <v>176</v>
      </c>
      <c r="C40" s="47">
        <v>3469</v>
      </c>
      <c r="D40" s="47" t="s">
        <v>459</v>
      </c>
      <c r="E40" s="65" t="s">
        <v>664</v>
      </c>
      <c r="F40" s="47" t="s">
        <v>198</v>
      </c>
      <c r="G40" s="47" t="s">
        <v>679</v>
      </c>
      <c r="H40" s="67">
        <v>45538</v>
      </c>
      <c r="I40" s="51" t="s">
        <v>21</v>
      </c>
      <c r="J40" s="51" t="s">
        <v>10</v>
      </c>
      <c r="K40" s="51">
        <v>475</v>
      </c>
    </row>
    <row r="41" spans="1:11" x14ac:dyDescent="0.35">
      <c r="A41" s="47">
        <v>7809</v>
      </c>
      <c r="B41" s="47" t="s">
        <v>601</v>
      </c>
      <c r="C41" s="47">
        <v>3469</v>
      </c>
      <c r="D41" s="47" t="s">
        <v>459</v>
      </c>
      <c r="E41" s="65" t="s">
        <v>664</v>
      </c>
      <c r="F41" s="47" t="s">
        <v>198</v>
      </c>
      <c r="G41" s="47" t="s">
        <v>679</v>
      </c>
      <c r="H41" s="67">
        <v>45538</v>
      </c>
      <c r="I41" s="51" t="s">
        <v>21</v>
      </c>
      <c r="J41" s="51" t="s">
        <v>10</v>
      </c>
      <c r="K41" s="51">
        <v>475</v>
      </c>
    </row>
    <row r="42" spans="1:11" x14ac:dyDescent="0.35">
      <c r="A42" s="47">
        <v>4009</v>
      </c>
      <c r="B42" s="47" t="s">
        <v>602</v>
      </c>
      <c r="C42" s="47">
        <v>3469</v>
      </c>
      <c r="D42" s="47" t="s">
        <v>459</v>
      </c>
      <c r="E42" s="65" t="s">
        <v>664</v>
      </c>
      <c r="F42" s="47" t="s">
        <v>198</v>
      </c>
      <c r="G42" s="47" t="s">
        <v>679</v>
      </c>
      <c r="H42" s="67">
        <v>45538</v>
      </c>
      <c r="I42" s="51" t="s">
        <v>9</v>
      </c>
      <c r="J42" s="51" t="s">
        <v>54</v>
      </c>
      <c r="K42" s="51">
        <v>475</v>
      </c>
    </row>
    <row r="43" spans="1:11" x14ac:dyDescent="0.35">
      <c r="A43" s="47">
        <v>4010</v>
      </c>
      <c r="B43" s="47" t="s">
        <v>437</v>
      </c>
      <c r="C43" s="47">
        <v>3469</v>
      </c>
      <c r="D43" s="47" t="s">
        <v>459</v>
      </c>
      <c r="E43" s="65" t="s">
        <v>664</v>
      </c>
      <c r="F43" s="47" t="s">
        <v>198</v>
      </c>
      <c r="G43" s="47" t="s">
        <v>679</v>
      </c>
      <c r="H43" s="67">
        <v>45538</v>
      </c>
      <c r="I43" s="51" t="s">
        <v>9</v>
      </c>
      <c r="J43" s="51" t="s">
        <v>54</v>
      </c>
      <c r="K43" s="51">
        <v>475</v>
      </c>
    </row>
    <row r="44" spans="1:11" x14ac:dyDescent="0.35">
      <c r="A44" s="47">
        <v>5766</v>
      </c>
      <c r="B44" s="47" t="s">
        <v>438</v>
      </c>
      <c r="C44" s="47">
        <v>3469</v>
      </c>
      <c r="D44" s="47" t="s">
        <v>459</v>
      </c>
      <c r="E44" s="65" t="s">
        <v>664</v>
      </c>
      <c r="F44" s="47" t="s">
        <v>198</v>
      </c>
      <c r="G44" s="47" t="s">
        <v>679</v>
      </c>
      <c r="H44" s="67">
        <v>45538</v>
      </c>
      <c r="I44" s="51" t="s">
        <v>9</v>
      </c>
      <c r="J44" s="51" t="s">
        <v>54</v>
      </c>
      <c r="K44" s="51">
        <v>475</v>
      </c>
    </row>
    <row r="45" spans="1:11" x14ac:dyDescent="0.35">
      <c r="A45" s="47">
        <v>6005</v>
      </c>
      <c r="B45" s="54" t="s">
        <v>603</v>
      </c>
      <c r="C45" s="47">
        <v>4927</v>
      </c>
      <c r="D45" s="54" t="s">
        <v>653</v>
      </c>
      <c r="E45" s="66" t="s">
        <v>665</v>
      </c>
      <c r="F45" s="54" t="s">
        <v>198</v>
      </c>
      <c r="G45" s="54" t="s">
        <v>679</v>
      </c>
      <c r="H45" s="67">
        <v>45513</v>
      </c>
      <c r="I45" s="67" t="s">
        <v>24</v>
      </c>
      <c r="J45" s="51" t="s">
        <v>32</v>
      </c>
      <c r="K45" s="51">
        <v>2000</v>
      </c>
    </row>
    <row r="46" spans="1:11" x14ac:dyDescent="0.35">
      <c r="A46" s="47">
        <v>7249</v>
      </c>
      <c r="B46" s="54" t="s">
        <v>604</v>
      </c>
      <c r="C46" s="47">
        <v>4927</v>
      </c>
      <c r="D46" s="54" t="s">
        <v>653</v>
      </c>
      <c r="E46" s="66" t="s">
        <v>665</v>
      </c>
      <c r="F46" s="54" t="s">
        <v>198</v>
      </c>
      <c r="G46" s="54" t="s">
        <v>679</v>
      </c>
      <c r="H46" s="67">
        <v>45513</v>
      </c>
      <c r="I46" s="67" t="s">
        <v>24</v>
      </c>
      <c r="J46" s="51" t="s">
        <v>10</v>
      </c>
      <c r="K46" s="51">
        <v>2000</v>
      </c>
    </row>
    <row r="47" spans="1:11" x14ac:dyDescent="0.35">
      <c r="A47" s="47">
        <v>5012</v>
      </c>
      <c r="B47" s="54" t="s">
        <v>605</v>
      </c>
      <c r="C47" s="47">
        <v>4927</v>
      </c>
      <c r="D47" s="54" t="s">
        <v>653</v>
      </c>
      <c r="E47" s="66" t="s">
        <v>665</v>
      </c>
      <c r="F47" s="54" t="s">
        <v>198</v>
      </c>
      <c r="G47" s="54" t="s">
        <v>679</v>
      </c>
      <c r="H47" s="67">
        <v>45513</v>
      </c>
      <c r="I47" s="67" t="s">
        <v>24</v>
      </c>
      <c r="J47" s="51" t="s">
        <v>32</v>
      </c>
      <c r="K47" s="51">
        <v>2000</v>
      </c>
    </row>
    <row r="48" spans="1:11" x14ac:dyDescent="0.35">
      <c r="A48" s="47">
        <v>6802</v>
      </c>
      <c r="B48" s="54" t="s">
        <v>606</v>
      </c>
      <c r="C48" s="47">
        <v>4927</v>
      </c>
      <c r="D48" s="54" t="s">
        <v>653</v>
      </c>
      <c r="E48" s="66" t="s">
        <v>665</v>
      </c>
      <c r="F48" s="54" t="s">
        <v>198</v>
      </c>
      <c r="G48" s="54" t="s">
        <v>679</v>
      </c>
      <c r="H48" s="67">
        <v>45513</v>
      </c>
      <c r="I48" s="67" t="s">
        <v>24</v>
      </c>
      <c r="J48" s="51" t="s">
        <v>32</v>
      </c>
      <c r="K48" s="51">
        <v>2000</v>
      </c>
    </row>
    <row r="49" spans="1:11" x14ac:dyDescent="0.35">
      <c r="A49" s="47">
        <v>1984</v>
      </c>
      <c r="B49" s="54" t="s">
        <v>607</v>
      </c>
      <c r="C49" s="47">
        <v>4927</v>
      </c>
      <c r="D49" s="54" t="s">
        <v>653</v>
      </c>
      <c r="E49" s="66" t="s">
        <v>665</v>
      </c>
      <c r="F49" s="54" t="s">
        <v>198</v>
      </c>
      <c r="G49" s="54" t="s">
        <v>679</v>
      </c>
      <c r="H49" s="67">
        <v>45513</v>
      </c>
      <c r="I49" s="67" t="s">
        <v>24</v>
      </c>
      <c r="J49" s="51" t="s">
        <v>10</v>
      </c>
      <c r="K49" s="51">
        <v>2000</v>
      </c>
    </row>
    <row r="50" spans="1:11" x14ac:dyDescent="0.35">
      <c r="A50" s="47">
        <v>5290</v>
      </c>
      <c r="B50" s="54" t="s">
        <v>608</v>
      </c>
      <c r="C50" s="47">
        <v>7227</v>
      </c>
      <c r="D50" s="54" t="s">
        <v>479</v>
      </c>
      <c r="E50" s="66" t="s">
        <v>666</v>
      </c>
      <c r="F50" s="54" t="s">
        <v>198</v>
      </c>
      <c r="G50" s="54" t="s">
        <v>679</v>
      </c>
      <c r="H50" s="67">
        <v>45511</v>
      </c>
      <c r="I50" s="67" t="s">
        <v>53</v>
      </c>
      <c r="J50" s="51" t="s">
        <v>54</v>
      </c>
      <c r="K50" s="51">
        <v>1425</v>
      </c>
    </row>
    <row r="51" spans="1:11" x14ac:dyDescent="0.35">
      <c r="A51" s="47">
        <v>6541</v>
      </c>
      <c r="B51" s="54" t="s">
        <v>439</v>
      </c>
      <c r="C51" s="47">
        <v>7227</v>
      </c>
      <c r="D51" s="54" t="s">
        <v>479</v>
      </c>
      <c r="E51" s="66" t="s">
        <v>666</v>
      </c>
      <c r="F51" s="54" t="s">
        <v>198</v>
      </c>
      <c r="G51" s="54" t="s">
        <v>679</v>
      </c>
      <c r="H51" s="67">
        <v>45511</v>
      </c>
      <c r="I51" s="67" t="s">
        <v>53</v>
      </c>
      <c r="J51" s="51" t="s">
        <v>54</v>
      </c>
      <c r="K51" s="51">
        <v>1425</v>
      </c>
    </row>
    <row r="52" spans="1:11" x14ac:dyDescent="0.35">
      <c r="A52" s="47">
        <v>7283</v>
      </c>
      <c r="B52" s="54" t="s">
        <v>410</v>
      </c>
      <c r="C52" s="47">
        <v>7227</v>
      </c>
      <c r="D52" s="54" t="s">
        <v>479</v>
      </c>
      <c r="E52" s="66" t="s">
        <v>666</v>
      </c>
      <c r="F52" s="54" t="s">
        <v>198</v>
      </c>
      <c r="G52" s="54" t="s">
        <v>679</v>
      </c>
      <c r="H52" s="67">
        <v>45511</v>
      </c>
      <c r="I52" s="67" t="s">
        <v>53</v>
      </c>
      <c r="J52" s="51" t="s">
        <v>54</v>
      </c>
      <c r="K52" s="51">
        <v>1425</v>
      </c>
    </row>
    <row r="53" spans="1:11" x14ac:dyDescent="0.35">
      <c r="A53" s="47">
        <v>2736</v>
      </c>
      <c r="B53" s="54" t="s">
        <v>425</v>
      </c>
      <c r="C53" s="47">
        <v>7227</v>
      </c>
      <c r="D53" s="54" t="s">
        <v>479</v>
      </c>
      <c r="E53" s="66" t="s">
        <v>666</v>
      </c>
      <c r="F53" s="54" t="s">
        <v>198</v>
      </c>
      <c r="G53" s="54" t="s">
        <v>679</v>
      </c>
      <c r="H53" s="67">
        <v>45511</v>
      </c>
      <c r="I53" s="67" t="s">
        <v>53</v>
      </c>
      <c r="J53" s="51" t="s">
        <v>54</v>
      </c>
      <c r="K53" s="51">
        <v>1425</v>
      </c>
    </row>
    <row r="54" spans="1:11" x14ac:dyDescent="0.35">
      <c r="A54" s="47">
        <v>5007</v>
      </c>
      <c r="B54" s="54" t="s">
        <v>609</v>
      </c>
      <c r="C54" s="47">
        <v>7227</v>
      </c>
      <c r="D54" s="54" t="s">
        <v>479</v>
      </c>
      <c r="E54" s="66" t="s">
        <v>666</v>
      </c>
      <c r="F54" s="54" t="s">
        <v>198</v>
      </c>
      <c r="G54" s="54" t="s">
        <v>679</v>
      </c>
      <c r="H54" s="67">
        <v>45511</v>
      </c>
      <c r="I54" s="67" t="s">
        <v>53</v>
      </c>
      <c r="J54" s="51" t="s">
        <v>54</v>
      </c>
      <c r="K54" s="51">
        <v>1425</v>
      </c>
    </row>
    <row r="55" spans="1:11" x14ac:dyDescent="0.35">
      <c r="A55" s="47">
        <v>7759</v>
      </c>
      <c r="B55" s="54" t="s">
        <v>610</v>
      </c>
      <c r="C55" s="47">
        <v>7227</v>
      </c>
      <c r="D55" s="54" t="s">
        <v>479</v>
      </c>
      <c r="E55" s="66" t="s">
        <v>666</v>
      </c>
      <c r="F55" s="54" t="s">
        <v>198</v>
      </c>
      <c r="G55" s="54" t="s">
        <v>679</v>
      </c>
      <c r="H55" s="67">
        <v>45511</v>
      </c>
      <c r="I55" s="67" t="s">
        <v>53</v>
      </c>
      <c r="J55" s="51" t="s">
        <v>54</v>
      </c>
      <c r="K55" s="51">
        <v>1425</v>
      </c>
    </row>
    <row r="56" spans="1:11" x14ac:dyDescent="0.35">
      <c r="A56" s="47">
        <v>6682</v>
      </c>
      <c r="B56" s="54" t="s">
        <v>611</v>
      </c>
      <c r="C56" s="47">
        <v>7227</v>
      </c>
      <c r="D56" s="54" t="s">
        <v>479</v>
      </c>
      <c r="E56" s="66" t="s">
        <v>666</v>
      </c>
      <c r="F56" s="54" t="s">
        <v>198</v>
      </c>
      <c r="G56" s="54" t="s">
        <v>679</v>
      </c>
      <c r="H56" s="67">
        <v>45511</v>
      </c>
      <c r="I56" s="67" t="s">
        <v>53</v>
      </c>
      <c r="J56" s="51" t="s">
        <v>54</v>
      </c>
      <c r="K56" s="51">
        <v>1425</v>
      </c>
    </row>
    <row r="57" spans="1:11" x14ac:dyDescent="0.35">
      <c r="A57" s="47">
        <v>7729</v>
      </c>
      <c r="B57" s="54" t="s">
        <v>350</v>
      </c>
      <c r="C57" s="47">
        <v>2815</v>
      </c>
      <c r="D57" s="54" t="s">
        <v>123</v>
      </c>
      <c r="E57" s="66" t="s">
        <v>667</v>
      </c>
      <c r="F57" s="54" t="s">
        <v>198</v>
      </c>
      <c r="G57" s="54" t="s">
        <v>679</v>
      </c>
      <c r="H57" s="67">
        <v>45510</v>
      </c>
      <c r="I57" s="67" t="s">
        <v>73</v>
      </c>
      <c r="J57" s="51" t="s">
        <v>74</v>
      </c>
      <c r="K57" s="51">
        <v>3330</v>
      </c>
    </row>
    <row r="58" spans="1:11" x14ac:dyDescent="0.35">
      <c r="A58" s="47">
        <v>6918</v>
      </c>
      <c r="B58" s="54" t="s">
        <v>119</v>
      </c>
      <c r="C58" s="47">
        <v>2815</v>
      </c>
      <c r="D58" s="54" t="s">
        <v>123</v>
      </c>
      <c r="E58" s="66" t="s">
        <v>667</v>
      </c>
      <c r="F58" s="54" t="s">
        <v>198</v>
      </c>
      <c r="G58" s="54" t="s">
        <v>679</v>
      </c>
      <c r="H58" s="67">
        <v>45510</v>
      </c>
      <c r="I58" s="67" t="s">
        <v>73</v>
      </c>
      <c r="J58" s="51" t="s">
        <v>74</v>
      </c>
      <c r="K58" s="51">
        <v>3330</v>
      </c>
    </row>
    <row r="59" spans="1:11" x14ac:dyDescent="0.35">
      <c r="A59" s="47">
        <v>3098</v>
      </c>
      <c r="B59" s="54" t="s">
        <v>173</v>
      </c>
      <c r="C59" s="47">
        <v>2815</v>
      </c>
      <c r="D59" s="54" t="s">
        <v>123</v>
      </c>
      <c r="E59" s="66" t="s">
        <v>667</v>
      </c>
      <c r="F59" s="54" t="s">
        <v>198</v>
      </c>
      <c r="G59" s="54" t="s">
        <v>679</v>
      </c>
      <c r="H59" s="67">
        <v>45510</v>
      </c>
      <c r="I59" s="67" t="s">
        <v>73</v>
      </c>
      <c r="J59" s="51" t="s">
        <v>74</v>
      </c>
      <c r="K59" s="51">
        <v>3330</v>
      </c>
    </row>
    <row r="60" spans="1:11" x14ac:dyDescent="0.35">
      <c r="A60" s="47">
        <v>1604</v>
      </c>
      <c r="B60" s="54" t="s">
        <v>612</v>
      </c>
      <c r="C60" s="47">
        <v>4771</v>
      </c>
      <c r="D60" s="54" t="s">
        <v>654</v>
      </c>
      <c r="E60" s="66" t="s">
        <v>668</v>
      </c>
      <c r="F60" s="54" t="s">
        <v>198</v>
      </c>
      <c r="G60" s="54" t="s">
        <v>679</v>
      </c>
      <c r="H60" s="67">
        <v>45506</v>
      </c>
      <c r="I60" s="67" t="s">
        <v>24</v>
      </c>
      <c r="J60" s="51" t="s">
        <v>54</v>
      </c>
      <c r="K60" s="51">
        <v>5000</v>
      </c>
    </row>
    <row r="61" spans="1:11" x14ac:dyDescent="0.35">
      <c r="A61" s="47">
        <v>5184</v>
      </c>
      <c r="B61" s="54" t="s">
        <v>613</v>
      </c>
      <c r="C61" s="47">
        <v>4771</v>
      </c>
      <c r="D61" s="54" t="s">
        <v>654</v>
      </c>
      <c r="E61" s="66" t="s">
        <v>668</v>
      </c>
      <c r="F61" s="54" t="s">
        <v>198</v>
      </c>
      <c r="G61" s="54" t="s">
        <v>679</v>
      </c>
      <c r="H61" s="67">
        <v>45506</v>
      </c>
      <c r="I61" s="67" t="s">
        <v>24</v>
      </c>
      <c r="J61" s="51" t="s">
        <v>32</v>
      </c>
      <c r="K61" s="51">
        <v>5000</v>
      </c>
    </row>
    <row r="62" spans="1:11" x14ac:dyDescent="0.35">
      <c r="A62" s="47">
        <v>5342</v>
      </c>
      <c r="B62" s="47" t="s">
        <v>585</v>
      </c>
      <c r="C62" s="47">
        <v>7580</v>
      </c>
      <c r="D62" s="47" t="s">
        <v>366</v>
      </c>
      <c r="E62" s="65" t="s">
        <v>669</v>
      </c>
      <c r="F62" s="47" t="s">
        <v>1617</v>
      </c>
      <c r="G62" s="47" t="s">
        <v>679</v>
      </c>
      <c r="H62" s="67">
        <v>45504</v>
      </c>
      <c r="I62" s="51" t="s">
        <v>249</v>
      </c>
      <c r="J62" s="51" t="s">
        <v>10</v>
      </c>
      <c r="K62" s="51">
        <v>3330</v>
      </c>
    </row>
    <row r="63" spans="1:11" x14ac:dyDescent="0.35">
      <c r="A63" s="47">
        <v>6594</v>
      </c>
      <c r="B63" s="47" t="s">
        <v>614</v>
      </c>
      <c r="C63" s="47">
        <v>7580</v>
      </c>
      <c r="D63" s="47" t="s">
        <v>366</v>
      </c>
      <c r="E63" s="65" t="s">
        <v>669</v>
      </c>
      <c r="F63" s="47" t="s">
        <v>1617</v>
      </c>
      <c r="G63" s="47" t="s">
        <v>679</v>
      </c>
      <c r="H63" s="67">
        <v>45504</v>
      </c>
      <c r="I63" s="51" t="s">
        <v>249</v>
      </c>
      <c r="J63" s="51" t="s">
        <v>10</v>
      </c>
      <c r="K63" s="51">
        <v>3330</v>
      </c>
    </row>
    <row r="64" spans="1:11" x14ac:dyDescent="0.35">
      <c r="A64" s="47">
        <v>7244</v>
      </c>
      <c r="B64" s="47" t="s">
        <v>429</v>
      </c>
      <c r="C64" s="47">
        <v>7580</v>
      </c>
      <c r="D64" s="47" t="s">
        <v>366</v>
      </c>
      <c r="E64" s="65" t="s">
        <v>669</v>
      </c>
      <c r="F64" s="47" t="s">
        <v>1617</v>
      </c>
      <c r="G64" s="47" t="s">
        <v>679</v>
      </c>
      <c r="H64" s="67">
        <v>45504</v>
      </c>
      <c r="I64" s="51" t="s">
        <v>249</v>
      </c>
      <c r="J64" s="51" t="s">
        <v>10</v>
      </c>
      <c r="K64" s="51">
        <v>3330</v>
      </c>
    </row>
    <row r="65" spans="1:11" x14ac:dyDescent="0.35">
      <c r="A65" s="47">
        <v>7221</v>
      </c>
      <c r="B65" s="47" t="s">
        <v>600</v>
      </c>
      <c r="C65" s="47">
        <v>4496</v>
      </c>
      <c r="D65" s="47" t="s">
        <v>655</v>
      </c>
      <c r="E65" s="65" t="s">
        <v>670</v>
      </c>
      <c r="F65" s="47" t="s">
        <v>1617</v>
      </c>
      <c r="G65" s="47" t="s">
        <v>679</v>
      </c>
      <c r="H65" s="67">
        <v>45503</v>
      </c>
      <c r="I65" s="51" t="s">
        <v>21</v>
      </c>
      <c r="J65" s="51" t="s">
        <v>10</v>
      </c>
      <c r="K65" s="51">
        <v>835</v>
      </c>
    </row>
    <row r="66" spans="1:11" x14ac:dyDescent="0.35">
      <c r="A66" s="47">
        <v>5766</v>
      </c>
      <c r="B66" s="47" t="s">
        <v>438</v>
      </c>
      <c r="C66" s="47">
        <v>4496</v>
      </c>
      <c r="D66" s="47" t="s">
        <v>655</v>
      </c>
      <c r="E66" s="65" t="s">
        <v>670</v>
      </c>
      <c r="F66" s="47" t="s">
        <v>1617</v>
      </c>
      <c r="G66" s="47" t="s">
        <v>679</v>
      </c>
      <c r="H66" s="67">
        <v>45503</v>
      </c>
      <c r="I66" s="51" t="s">
        <v>9</v>
      </c>
      <c r="J66" s="51" t="s">
        <v>54</v>
      </c>
      <c r="K66" s="51">
        <v>835</v>
      </c>
    </row>
    <row r="67" spans="1:11" x14ac:dyDescent="0.35">
      <c r="A67" s="47">
        <v>5996</v>
      </c>
      <c r="B67" s="47" t="s">
        <v>615</v>
      </c>
      <c r="C67" s="47">
        <v>4496</v>
      </c>
      <c r="D67" s="47" t="s">
        <v>655</v>
      </c>
      <c r="E67" s="65" t="s">
        <v>670</v>
      </c>
      <c r="F67" s="47" t="s">
        <v>1617</v>
      </c>
      <c r="G67" s="47" t="s">
        <v>679</v>
      </c>
      <c r="H67" s="67">
        <v>45503</v>
      </c>
      <c r="I67" s="51" t="s">
        <v>21</v>
      </c>
      <c r="J67" s="51" t="s">
        <v>10</v>
      </c>
      <c r="K67" s="51">
        <v>835</v>
      </c>
    </row>
    <row r="68" spans="1:11" x14ac:dyDescent="0.35">
      <c r="A68" s="47">
        <v>6368</v>
      </c>
      <c r="B68" s="47" t="s">
        <v>420</v>
      </c>
      <c r="C68" s="47">
        <v>4496</v>
      </c>
      <c r="D68" s="47" t="s">
        <v>655</v>
      </c>
      <c r="E68" s="65" t="s">
        <v>670</v>
      </c>
      <c r="F68" s="47" t="s">
        <v>1617</v>
      </c>
      <c r="G68" s="47" t="s">
        <v>679</v>
      </c>
      <c r="H68" s="67">
        <v>45503</v>
      </c>
      <c r="I68" s="51" t="s">
        <v>9</v>
      </c>
      <c r="J68" s="51" t="s">
        <v>54</v>
      </c>
      <c r="K68" s="51">
        <v>835</v>
      </c>
    </row>
    <row r="69" spans="1:11" x14ac:dyDescent="0.35">
      <c r="A69" s="47">
        <v>7452</v>
      </c>
      <c r="B69" s="47" t="s">
        <v>263</v>
      </c>
      <c r="C69" s="47">
        <v>4496</v>
      </c>
      <c r="D69" s="47" t="s">
        <v>655</v>
      </c>
      <c r="E69" s="65" t="s">
        <v>670</v>
      </c>
      <c r="F69" s="47" t="s">
        <v>1617</v>
      </c>
      <c r="G69" s="47" t="s">
        <v>679</v>
      </c>
      <c r="H69" s="67">
        <v>45503</v>
      </c>
      <c r="I69" s="51" t="s">
        <v>249</v>
      </c>
      <c r="J69" s="51" t="s">
        <v>10</v>
      </c>
      <c r="K69" s="51">
        <v>835</v>
      </c>
    </row>
    <row r="70" spans="1:11" x14ac:dyDescent="0.35">
      <c r="A70" s="47">
        <v>4010</v>
      </c>
      <c r="B70" s="47" t="s">
        <v>437</v>
      </c>
      <c r="C70" s="47">
        <v>4496</v>
      </c>
      <c r="D70" s="47" t="s">
        <v>655</v>
      </c>
      <c r="E70" s="65" t="s">
        <v>670</v>
      </c>
      <c r="F70" s="47" t="s">
        <v>1617</v>
      </c>
      <c r="G70" s="47" t="s">
        <v>679</v>
      </c>
      <c r="H70" s="67">
        <v>45503</v>
      </c>
      <c r="I70" s="51" t="s">
        <v>9</v>
      </c>
      <c r="J70" s="51" t="s">
        <v>54</v>
      </c>
      <c r="K70" s="51">
        <v>835</v>
      </c>
    </row>
    <row r="71" spans="1:11" x14ac:dyDescent="0.35">
      <c r="A71" s="47">
        <v>6988</v>
      </c>
      <c r="B71" s="47" t="s">
        <v>482</v>
      </c>
      <c r="C71" s="47">
        <v>4496</v>
      </c>
      <c r="D71" s="47" t="s">
        <v>655</v>
      </c>
      <c r="E71" s="65" t="s">
        <v>670</v>
      </c>
      <c r="F71" s="47" t="s">
        <v>1617</v>
      </c>
      <c r="G71" s="47" t="s">
        <v>679</v>
      </c>
      <c r="H71" s="67">
        <v>45503</v>
      </c>
      <c r="I71" s="51" t="s">
        <v>9</v>
      </c>
      <c r="J71" s="51" t="s">
        <v>54</v>
      </c>
      <c r="K71" s="51">
        <v>835</v>
      </c>
    </row>
    <row r="72" spans="1:11" x14ac:dyDescent="0.35">
      <c r="A72" s="47">
        <v>4009</v>
      </c>
      <c r="B72" s="47" t="s">
        <v>602</v>
      </c>
      <c r="C72" s="47">
        <v>4496</v>
      </c>
      <c r="D72" s="47" t="s">
        <v>655</v>
      </c>
      <c r="E72" s="65" t="s">
        <v>670</v>
      </c>
      <c r="F72" s="47" t="s">
        <v>1617</v>
      </c>
      <c r="G72" s="47" t="s">
        <v>679</v>
      </c>
      <c r="H72" s="67">
        <v>45503</v>
      </c>
      <c r="I72" s="51" t="s">
        <v>9</v>
      </c>
      <c r="J72" s="51" t="s">
        <v>54</v>
      </c>
      <c r="K72" s="51">
        <v>835</v>
      </c>
    </row>
    <row r="73" spans="1:11" x14ac:dyDescent="0.35">
      <c r="A73" s="47">
        <v>6429</v>
      </c>
      <c r="B73" s="47" t="s">
        <v>616</v>
      </c>
      <c r="C73" s="47">
        <v>4496</v>
      </c>
      <c r="D73" s="47" t="s">
        <v>655</v>
      </c>
      <c r="E73" s="65" t="s">
        <v>670</v>
      </c>
      <c r="F73" s="47" t="s">
        <v>1617</v>
      </c>
      <c r="G73" s="47" t="s">
        <v>679</v>
      </c>
      <c r="H73" s="67">
        <v>45503</v>
      </c>
      <c r="I73" s="51" t="s">
        <v>9</v>
      </c>
      <c r="J73" s="51" t="s">
        <v>54</v>
      </c>
      <c r="K73" s="51">
        <v>835</v>
      </c>
    </row>
    <row r="74" spans="1:11" x14ac:dyDescent="0.35">
      <c r="A74" s="47">
        <v>6481</v>
      </c>
      <c r="B74" s="47" t="s">
        <v>126</v>
      </c>
      <c r="C74" s="47">
        <v>4496</v>
      </c>
      <c r="D74" s="47" t="s">
        <v>655</v>
      </c>
      <c r="E74" s="65" t="s">
        <v>670</v>
      </c>
      <c r="F74" s="47" t="s">
        <v>1617</v>
      </c>
      <c r="G74" s="47" t="s">
        <v>679</v>
      </c>
      <c r="H74" s="67">
        <v>45503</v>
      </c>
      <c r="I74" s="51" t="s">
        <v>21</v>
      </c>
      <c r="J74" s="51" t="s">
        <v>10</v>
      </c>
      <c r="K74" s="51">
        <v>835</v>
      </c>
    </row>
    <row r="75" spans="1:11" x14ac:dyDescent="0.35">
      <c r="A75" s="47">
        <v>7809</v>
      </c>
      <c r="B75" s="47" t="s">
        <v>601</v>
      </c>
      <c r="C75" s="47">
        <v>4496</v>
      </c>
      <c r="D75" s="47" t="s">
        <v>655</v>
      </c>
      <c r="E75" s="65" t="s">
        <v>670</v>
      </c>
      <c r="F75" s="47" t="s">
        <v>1617</v>
      </c>
      <c r="G75" s="47" t="s">
        <v>679</v>
      </c>
      <c r="H75" s="67">
        <v>45503</v>
      </c>
      <c r="I75" s="51" t="s">
        <v>21</v>
      </c>
      <c r="J75" s="51" t="s">
        <v>10</v>
      </c>
      <c r="K75" s="51">
        <v>835</v>
      </c>
    </row>
    <row r="76" spans="1:11" x14ac:dyDescent="0.35">
      <c r="A76" s="47">
        <v>886</v>
      </c>
      <c r="B76" s="47" t="s">
        <v>617</v>
      </c>
      <c r="C76" s="47">
        <v>4496</v>
      </c>
      <c r="D76" s="47" t="s">
        <v>655</v>
      </c>
      <c r="E76" s="65" t="s">
        <v>670</v>
      </c>
      <c r="F76" s="47" t="s">
        <v>1617</v>
      </c>
      <c r="G76" s="47" t="s">
        <v>679</v>
      </c>
      <c r="H76" s="67">
        <v>45503</v>
      </c>
      <c r="I76" s="51" t="s">
        <v>9</v>
      </c>
      <c r="J76" s="51" t="s">
        <v>54</v>
      </c>
      <c r="K76" s="51">
        <v>835</v>
      </c>
    </row>
    <row r="77" spans="1:11" x14ac:dyDescent="0.35">
      <c r="A77" s="47">
        <v>7390</v>
      </c>
      <c r="B77" s="47" t="s">
        <v>424</v>
      </c>
      <c r="C77" s="47">
        <v>1978</v>
      </c>
      <c r="D77" s="47" t="s">
        <v>656</v>
      </c>
      <c r="E77" s="47" t="s">
        <v>671</v>
      </c>
      <c r="F77" s="47" t="s">
        <v>1617</v>
      </c>
      <c r="G77" s="47" t="s">
        <v>679</v>
      </c>
      <c r="H77" s="67">
        <v>45503</v>
      </c>
      <c r="I77" s="51" t="s">
        <v>53</v>
      </c>
      <c r="J77" s="51" t="s">
        <v>32</v>
      </c>
      <c r="K77" s="51">
        <v>1250</v>
      </c>
    </row>
    <row r="78" spans="1:11" x14ac:dyDescent="0.35">
      <c r="A78" s="47">
        <v>4041</v>
      </c>
      <c r="B78" s="47" t="s">
        <v>618</v>
      </c>
      <c r="C78" s="47">
        <v>1978</v>
      </c>
      <c r="D78" s="47" t="s">
        <v>656</v>
      </c>
      <c r="E78" s="47" t="s">
        <v>671</v>
      </c>
      <c r="F78" s="47" t="s">
        <v>1617</v>
      </c>
      <c r="G78" s="47" t="s">
        <v>679</v>
      </c>
      <c r="H78" s="67">
        <v>45503</v>
      </c>
      <c r="I78" s="51" t="s">
        <v>53</v>
      </c>
      <c r="J78" s="51" t="s">
        <v>54</v>
      </c>
      <c r="K78" s="51">
        <v>1250</v>
      </c>
    </row>
    <row r="79" spans="1:11" x14ac:dyDescent="0.35">
      <c r="A79" s="47">
        <v>7101</v>
      </c>
      <c r="B79" s="47" t="s">
        <v>619</v>
      </c>
      <c r="C79" s="47">
        <v>1978</v>
      </c>
      <c r="D79" s="47" t="s">
        <v>656</v>
      </c>
      <c r="E79" s="47" t="s">
        <v>671</v>
      </c>
      <c r="F79" s="47" t="s">
        <v>1617</v>
      </c>
      <c r="G79" s="47" t="s">
        <v>679</v>
      </c>
      <c r="H79" s="67">
        <v>45503</v>
      </c>
      <c r="I79" s="51" t="s">
        <v>53</v>
      </c>
      <c r="J79" s="51" t="s">
        <v>251</v>
      </c>
      <c r="K79" s="51">
        <v>1250</v>
      </c>
    </row>
    <row r="80" spans="1:11" x14ac:dyDescent="0.35">
      <c r="A80" s="47">
        <v>4174</v>
      </c>
      <c r="B80" s="47" t="s">
        <v>620</v>
      </c>
      <c r="C80" s="47">
        <v>1978</v>
      </c>
      <c r="D80" s="47" t="s">
        <v>656</v>
      </c>
      <c r="E80" s="47" t="s">
        <v>671</v>
      </c>
      <c r="F80" s="47" t="s">
        <v>1617</v>
      </c>
      <c r="G80" s="47" t="s">
        <v>679</v>
      </c>
      <c r="H80" s="67">
        <v>45503</v>
      </c>
      <c r="I80" s="51" t="s">
        <v>53</v>
      </c>
      <c r="J80" s="51" t="s">
        <v>32</v>
      </c>
      <c r="K80" s="51">
        <v>1250</v>
      </c>
    </row>
    <row r="81" spans="1:11" x14ac:dyDescent="0.35">
      <c r="A81" s="47">
        <v>3978</v>
      </c>
      <c r="B81" s="47" t="s">
        <v>475</v>
      </c>
      <c r="C81" s="47">
        <v>1978</v>
      </c>
      <c r="D81" s="47" t="s">
        <v>656</v>
      </c>
      <c r="E81" s="47" t="s">
        <v>671</v>
      </c>
      <c r="F81" s="47" t="s">
        <v>1617</v>
      </c>
      <c r="G81" s="47" t="s">
        <v>679</v>
      </c>
      <c r="H81" s="67">
        <v>45503</v>
      </c>
      <c r="I81" s="51" t="s">
        <v>53</v>
      </c>
      <c r="J81" s="51" t="s">
        <v>32</v>
      </c>
      <c r="K81" s="51">
        <v>1250</v>
      </c>
    </row>
    <row r="82" spans="1:11" x14ac:dyDescent="0.35">
      <c r="A82" s="47">
        <v>4518</v>
      </c>
      <c r="B82" s="47" t="s">
        <v>257</v>
      </c>
      <c r="C82" s="47">
        <v>1978</v>
      </c>
      <c r="D82" s="47" t="s">
        <v>656</v>
      </c>
      <c r="E82" s="47" t="s">
        <v>671</v>
      </c>
      <c r="F82" s="47" t="s">
        <v>1617</v>
      </c>
      <c r="G82" s="47" t="s">
        <v>679</v>
      </c>
      <c r="H82" s="67">
        <v>45503</v>
      </c>
      <c r="I82" s="51" t="s">
        <v>53</v>
      </c>
      <c r="J82" s="51" t="s">
        <v>54</v>
      </c>
      <c r="K82" s="51">
        <v>1250</v>
      </c>
    </row>
    <row r="83" spans="1:11" x14ac:dyDescent="0.35">
      <c r="A83" s="47">
        <v>4366</v>
      </c>
      <c r="B83" s="47" t="s">
        <v>264</v>
      </c>
      <c r="C83" s="47">
        <v>1978</v>
      </c>
      <c r="D83" s="47" t="s">
        <v>656</v>
      </c>
      <c r="E83" s="47" t="s">
        <v>671</v>
      </c>
      <c r="F83" s="47" t="s">
        <v>1617</v>
      </c>
      <c r="G83" s="47" t="s">
        <v>679</v>
      </c>
      <c r="H83" s="67">
        <v>45503</v>
      </c>
      <c r="I83" s="51" t="s">
        <v>53</v>
      </c>
      <c r="J83" s="51" t="s">
        <v>54</v>
      </c>
      <c r="K83" s="51">
        <v>1250</v>
      </c>
    </row>
    <row r="84" spans="1:11" x14ac:dyDescent="0.35">
      <c r="A84" s="47">
        <v>4502</v>
      </c>
      <c r="B84" s="47" t="s">
        <v>621</v>
      </c>
      <c r="C84" s="47">
        <v>1978</v>
      </c>
      <c r="D84" s="47" t="s">
        <v>656</v>
      </c>
      <c r="E84" s="47" t="s">
        <v>671</v>
      </c>
      <c r="F84" s="47" t="s">
        <v>1617</v>
      </c>
      <c r="G84" s="47" t="s">
        <v>679</v>
      </c>
      <c r="H84" s="67">
        <v>45503</v>
      </c>
      <c r="I84" s="51" t="s">
        <v>53</v>
      </c>
      <c r="J84" s="51" t="s">
        <v>32</v>
      </c>
      <c r="K84" s="51">
        <v>1250</v>
      </c>
    </row>
    <row r="85" spans="1:11" x14ac:dyDescent="0.35">
      <c r="A85" s="47">
        <v>7635</v>
      </c>
      <c r="B85" s="47" t="s">
        <v>76</v>
      </c>
      <c r="C85" s="47">
        <v>7445</v>
      </c>
      <c r="D85" s="47" t="s">
        <v>118</v>
      </c>
      <c r="E85" s="47" t="s">
        <v>672</v>
      </c>
      <c r="F85" s="47" t="s">
        <v>1617</v>
      </c>
      <c r="G85" s="47" t="s">
        <v>679</v>
      </c>
      <c r="H85" s="67">
        <v>45503</v>
      </c>
      <c r="I85" s="51" t="s">
        <v>73</v>
      </c>
      <c r="J85" s="51" t="s">
        <v>74</v>
      </c>
      <c r="K85" s="51">
        <v>905</v>
      </c>
    </row>
    <row r="86" spans="1:11" x14ac:dyDescent="0.35">
      <c r="A86" s="47">
        <v>7369</v>
      </c>
      <c r="B86" s="47" t="s">
        <v>432</v>
      </c>
      <c r="C86" s="47">
        <v>7445</v>
      </c>
      <c r="D86" s="47" t="s">
        <v>118</v>
      </c>
      <c r="E86" s="47" t="s">
        <v>672</v>
      </c>
      <c r="F86" s="47" t="s">
        <v>1617</v>
      </c>
      <c r="G86" s="47" t="s">
        <v>679</v>
      </c>
      <c r="H86" s="67">
        <v>45503</v>
      </c>
      <c r="I86" s="51" t="s">
        <v>73</v>
      </c>
      <c r="J86" s="51" t="s">
        <v>74</v>
      </c>
      <c r="K86" s="51">
        <v>905</v>
      </c>
    </row>
    <row r="87" spans="1:11" x14ac:dyDescent="0.35">
      <c r="A87" s="47">
        <v>7005</v>
      </c>
      <c r="B87" s="47" t="s">
        <v>272</v>
      </c>
      <c r="C87" s="47">
        <v>7445</v>
      </c>
      <c r="D87" s="47" t="s">
        <v>118</v>
      </c>
      <c r="E87" s="47" t="s">
        <v>672</v>
      </c>
      <c r="F87" s="47" t="s">
        <v>1617</v>
      </c>
      <c r="G87" s="47" t="s">
        <v>679</v>
      </c>
      <c r="H87" s="67">
        <v>45503</v>
      </c>
      <c r="I87" s="51" t="s">
        <v>73</v>
      </c>
      <c r="J87" s="51" t="s">
        <v>74</v>
      </c>
      <c r="K87" s="51">
        <v>905</v>
      </c>
    </row>
    <row r="88" spans="1:11" x14ac:dyDescent="0.35">
      <c r="A88" s="47">
        <v>7370</v>
      </c>
      <c r="B88" s="47" t="s">
        <v>622</v>
      </c>
      <c r="C88" s="47">
        <v>7445</v>
      </c>
      <c r="D88" s="47" t="s">
        <v>118</v>
      </c>
      <c r="E88" s="47" t="s">
        <v>672</v>
      </c>
      <c r="F88" s="47" t="s">
        <v>1617</v>
      </c>
      <c r="G88" s="47" t="s">
        <v>679</v>
      </c>
      <c r="H88" s="67">
        <v>45503</v>
      </c>
      <c r="I88" s="51" t="s">
        <v>73</v>
      </c>
      <c r="J88" s="51" t="s">
        <v>74</v>
      </c>
      <c r="K88" s="51">
        <v>905</v>
      </c>
    </row>
    <row r="89" spans="1:11" x14ac:dyDescent="0.35">
      <c r="A89" s="47">
        <v>7803</v>
      </c>
      <c r="B89" s="47" t="s">
        <v>353</v>
      </c>
      <c r="C89" s="47">
        <v>7445</v>
      </c>
      <c r="D89" s="47" t="s">
        <v>118</v>
      </c>
      <c r="E89" s="47" t="s">
        <v>672</v>
      </c>
      <c r="F89" s="47" t="s">
        <v>1617</v>
      </c>
      <c r="G89" s="47" t="s">
        <v>679</v>
      </c>
      <c r="H89" s="67">
        <v>45503</v>
      </c>
      <c r="I89" s="51" t="s">
        <v>73</v>
      </c>
      <c r="J89" s="51" t="s">
        <v>74</v>
      </c>
      <c r="K89" s="51">
        <v>905</v>
      </c>
    </row>
    <row r="90" spans="1:11" x14ac:dyDescent="0.35">
      <c r="A90" s="47">
        <v>7723</v>
      </c>
      <c r="B90" s="47" t="s">
        <v>623</v>
      </c>
      <c r="C90" s="47">
        <v>7445</v>
      </c>
      <c r="D90" s="47" t="s">
        <v>118</v>
      </c>
      <c r="E90" s="47" t="s">
        <v>672</v>
      </c>
      <c r="F90" s="47" t="s">
        <v>1617</v>
      </c>
      <c r="G90" s="47" t="s">
        <v>679</v>
      </c>
      <c r="H90" s="67">
        <v>45503</v>
      </c>
      <c r="I90" s="51" t="s">
        <v>73</v>
      </c>
      <c r="J90" s="51" t="s">
        <v>74</v>
      </c>
      <c r="K90" s="51">
        <v>905</v>
      </c>
    </row>
    <row r="91" spans="1:11" x14ac:dyDescent="0.35">
      <c r="A91" s="47">
        <v>6723</v>
      </c>
      <c r="B91" s="47" t="s">
        <v>624</v>
      </c>
      <c r="C91" s="47">
        <v>7445</v>
      </c>
      <c r="D91" s="47" t="s">
        <v>118</v>
      </c>
      <c r="E91" s="47" t="s">
        <v>672</v>
      </c>
      <c r="F91" s="47" t="s">
        <v>1617</v>
      </c>
      <c r="G91" s="47" t="s">
        <v>679</v>
      </c>
      <c r="H91" s="67">
        <v>45503</v>
      </c>
      <c r="I91" s="51" t="s">
        <v>73</v>
      </c>
      <c r="J91" s="51" t="s">
        <v>74</v>
      </c>
      <c r="K91" s="51">
        <v>905</v>
      </c>
    </row>
    <row r="92" spans="1:11" x14ac:dyDescent="0.35">
      <c r="A92" s="47">
        <v>7399</v>
      </c>
      <c r="B92" s="47" t="s">
        <v>71</v>
      </c>
      <c r="C92" s="47">
        <v>7445</v>
      </c>
      <c r="D92" s="47" t="s">
        <v>118</v>
      </c>
      <c r="E92" s="47" t="s">
        <v>672</v>
      </c>
      <c r="F92" s="47" t="s">
        <v>1617</v>
      </c>
      <c r="G92" s="47" t="s">
        <v>679</v>
      </c>
      <c r="H92" s="67">
        <v>45503</v>
      </c>
      <c r="I92" s="51" t="s">
        <v>73</v>
      </c>
      <c r="J92" s="51" t="s">
        <v>74</v>
      </c>
      <c r="K92" s="51">
        <v>905</v>
      </c>
    </row>
    <row r="93" spans="1:11" x14ac:dyDescent="0.35">
      <c r="A93" s="47">
        <v>7030</v>
      </c>
      <c r="B93" s="47" t="s">
        <v>174</v>
      </c>
      <c r="C93" s="47">
        <v>7445</v>
      </c>
      <c r="D93" s="47" t="s">
        <v>118</v>
      </c>
      <c r="E93" s="47" t="s">
        <v>672</v>
      </c>
      <c r="F93" s="47" t="s">
        <v>1617</v>
      </c>
      <c r="G93" s="47" t="s">
        <v>679</v>
      </c>
      <c r="H93" s="67">
        <v>45503</v>
      </c>
      <c r="I93" s="51" t="s">
        <v>73</v>
      </c>
      <c r="J93" s="51" t="s">
        <v>74</v>
      </c>
      <c r="K93" s="51">
        <v>905</v>
      </c>
    </row>
    <row r="94" spans="1:11" x14ac:dyDescent="0.35">
      <c r="A94" s="47">
        <v>6745</v>
      </c>
      <c r="B94" s="47" t="s">
        <v>75</v>
      </c>
      <c r="C94" s="47">
        <v>7445</v>
      </c>
      <c r="D94" s="47" t="s">
        <v>118</v>
      </c>
      <c r="E94" s="47" t="s">
        <v>672</v>
      </c>
      <c r="F94" s="47" t="s">
        <v>1617</v>
      </c>
      <c r="G94" s="47" t="s">
        <v>679</v>
      </c>
      <c r="H94" s="67">
        <v>45503</v>
      </c>
      <c r="I94" s="51" t="s">
        <v>73</v>
      </c>
      <c r="J94" s="51" t="s">
        <v>74</v>
      </c>
      <c r="K94" s="51">
        <v>905</v>
      </c>
    </row>
    <row r="95" spans="1:11" x14ac:dyDescent="0.35">
      <c r="A95" s="47">
        <v>6562</v>
      </c>
      <c r="B95" s="47" t="s">
        <v>625</v>
      </c>
      <c r="C95" s="47">
        <v>7445</v>
      </c>
      <c r="D95" s="47" t="s">
        <v>118</v>
      </c>
      <c r="E95" s="47" t="s">
        <v>672</v>
      </c>
      <c r="F95" s="47" t="s">
        <v>1617</v>
      </c>
      <c r="G95" s="47" t="s">
        <v>679</v>
      </c>
      <c r="H95" s="67">
        <v>45503</v>
      </c>
      <c r="I95" s="51" t="s">
        <v>73</v>
      </c>
      <c r="J95" s="51" t="s">
        <v>74</v>
      </c>
      <c r="K95" s="51">
        <v>905</v>
      </c>
    </row>
    <row r="96" spans="1:11" x14ac:dyDescent="0.35">
      <c r="A96" s="47">
        <v>6443</v>
      </c>
      <c r="B96" s="47" t="s">
        <v>434</v>
      </c>
      <c r="C96" s="47">
        <v>2815</v>
      </c>
      <c r="D96" s="47" t="s">
        <v>123</v>
      </c>
      <c r="E96" s="47" t="s">
        <v>673</v>
      </c>
      <c r="F96" s="47" t="s">
        <v>1617</v>
      </c>
      <c r="G96" s="47" t="s">
        <v>679</v>
      </c>
      <c r="H96" s="67">
        <v>45503</v>
      </c>
      <c r="I96" s="51" t="s">
        <v>73</v>
      </c>
      <c r="J96" s="51" t="s">
        <v>74</v>
      </c>
      <c r="K96" s="51">
        <v>3330</v>
      </c>
    </row>
    <row r="97" spans="1:11" x14ac:dyDescent="0.35">
      <c r="A97" s="47">
        <v>6437</v>
      </c>
      <c r="B97" s="47" t="s">
        <v>626</v>
      </c>
      <c r="C97" s="47">
        <v>2815</v>
      </c>
      <c r="D97" s="47" t="s">
        <v>123</v>
      </c>
      <c r="E97" s="47" t="s">
        <v>673</v>
      </c>
      <c r="F97" s="47" t="s">
        <v>1617</v>
      </c>
      <c r="G97" s="47" t="s">
        <v>679</v>
      </c>
      <c r="H97" s="67">
        <v>45503</v>
      </c>
      <c r="I97" s="51" t="s">
        <v>73</v>
      </c>
      <c r="J97" s="51" t="s">
        <v>74</v>
      </c>
      <c r="K97" s="51">
        <v>3330</v>
      </c>
    </row>
    <row r="98" spans="1:11" x14ac:dyDescent="0.35">
      <c r="A98" s="47">
        <v>7352</v>
      </c>
      <c r="B98" s="47" t="s">
        <v>431</v>
      </c>
      <c r="C98" s="47">
        <v>2815</v>
      </c>
      <c r="D98" s="47" t="s">
        <v>123</v>
      </c>
      <c r="E98" s="47" t="s">
        <v>673</v>
      </c>
      <c r="F98" s="47" t="s">
        <v>1617</v>
      </c>
      <c r="G98" s="47" t="s">
        <v>679</v>
      </c>
      <c r="H98" s="67">
        <v>45503</v>
      </c>
      <c r="I98" s="51" t="s">
        <v>73</v>
      </c>
      <c r="J98" s="51" t="s">
        <v>74</v>
      </c>
      <c r="K98" s="51">
        <v>3330</v>
      </c>
    </row>
    <row r="99" spans="1:11" x14ac:dyDescent="0.35">
      <c r="A99" s="47">
        <v>3993</v>
      </c>
      <c r="B99" s="47" t="s">
        <v>627</v>
      </c>
      <c r="C99" s="47">
        <v>4454</v>
      </c>
      <c r="D99" s="47" t="s">
        <v>657</v>
      </c>
      <c r="E99" s="47" t="s">
        <v>674</v>
      </c>
      <c r="F99" s="47" t="s">
        <v>1617</v>
      </c>
      <c r="G99" s="47" t="s">
        <v>679</v>
      </c>
      <c r="H99" s="67">
        <v>45503</v>
      </c>
      <c r="I99" s="51" t="s">
        <v>53</v>
      </c>
      <c r="J99" s="51" t="s">
        <v>32</v>
      </c>
      <c r="K99" s="51">
        <v>5000</v>
      </c>
    </row>
    <row r="100" spans="1:11" x14ac:dyDescent="0.35">
      <c r="A100" s="47">
        <v>7462</v>
      </c>
      <c r="B100" s="47" t="s">
        <v>628</v>
      </c>
      <c r="C100" s="47">
        <v>4454</v>
      </c>
      <c r="D100" s="47" t="s">
        <v>657</v>
      </c>
      <c r="E100" s="47" t="s">
        <v>674</v>
      </c>
      <c r="F100" s="47" t="s">
        <v>1617</v>
      </c>
      <c r="G100" s="47" t="s">
        <v>679</v>
      </c>
      <c r="H100" s="67">
        <v>45503</v>
      </c>
      <c r="I100" s="51" t="s">
        <v>53</v>
      </c>
      <c r="J100" s="51" t="s">
        <v>74</v>
      </c>
      <c r="K100" s="51">
        <v>5000</v>
      </c>
    </row>
    <row r="101" spans="1:11" x14ac:dyDescent="0.35">
      <c r="A101" s="47">
        <v>3312</v>
      </c>
      <c r="B101" s="47" t="s">
        <v>629</v>
      </c>
      <c r="C101" s="47">
        <v>7689</v>
      </c>
      <c r="D101" s="47" t="s">
        <v>658</v>
      </c>
      <c r="E101" s="47" t="s">
        <v>675</v>
      </c>
      <c r="F101" s="47" t="s">
        <v>1617</v>
      </c>
      <c r="G101" s="47" t="s">
        <v>679</v>
      </c>
      <c r="H101" s="67">
        <v>45503</v>
      </c>
      <c r="I101" s="51" t="s">
        <v>40</v>
      </c>
      <c r="J101" s="51" t="s">
        <v>251</v>
      </c>
      <c r="K101" s="51">
        <v>1425</v>
      </c>
    </row>
    <row r="102" spans="1:11" x14ac:dyDescent="0.35">
      <c r="A102" s="47">
        <v>5694</v>
      </c>
      <c r="B102" s="47" t="s">
        <v>630</v>
      </c>
      <c r="C102" s="47">
        <v>7689</v>
      </c>
      <c r="D102" s="47" t="s">
        <v>658</v>
      </c>
      <c r="E102" s="47" t="s">
        <v>675</v>
      </c>
      <c r="F102" s="47" t="s">
        <v>1617</v>
      </c>
      <c r="G102" s="47" t="s">
        <v>679</v>
      </c>
      <c r="H102" s="67">
        <v>45503</v>
      </c>
      <c r="I102" s="51" t="s">
        <v>40</v>
      </c>
      <c r="J102" s="51" t="s">
        <v>251</v>
      </c>
      <c r="K102" s="51">
        <v>1425</v>
      </c>
    </row>
    <row r="103" spans="1:11" x14ac:dyDescent="0.35">
      <c r="A103" s="47">
        <v>7791</v>
      </c>
      <c r="B103" s="47" t="s">
        <v>631</v>
      </c>
      <c r="C103" s="47">
        <v>7689</v>
      </c>
      <c r="D103" s="47" t="s">
        <v>658</v>
      </c>
      <c r="E103" s="47" t="s">
        <v>675</v>
      </c>
      <c r="F103" s="47" t="s">
        <v>1617</v>
      </c>
      <c r="G103" s="47" t="s">
        <v>679</v>
      </c>
      <c r="H103" s="67">
        <v>45503</v>
      </c>
      <c r="I103" s="51" t="s">
        <v>40</v>
      </c>
      <c r="J103" s="51" t="s">
        <v>251</v>
      </c>
      <c r="K103" s="51">
        <v>1425</v>
      </c>
    </row>
    <row r="104" spans="1:11" x14ac:dyDescent="0.35">
      <c r="A104" s="47">
        <v>3358</v>
      </c>
      <c r="B104" s="47" t="s">
        <v>632</v>
      </c>
      <c r="C104" s="47">
        <v>7689</v>
      </c>
      <c r="D104" s="47" t="s">
        <v>658</v>
      </c>
      <c r="E104" s="47" t="s">
        <v>675</v>
      </c>
      <c r="F104" s="47" t="s">
        <v>1617</v>
      </c>
      <c r="G104" s="47" t="s">
        <v>679</v>
      </c>
      <c r="H104" s="67">
        <v>45503</v>
      </c>
      <c r="I104" s="51" t="s">
        <v>40</v>
      </c>
      <c r="J104" s="51" t="s">
        <v>251</v>
      </c>
      <c r="K104" s="51">
        <v>1425</v>
      </c>
    </row>
    <row r="105" spans="1:11" x14ac:dyDescent="0.35">
      <c r="A105" s="47">
        <v>3063</v>
      </c>
      <c r="B105" s="47" t="s">
        <v>254</v>
      </c>
      <c r="C105" s="47">
        <v>7689</v>
      </c>
      <c r="D105" s="47" t="s">
        <v>658</v>
      </c>
      <c r="E105" s="47" t="s">
        <v>675</v>
      </c>
      <c r="F105" s="47" t="s">
        <v>1617</v>
      </c>
      <c r="G105" s="47" t="s">
        <v>679</v>
      </c>
      <c r="H105" s="67">
        <v>45503</v>
      </c>
      <c r="I105" s="51" t="s">
        <v>40</v>
      </c>
      <c r="J105" s="51" t="s">
        <v>251</v>
      </c>
      <c r="K105" s="51">
        <v>1425</v>
      </c>
    </row>
    <row r="106" spans="1:11" x14ac:dyDescent="0.35">
      <c r="A106" s="47">
        <v>6306</v>
      </c>
      <c r="B106" s="47" t="s">
        <v>633</v>
      </c>
      <c r="C106" s="47">
        <v>7689</v>
      </c>
      <c r="D106" s="47" t="s">
        <v>658</v>
      </c>
      <c r="E106" s="47" t="s">
        <v>675</v>
      </c>
      <c r="F106" s="47" t="s">
        <v>1617</v>
      </c>
      <c r="G106" s="47" t="s">
        <v>679</v>
      </c>
      <c r="H106" s="67">
        <v>45503</v>
      </c>
      <c r="I106" s="51" t="s">
        <v>40</v>
      </c>
      <c r="J106" s="51" t="s">
        <v>251</v>
      </c>
      <c r="K106" s="51">
        <v>1425</v>
      </c>
    </row>
    <row r="107" spans="1:11" x14ac:dyDescent="0.35">
      <c r="A107" s="47">
        <v>6620</v>
      </c>
      <c r="B107" s="47" t="s">
        <v>634</v>
      </c>
      <c r="C107" s="47">
        <v>7689</v>
      </c>
      <c r="D107" s="47" t="s">
        <v>658</v>
      </c>
      <c r="E107" s="47" t="s">
        <v>675</v>
      </c>
      <c r="F107" s="47" t="s">
        <v>1617</v>
      </c>
      <c r="G107" s="47" t="s">
        <v>679</v>
      </c>
      <c r="H107" s="67">
        <v>45503</v>
      </c>
      <c r="I107" s="51" t="s">
        <v>40</v>
      </c>
      <c r="J107" s="51" t="s">
        <v>251</v>
      </c>
      <c r="K107" s="51">
        <v>1425</v>
      </c>
    </row>
    <row r="108" spans="1:11" x14ac:dyDescent="0.35">
      <c r="A108" s="47">
        <v>3032</v>
      </c>
      <c r="B108" s="47" t="s">
        <v>635</v>
      </c>
      <c r="C108" s="47">
        <v>5624</v>
      </c>
      <c r="D108" s="47" t="s">
        <v>659</v>
      </c>
      <c r="E108" s="47" t="s">
        <v>676</v>
      </c>
      <c r="F108" s="47" t="s">
        <v>1617</v>
      </c>
      <c r="G108" s="47" t="s">
        <v>679</v>
      </c>
      <c r="H108" s="67">
        <v>45503</v>
      </c>
      <c r="I108" s="51" t="s">
        <v>40</v>
      </c>
      <c r="J108" s="51" t="s">
        <v>74</v>
      </c>
      <c r="K108" s="51">
        <v>2500</v>
      </c>
    </row>
    <row r="109" spans="1:11" x14ac:dyDescent="0.35">
      <c r="A109" s="47">
        <v>5454</v>
      </c>
      <c r="B109" s="47" t="s">
        <v>636</v>
      </c>
      <c r="C109" s="47">
        <v>5624</v>
      </c>
      <c r="D109" s="47" t="s">
        <v>659</v>
      </c>
      <c r="E109" s="47" t="s">
        <v>676</v>
      </c>
      <c r="F109" s="47" t="s">
        <v>1617</v>
      </c>
      <c r="G109" s="47" t="s">
        <v>679</v>
      </c>
      <c r="H109" s="67">
        <v>45503</v>
      </c>
      <c r="I109" s="51" t="s">
        <v>40</v>
      </c>
      <c r="J109" s="51" t="s">
        <v>74</v>
      </c>
      <c r="K109" s="51">
        <v>2500</v>
      </c>
    </row>
    <row r="110" spans="1:11" x14ac:dyDescent="0.35">
      <c r="A110" s="47">
        <v>7600</v>
      </c>
      <c r="B110" s="47" t="s">
        <v>637</v>
      </c>
      <c r="C110" s="47">
        <v>5624</v>
      </c>
      <c r="D110" s="47" t="s">
        <v>659</v>
      </c>
      <c r="E110" s="47" t="s">
        <v>676</v>
      </c>
      <c r="F110" s="47" t="s">
        <v>1617</v>
      </c>
      <c r="G110" s="47" t="s">
        <v>679</v>
      </c>
      <c r="H110" s="67">
        <v>45503</v>
      </c>
      <c r="I110" s="51" t="s">
        <v>40</v>
      </c>
      <c r="J110" s="51" t="s">
        <v>74</v>
      </c>
      <c r="K110" s="51">
        <v>2500</v>
      </c>
    </row>
    <row r="111" spans="1:11" x14ac:dyDescent="0.35">
      <c r="A111" s="47">
        <v>6320</v>
      </c>
      <c r="B111" s="47" t="s">
        <v>638</v>
      </c>
      <c r="C111" s="47">
        <v>5624</v>
      </c>
      <c r="D111" s="47" t="s">
        <v>659</v>
      </c>
      <c r="E111" s="47" t="s">
        <v>676</v>
      </c>
      <c r="F111" s="47" t="s">
        <v>1617</v>
      </c>
      <c r="G111" s="47" t="s">
        <v>679</v>
      </c>
      <c r="H111" s="67">
        <v>45503</v>
      </c>
      <c r="I111" s="51" t="s">
        <v>40</v>
      </c>
      <c r="J111" s="51" t="s">
        <v>54</v>
      </c>
      <c r="K111" s="51">
        <v>2500</v>
      </c>
    </row>
    <row r="112" spans="1:11" x14ac:dyDescent="0.35">
      <c r="A112" s="47">
        <v>6384</v>
      </c>
      <c r="B112" s="47" t="s">
        <v>639</v>
      </c>
      <c r="C112" s="47">
        <v>5803</v>
      </c>
      <c r="D112" s="47" t="s">
        <v>660</v>
      </c>
      <c r="E112" s="65" t="s">
        <v>677</v>
      </c>
      <c r="F112" s="47" t="s">
        <v>1617</v>
      </c>
      <c r="G112" s="47" t="s">
        <v>679</v>
      </c>
      <c r="H112" s="67">
        <v>45503</v>
      </c>
      <c r="I112" s="51" t="s">
        <v>9</v>
      </c>
      <c r="J112" s="51" t="s">
        <v>10</v>
      </c>
      <c r="K112" s="51">
        <v>455</v>
      </c>
    </row>
    <row r="113" spans="1:11" x14ac:dyDescent="0.35">
      <c r="A113" s="47">
        <v>6808</v>
      </c>
      <c r="B113" s="47" t="s">
        <v>640</v>
      </c>
      <c r="C113" s="47">
        <v>5803</v>
      </c>
      <c r="D113" s="47" t="s">
        <v>660</v>
      </c>
      <c r="E113" s="65" t="s">
        <v>677</v>
      </c>
      <c r="F113" s="47" t="s">
        <v>1617</v>
      </c>
      <c r="G113" s="47" t="s">
        <v>679</v>
      </c>
      <c r="H113" s="67">
        <v>45503</v>
      </c>
      <c r="I113" s="51" t="s">
        <v>9</v>
      </c>
      <c r="J113" s="51" t="s">
        <v>10</v>
      </c>
      <c r="K113" s="51">
        <v>455</v>
      </c>
    </row>
    <row r="114" spans="1:11" x14ac:dyDescent="0.35">
      <c r="A114" s="47">
        <v>7567</v>
      </c>
      <c r="B114" s="47" t="s">
        <v>411</v>
      </c>
      <c r="C114" s="47">
        <v>5803</v>
      </c>
      <c r="D114" s="47" t="s">
        <v>660</v>
      </c>
      <c r="E114" s="65" t="s">
        <v>677</v>
      </c>
      <c r="F114" s="47" t="s">
        <v>1617</v>
      </c>
      <c r="G114" s="47" t="s">
        <v>679</v>
      </c>
      <c r="H114" s="67">
        <v>45503</v>
      </c>
      <c r="I114" s="51" t="s">
        <v>9</v>
      </c>
      <c r="J114" s="51" t="s">
        <v>10</v>
      </c>
      <c r="K114" s="51">
        <v>455</v>
      </c>
    </row>
    <row r="115" spans="1:11" x14ac:dyDescent="0.35">
      <c r="A115" s="47">
        <v>6289</v>
      </c>
      <c r="B115" s="47" t="s">
        <v>641</v>
      </c>
      <c r="C115" s="47">
        <v>5803</v>
      </c>
      <c r="D115" s="47" t="s">
        <v>660</v>
      </c>
      <c r="E115" s="65" t="s">
        <v>677</v>
      </c>
      <c r="F115" s="47" t="s">
        <v>1617</v>
      </c>
      <c r="G115" s="47" t="s">
        <v>679</v>
      </c>
      <c r="H115" s="67">
        <v>45503</v>
      </c>
      <c r="I115" s="51" t="s">
        <v>9</v>
      </c>
      <c r="J115" s="51" t="s">
        <v>10</v>
      </c>
      <c r="K115" s="51">
        <v>455</v>
      </c>
    </row>
    <row r="116" spans="1:11" x14ac:dyDescent="0.35">
      <c r="A116" s="47">
        <v>5714</v>
      </c>
      <c r="B116" s="47" t="s">
        <v>116</v>
      </c>
      <c r="C116" s="47">
        <v>5803</v>
      </c>
      <c r="D116" s="47" t="s">
        <v>660</v>
      </c>
      <c r="E116" s="65" t="s">
        <v>677</v>
      </c>
      <c r="F116" s="47" t="s">
        <v>1617</v>
      </c>
      <c r="G116" s="47" t="s">
        <v>679</v>
      </c>
      <c r="H116" s="67">
        <v>45503</v>
      </c>
      <c r="I116" s="51" t="s">
        <v>9</v>
      </c>
      <c r="J116" s="51" t="s">
        <v>54</v>
      </c>
      <c r="K116" s="51">
        <v>455</v>
      </c>
    </row>
    <row r="117" spans="1:11" x14ac:dyDescent="0.35">
      <c r="A117" s="47">
        <v>1591</v>
      </c>
      <c r="B117" s="47" t="s">
        <v>590</v>
      </c>
      <c r="C117" s="47">
        <v>5803</v>
      </c>
      <c r="D117" s="47" t="s">
        <v>660</v>
      </c>
      <c r="E117" s="65" t="s">
        <v>677</v>
      </c>
      <c r="F117" s="47" t="s">
        <v>1617</v>
      </c>
      <c r="G117" s="47" t="s">
        <v>679</v>
      </c>
      <c r="H117" s="67">
        <v>45503</v>
      </c>
      <c r="I117" s="51" t="s">
        <v>9</v>
      </c>
      <c r="J117" s="51" t="s">
        <v>54</v>
      </c>
      <c r="K117" s="51">
        <v>455</v>
      </c>
    </row>
    <row r="118" spans="1:11" x14ac:dyDescent="0.35">
      <c r="A118" s="47">
        <v>6787</v>
      </c>
      <c r="B118" s="47" t="s">
        <v>642</v>
      </c>
      <c r="C118" s="47">
        <v>5803</v>
      </c>
      <c r="D118" s="47" t="s">
        <v>660</v>
      </c>
      <c r="E118" s="65" t="s">
        <v>677</v>
      </c>
      <c r="F118" s="47" t="s">
        <v>1617</v>
      </c>
      <c r="G118" s="47" t="s">
        <v>679</v>
      </c>
      <c r="H118" s="67">
        <v>45503</v>
      </c>
      <c r="I118" s="51" t="s">
        <v>9</v>
      </c>
      <c r="J118" s="51" t="s">
        <v>54</v>
      </c>
      <c r="K118" s="51">
        <v>455</v>
      </c>
    </row>
    <row r="119" spans="1:11" x14ac:dyDescent="0.35">
      <c r="A119" s="47">
        <v>7756</v>
      </c>
      <c r="B119" s="47" t="s">
        <v>65</v>
      </c>
      <c r="C119" s="47">
        <v>5803</v>
      </c>
      <c r="D119" s="47" t="s">
        <v>660</v>
      </c>
      <c r="E119" s="65" t="s">
        <v>677</v>
      </c>
      <c r="F119" s="47" t="s">
        <v>1617</v>
      </c>
      <c r="G119" s="47" t="s">
        <v>679</v>
      </c>
      <c r="H119" s="67">
        <v>45503</v>
      </c>
      <c r="I119" s="51" t="s">
        <v>9</v>
      </c>
      <c r="J119" s="51" t="s">
        <v>54</v>
      </c>
      <c r="K119" s="51">
        <v>455</v>
      </c>
    </row>
    <row r="120" spans="1:11" x14ac:dyDescent="0.35">
      <c r="A120" s="47">
        <v>4013</v>
      </c>
      <c r="B120" s="47" t="s">
        <v>268</v>
      </c>
      <c r="C120" s="47">
        <v>5803</v>
      </c>
      <c r="D120" s="47" t="s">
        <v>660</v>
      </c>
      <c r="E120" s="65" t="s">
        <v>677</v>
      </c>
      <c r="F120" s="47" t="s">
        <v>1617</v>
      </c>
      <c r="G120" s="47" t="s">
        <v>679</v>
      </c>
      <c r="H120" s="67">
        <v>45503</v>
      </c>
      <c r="I120" s="51" t="s">
        <v>9</v>
      </c>
      <c r="J120" s="51" t="s">
        <v>54</v>
      </c>
      <c r="K120" s="51">
        <v>455</v>
      </c>
    </row>
    <row r="121" spans="1:11" x14ac:dyDescent="0.35">
      <c r="A121" s="47">
        <v>6409</v>
      </c>
      <c r="B121" s="47" t="s">
        <v>643</v>
      </c>
      <c r="C121" s="47">
        <v>5803</v>
      </c>
      <c r="D121" s="47" t="s">
        <v>660</v>
      </c>
      <c r="E121" s="65" t="s">
        <v>677</v>
      </c>
      <c r="F121" s="47" t="s">
        <v>1617</v>
      </c>
      <c r="G121" s="47" t="s">
        <v>679</v>
      </c>
      <c r="H121" s="67">
        <v>45503</v>
      </c>
      <c r="I121" s="51" t="s">
        <v>9</v>
      </c>
      <c r="J121" s="51" t="s">
        <v>10</v>
      </c>
      <c r="K121" s="51">
        <v>455</v>
      </c>
    </row>
    <row r="122" spans="1:11" x14ac:dyDescent="0.35">
      <c r="A122" s="47">
        <v>5517</v>
      </c>
      <c r="B122" s="47" t="s">
        <v>363</v>
      </c>
      <c r="C122" s="47">
        <v>5803</v>
      </c>
      <c r="D122" s="47" t="s">
        <v>660</v>
      </c>
      <c r="E122" s="65" t="s">
        <v>677</v>
      </c>
      <c r="F122" s="47" t="s">
        <v>1617</v>
      </c>
      <c r="G122" s="47" t="s">
        <v>679</v>
      </c>
      <c r="H122" s="67">
        <v>45503</v>
      </c>
      <c r="I122" s="51" t="s">
        <v>9</v>
      </c>
      <c r="J122" s="51" t="s">
        <v>10</v>
      </c>
      <c r="K122" s="51">
        <v>455</v>
      </c>
    </row>
    <row r="123" spans="1:11" x14ac:dyDescent="0.35">
      <c r="A123" s="47">
        <v>7024</v>
      </c>
      <c r="B123" s="47" t="s">
        <v>362</v>
      </c>
      <c r="C123" s="47">
        <v>5803</v>
      </c>
      <c r="D123" s="47" t="s">
        <v>660</v>
      </c>
      <c r="E123" s="65" t="s">
        <v>677</v>
      </c>
      <c r="F123" s="47" t="s">
        <v>1617</v>
      </c>
      <c r="G123" s="47" t="s">
        <v>679</v>
      </c>
      <c r="H123" s="67">
        <v>45503</v>
      </c>
      <c r="I123" s="51" t="s">
        <v>9</v>
      </c>
      <c r="J123" s="51" t="s">
        <v>10</v>
      </c>
      <c r="K123" s="51">
        <v>455</v>
      </c>
    </row>
    <row r="124" spans="1:11" x14ac:dyDescent="0.35">
      <c r="A124" s="47">
        <v>7251</v>
      </c>
      <c r="B124" s="47" t="s">
        <v>644</v>
      </c>
      <c r="C124" s="47">
        <v>5803</v>
      </c>
      <c r="D124" s="47" t="s">
        <v>660</v>
      </c>
      <c r="E124" s="65" t="s">
        <v>677</v>
      </c>
      <c r="F124" s="47" t="s">
        <v>1617</v>
      </c>
      <c r="G124" s="47" t="s">
        <v>679</v>
      </c>
      <c r="H124" s="67">
        <v>45503</v>
      </c>
      <c r="I124" s="51" t="s">
        <v>9</v>
      </c>
      <c r="J124" s="51" t="s">
        <v>10</v>
      </c>
      <c r="K124" s="51">
        <v>455</v>
      </c>
    </row>
    <row r="125" spans="1:11" x14ac:dyDescent="0.35">
      <c r="A125" s="47">
        <v>7398</v>
      </c>
      <c r="B125" s="47" t="s">
        <v>645</v>
      </c>
      <c r="C125" s="47">
        <v>5803</v>
      </c>
      <c r="D125" s="47" t="s">
        <v>660</v>
      </c>
      <c r="E125" s="65" t="s">
        <v>677</v>
      </c>
      <c r="F125" s="47" t="s">
        <v>1617</v>
      </c>
      <c r="G125" s="47" t="s">
        <v>679</v>
      </c>
      <c r="H125" s="67">
        <v>45503</v>
      </c>
      <c r="I125" s="51" t="s">
        <v>9</v>
      </c>
      <c r="J125" s="51" t="s">
        <v>10</v>
      </c>
      <c r="K125" s="51">
        <v>455</v>
      </c>
    </row>
    <row r="126" spans="1:11" x14ac:dyDescent="0.35">
      <c r="A126" s="47">
        <v>7250</v>
      </c>
      <c r="B126" s="47" t="s">
        <v>288</v>
      </c>
      <c r="C126" s="47">
        <v>5803</v>
      </c>
      <c r="D126" s="47" t="s">
        <v>660</v>
      </c>
      <c r="E126" s="65" t="s">
        <v>677</v>
      </c>
      <c r="F126" s="47" t="s">
        <v>1617</v>
      </c>
      <c r="G126" s="47" t="s">
        <v>679</v>
      </c>
      <c r="H126" s="67">
        <v>45503</v>
      </c>
      <c r="I126" s="51" t="s">
        <v>9</v>
      </c>
      <c r="J126" s="51" t="s">
        <v>10</v>
      </c>
      <c r="K126" s="51">
        <v>455</v>
      </c>
    </row>
    <row r="127" spans="1:11" x14ac:dyDescent="0.35">
      <c r="A127" s="47">
        <v>7512</v>
      </c>
      <c r="B127" s="47" t="s">
        <v>646</v>
      </c>
      <c r="C127" s="47">
        <v>5803</v>
      </c>
      <c r="D127" s="47" t="s">
        <v>660</v>
      </c>
      <c r="E127" s="65" t="s">
        <v>677</v>
      </c>
      <c r="F127" s="47" t="s">
        <v>1617</v>
      </c>
      <c r="G127" s="47" t="s">
        <v>679</v>
      </c>
      <c r="H127" s="67">
        <v>45503</v>
      </c>
      <c r="I127" s="51" t="s">
        <v>9</v>
      </c>
      <c r="J127" s="51" t="s">
        <v>10</v>
      </c>
      <c r="K127" s="51">
        <v>455</v>
      </c>
    </row>
    <row r="128" spans="1:11" x14ac:dyDescent="0.35">
      <c r="A128" s="47">
        <v>7584</v>
      </c>
      <c r="B128" s="47" t="s">
        <v>266</v>
      </c>
      <c r="C128" s="47">
        <v>5803</v>
      </c>
      <c r="D128" s="47" t="s">
        <v>660</v>
      </c>
      <c r="E128" s="65" t="s">
        <v>677</v>
      </c>
      <c r="F128" s="47" t="s">
        <v>1617</v>
      </c>
      <c r="G128" s="47" t="s">
        <v>679</v>
      </c>
      <c r="H128" s="67">
        <v>45503</v>
      </c>
      <c r="I128" s="51" t="s">
        <v>9</v>
      </c>
      <c r="J128" s="51" t="s">
        <v>10</v>
      </c>
      <c r="K128" s="51">
        <v>455</v>
      </c>
    </row>
    <row r="129" spans="1:11" x14ac:dyDescent="0.35">
      <c r="A129" s="47">
        <v>2826</v>
      </c>
      <c r="B129" s="47" t="s">
        <v>169</v>
      </c>
      <c r="C129" s="47">
        <v>5803</v>
      </c>
      <c r="D129" s="47" t="s">
        <v>660</v>
      </c>
      <c r="E129" s="65" t="s">
        <v>677</v>
      </c>
      <c r="F129" s="47" t="s">
        <v>1617</v>
      </c>
      <c r="G129" s="47" t="s">
        <v>679</v>
      </c>
      <c r="H129" s="67">
        <v>45503</v>
      </c>
      <c r="I129" s="51" t="s">
        <v>9</v>
      </c>
      <c r="J129" s="51" t="s">
        <v>54</v>
      </c>
      <c r="K129" s="51">
        <v>455</v>
      </c>
    </row>
    <row r="130" spans="1:11" x14ac:dyDescent="0.35">
      <c r="A130" s="47">
        <v>5428</v>
      </c>
      <c r="B130" s="47" t="s">
        <v>647</v>
      </c>
      <c r="C130" s="47">
        <v>5803</v>
      </c>
      <c r="D130" s="47" t="s">
        <v>660</v>
      </c>
      <c r="E130" s="65" t="s">
        <v>677</v>
      </c>
      <c r="F130" s="47" t="s">
        <v>1617</v>
      </c>
      <c r="G130" s="47" t="s">
        <v>679</v>
      </c>
      <c r="H130" s="67">
        <v>45503</v>
      </c>
      <c r="I130" s="51" t="s">
        <v>249</v>
      </c>
      <c r="J130" s="51" t="s">
        <v>10</v>
      </c>
      <c r="K130" s="51">
        <v>455</v>
      </c>
    </row>
    <row r="131" spans="1:11" x14ac:dyDescent="0.35">
      <c r="A131" s="47">
        <v>6809</v>
      </c>
      <c r="B131" s="47" t="s">
        <v>648</v>
      </c>
      <c r="C131" s="47">
        <v>5803</v>
      </c>
      <c r="D131" s="47" t="s">
        <v>660</v>
      </c>
      <c r="E131" s="65" t="s">
        <v>677</v>
      </c>
      <c r="F131" s="47" t="s">
        <v>1617</v>
      </c>
      <c r="G131" s="47" t="s">
        <v>679</v>
      </c>
      <c r="H131" s="67">
        <v>45503</v>
      </c>
      <c r="I131" s="51" t="s">
        <v>9</v>
      </c>
      <c r="J131" s="51" t="s">
        <v>10</v>
      </c>
      <c r="K131" s="51">
        <v>455</v>
      </c>
    </row>
    <row r="132" spans="1:11" x14ac:dyDescent="0.35">
      <c r="A132" s="47">
        <v>7426</v>
      </c>
      <c r="B132" s="47" t="s">
        <v>19</v>
      </c>
      <c r="C132" s="47">
        <v>5803</v>
      </c>
      <c r="D132" s="47" t="s">
        <v>660</v>
      </c>
      <c r="E132" s="65" t="s">
        <v>677</v>
      </c>
      <c r="F132" s="47" t="s">
        <v>1617</v>
      </c>
      <c r="G132" s="47" t="s">
        <v>679</v>
      </c>
      <c r="H132" s="67">
        <v>45503</v>
      </c>
      <c r="I132" s="51" t="s">
        <v>21</v>
      </c>
      <c r="J132" s="51" t="s">
        <v>10</v>
      </c>
      <c r="K132" s="51">
        <v>455</v>
      </c>
    </row>
    <row r="133" spans="1:11" x14ac:dyDescent="0.35">
      <c r="A133" s="47">
        <v>7656</v>
      </c>
      <c r="B133" s="47" t="s">
        <v>25</v>
      </c>
      <c r="C133" s="47">
        <v>5803</v>
      </c>
      <c r="D133" s="47" t="s">
        <v>660</v>
      </c>
      <c r="E133" s="65" t="s">
        <v>677</v>
      </c>
      <c r="F133" s="47" t="s">
        <v>1617</v>
      </c>
      <c r="G133" s="47" t="s">
        <v>679</v>
      </c>
      <c r="H133" s="67">
        <v>45503</v>
      </c>
      <c r="I133" s="51" t="s">
        <v>21</v>
      </c>
      <c r="J133" s="51" t="s">
        <v>10</v>
      </c>
      <c r="K133" s="51">
        <v>455</v>
      </c>
    </row>
    <row r="134" spans="1:11" x14ac:dyDescent="0.35">
      <c r="A134" s="47">
        <v>65</v>
      </c>
      <c r="B134" s="47" t="s">
        <v>649</v>
      </c>
      <c r="C134" s="47">
        <v>4329</v>
      </c>
      <c r="D134" s="47" t="s">
        <v>456</v>
      </c>
      <c r="E134" s="65" t="s">
        <v>678</v>
      </c>
      <c r="F134" s="47" t="s">
        <v>1685</v>
      </c>
      <c r="G134" s="47" t="s">
        <v>679</v>
      </c>
      <c r="H134" s="67">
        <v>45390</v>
      </c>
      <c r="I134" s="51" t="s">
        <v>24</v>
      </c>
      <c r="J134" s="51" t="s">
        <v>10</v>
      </c>
      <c r="K134" s="51">
        <v>1665</v>
      </c>
    </row>
    <row r="135" spans="1:11" x14ac:dyDescent="0.35">
      <c r="A135" s="47">
        <v>52</v>
      </c>
      <c r="B135" s="47" t="s">
        <v>650</v>
      </c>
      <c r="C135" s="47">
        <v>4329</v>
      </c>
      <c r="D135" s="47" t="s">
        <v>456</v>
      </c>
      <c r="E135" s="65" t="s">
        <v>678</v>
      </c>
      <c r="F135" s="47" t="s">
        <v>1685</v>
      </c>
      <c r="G135" s="47" t="s">
        <v>679</v>
      </c>
      <c r="H135" s="67">
        <v>45390</v>
      </c>
      <c r="I135" s="51" t="s">
        <v>24</v>
      </c>
      <c r="J135" s="51" t="s">
        <v>10</v>
      </c>
      <c r="K135" s="51">
        <v>1665</v>
      </c>
    </row>
    <row r="136" spans="1:11" x14ac:dyDescent="0.35">
      <c r="A136" s="47">
        <v>7275</v>
      </c>
      <c r="B136" s="47" t="s">
        <v>27</v>
      </c>
      <c r="C136" s="47">
        <v>4329</v>
      </c>
      <c r="D136" s="47" t="s">
        <v>456</v>
      </c>
      <c r="E136" s="65" t="s">
        <v>678</v>
      </c>
      <c r="F136" s="47" t="s">
        <v>1685</v>
      </c>
      <c r="G136" s="47" t="s">
        <v>679</v>
      </c>
      <c r="H136" s="67">
        <v>45390</v>
      </c>
      <c r="I136" s="51" t="s">
        <v>24</v>
      </c>
      <c r="J136" s="51" t="s">
        <v>10</v>
      </c>
      <c r="K136" s="51">
        <v>1665</v>
      </c>
    </row>
    <row r="137" spans="1:11" x14ac:dyDescent="0.35">
      <c r="A137" s="47">
        <v>7493</v>
      </c>
      <c r="B137" s="47" t="s">
        <v>22</v>
      </c>
      <c r="C137" s="47">
        <v>4329</v>
      </c>
      <c r="D137" s="47" t="s">
        <v>456</v>
      </c>
      <c r="E137" s="65" t="s">
        <v>678</v>
      </c>
      <c r="F137" s="47" t="s">
        <v>1685</v>
      </c>
      <c r="G137" s="47" t="s">
        <v>679</v>
      </c>
      <c r="H137" s="67">
        <v>45390</v>
      </c>
      <c r="I137" s="51" t="s">
        <v>24</v>
      </c>
      <c r="J137" s="51" t="s">
        <v>10</v>
      </c>
      <c r="K137" s="51">
        <v>1665</v>
      </c>
    </row>
    <row r="138" spans="1:11" x14ac:dyDescent="0.35">
      <c r="A138" s="47">
        <v>6737</v>
      </c>
      <c r="B138" s="47" t="s">
        <v>398</v>
      </c>
      <c r="C138" s="47">
        <v>4329</v>
      </c>
      <c r="D138" s="47" t="s">
        <v>456</v>
      </c>
      <c r="E138" s="65" t="s">
        <v>678</v>
      </c>
      <c r="F138" s="47" t="s">
        <v>1685</v>
      </c>
      <c r="G138" s="47" t="s">
        <v>679</v>
      </c>
      <c r="H138" s="67">
        <v>45390</v>
      </c>
      <c r="I138" s="51" t="s">
        <v>24</v>
      </c>
      <c r="J138" s="51" t="s">
        <v>10</v>
      </c>
      <c r="K138" s="51">
        <v>1665</v>
      </c>
    </row>
    <row r="139" spans="1:11" x14ac:dyDescent="0.35">
      <c r="A139" s="47">
        <v>1503</v>
      </c>
      <c r="B139" s="47" t="s">
        <v>651</v>
      </c>
      <c r="C139" s="47">
        <v>4329</v>
      </c>
      <c r="D139" s="47" t="s">
        <v>456</v>
      </c>
      <c r="E139" s="65" t="s">
        <v>678</v>
      </c>
      <c r="F139" s="47" t="s">
        <v>1685</v>
      </c>
      <c r="G139" s="47" t="s">
        <v>679</v>
      </c>
      <c r="H139" s="67">
        <v>45390</v>
      </c>
      <c r="I139" s="51" t="s">
        <v>24</v>
      </c>
      <c r="J139" s="51" t="s">
        <v>54</v>
      </c>
      <c r="K139" s="51">
        <v>1665</v>
      </c>
    </row>
    <row r="140" spans="1:11" x14ac:dyDescent="0.35">
      <c r="A140" s="47">
        <v>7739</v>
      </c>
      <c r="B140" s="47" t="s">
        <v>344</v>
      </c>
      <c r="C140" s="47">
        <v>4926</v>
      </c>
      <c r="D140" s="47" t="s">
        <v>364</v>
      </c>
      <c r="E140" s="47" t="s">
        <v>1775</v>
      </c>
      <c r="F140" s="47" t="s">
        <v>1782</v>
      </c>
      <c r="G140" s="47" t="s">
        <v>679</v>
      </c>
      <c r="H140" s="67">
        <v>45653</v>
      </c>
      <c r="I140" s="51" t="s">
        <v>9</v>
      </c>
      <c r="J140" s="51" t="s">
        <v>10</v>
      </c>
      <c r="K140" s="51">
        <v>830</v>
      </c>
    </row>
    <row r="141" spans="1:11" x14ac:dyDescent="0.35">
      <c r="A141" s="47">
        <v>7307</v>
      </c>
      <c r="B141" s="47" t="s">
        <v>1768</v>
      </c>
      <c r="C141" s="47">
        <v>4926</v>
      </c>
      <c r="D141" s="47" t="s">
        <v>364</v>
      </c>
      <c r="E141" s="47" t="s">
        <v>1775</v>
      </c>
      <c r="F141" s="47" t="s">
        <v>1782</v>
      </c>
      <c r="G141" s="47" t="s">
        <v>679</v>
      </c>
      <c r="H141" s="67">
        <v>45653</v>
      </c>
      <c r="I141" s="51" t="s">
        <v>9</v>
      </c>
      <c r="J141" s="51" t="s">
        <v>10</v>
      </c>
      <c r="K141" s="51">
        <v>830</v>
      </c>
    </row>
    <row r="142" spans="1:11" x14ac:dyDescent="0.35">
      <c r="A142" s="47">
        <v>2477</v>
      </c>
      <c r="B142" s="47" t="s">
        <v>367</v>
      </c>
      <c r="C142" s="47">
        <v>4926</v>
      </c>
      <c r="D142" s="47" t="s">
        <v>364</v>
      </c>
      <c r="E142" s="47" t="s">
        <v>1775</v>
      </c>
      <c r="F142" s="47" t="s">
        <v>1782</v>
      </c>
      <c r="G142" s="47" t="s">
        <v>679</v>
      </c>
      <c r="H142" s="67">
        <v>45653</v>
      </c>
      <c r="I142" s="51" t="s">
        <v>9</v>
      </c>
      <c r="J142" s="51" t="s">
        <v>54</v>
      </c>
      <c r="K142" s="51">
        <v>830</v>
      </c>
    </row>
    <row r="143" spans="1:11" x14ac:dyDescent="0.35">
      <c r="A143" s="47">
        <v>7024</v>
      </c>
      <c r="B143" s="47" t="s">
        <v>362</v>
      </c>
      <c r="C143" s="47">
        <v>4926</v>
      </c>
      <c r="D143" s="47" t="s">
        <v>364</v>
      </c>
      <c r="E143" s="47" t="s">
        <v>1775</v>
      </c>
      <c r="F143" s="47" t="s">
        <v>1782</v>
      </c>
      <c r="G143" s="47" t="s">
        <v>679</v>
      </c>
      <c r="H143" s="67">
        <v>45653</v>
      </c>
      <c r="I143" s="51" t="s">
        <v>9</v>
      </c>
      <c r="J143" s="51" t="s">
        <v>10</v>
      </c>
      <c r="K143" s="51">
        <v>830</v>
      </c>
    </row>
    <row r="144" spans="1:11" x14ac:dyDescent="0.35">
      <c r="A144" s="47">
        <v>7808</v>
      </c>
      <c r="B144" s="47" t="s">
        <v>177</v>
      </c>
      <c r="C144" s="47">
        <v>4926</v>
      </c>
      <c r="D144" s="47" t="s">
        <v>364</v>
      </c>
      <c r="E144" s="47" t="s">
        <v>1775</v>
      </c>
      <c r="F144" s="47" t="s">
        <v>1782</v>
      </c>
      <c r="G144" s="47" t="s">
        <v>679</v>
      </c>
      <c r="H144" s="67">
        <v>45653</v>
      </c>
      <c r="I144" s="51" t="s">
        <v>21</v>
      </c>
      <c r="J144" s="51" t="s">
        <v>10</v>
      </c>
      <c r="K144" s="51">
        <v>830</v>
      </c>
    </row>
    <row r="145" spans="1:11" x14ac:dyDescent="0.35">
      <c r="A145" s="47">
        <v>6289</v>
      </c>
      <c r="B145" s="47" t="s">
        <v>641</v>
      </c>
      <c r="C145" s="47">
        <v>4926</v>
      </c>
      <c r="D145" s="47" t="s">
        <v>364</v>
      </c>
      <c r="E145" s="47" t="s">
        <v>1775</v>
      </c>
      <c r="F145" s="47" t="s">
        <v>1782</v>
      </c>
      <c r="G145" s="47" t="s">
        <v>679</v>
      </c>
      <c r="H145" s="67">
        <v>45653</v>
      </c>
      <c r="I145" s="51" t="s">
        <v>9</v>
      </c>
      <c r="J145" s="51" t="s">
        <v>10</v>
      </c>
      <c r="K145" s="51">
        <v>830</v>
      </c>
    </row>
    <row r="146" spans="1:11" x14ac:dyDescent="0.35">
      <c r="A146" s="47">
        <v>7748</v>
      </c>
      <c r="B146" s="47" t="s">
        <v>342</v>
      </c>
      <c r="C146" s="47">
        <v>4926</v>
      </c>
      <c r="D146" s="47" t="s">
        <v>364</v>
      </c>
      <c r="E146" s="47" t="s">
        <v>1775</v>
      </c>
      <c r="F146" s="47" t="s">
        <v>1782</v>
      </c>
      <c r="G146" s="47" t="s">
        <v>679</v>
      </c>
      <c r="H146" s="67">
        <v>45653</v>
      </c>
      <c r="I146" s="51" t="s">
        <v>9</v>
      </c>
      <c r="J146" s="51" t="s">
        <v>10</v>
      </c>
      <c r="K146" s="51">
        <v>830</v>
      </c>
    </row>
    <row r="147" spans="1:11" x14ac:dyDescent="0.35">
      <c r="A147" s="47">
        <v>5325</v>
      </c>
      <c r="B147" s="47" t="s">
        <v>586</v>
      </c>
      <c r="C147" s="47">
        <v>4926</v>
      </c>
      <c r="D147" s="47" t="s">
        <v>364</v>
      </c>
      <c r="E147" s="47" t="s">
        <v>1775</v>
      </c>
      <c r="F147" s="47" t="s">
        <v>1782</v>
      </c>
      <c r="G147" s="47" t="s">
        <v>679</v>
      </c>
      <c r="H147" s="67">
        <v>45653</v>
      </c>
      <c r="I147" s="51" t="s">
        <v>9</v>
      </c>
      <c r="J147" s="51" t="s">
        <v>10</v>
      </c>
      <c r="K147" s="51">
        <v>830</v>
      </c>
    </row>
    <row r="148" spans="1:11" x14ac:dyDescent="0.35">
      <c r="A148" s="47">
        <v>4068</v>
      </c>
      <c r="B148" s="47" t="s">
        <v>178</v>
      </c>
      <c r="C148" s="47">
        <v>4926</v>
      </c>
      <c r="D148" s="47" t="s">
        <v>364</v>
      </c>
      <c r="E148" s="47" t="s">
        <v>1775</v>
      </c>
      <c r="F148" s="47" t="s">
        <v>1782</v>
      </c>
      <c r="G148" s="47" t="s">
        <v>679</v>
      </c>
      <c r="H148" s="67">
        <v>45653</v>
      </c>
      <c r="I148" s="51" t="s">
        <v>9</v>
      </c>
      <c r="J148" s="51" t="s">
        <v>54</v>
      </c>
      <c r="K148" s="51">
        <v>830</v>
      </c>
    </row>
    <row r="149" spans="1:11" x14ac:dyDescent="0.35">
      <c r="A149" s="47">
        <v>7653</v>
      </c>
      <c r="B149" s="47" t="s">
        <v>694</v>
      </c>
      <c r="C149" s="47">
        <v>4926</v>
      </c>
      <c r="D149" s="47" t="s">
        <v>364</v>
      </c>
      <c r="E149" s="47" t="s">
        <v>1775</v>
      </c>
      <c r="F149" s="47" t="s">
        <v>1782</v>
      </c>
      <c r="G149" s="47" t="s">
        <v>679</v>
      </c>
      <c r="H149" s="67">
        <v>45653</v>
      </c>
      <c r="I149" s="51" t="s">
        <v>9</v>
      </c>
      <c r="J149" s="51" t="s">
        <v>54</v>
      </c>
      <c r="K149" s="51">
        <v>830</v>
      </c>
    </row>
    <row r="150" spans="1:11" x14ac:dyDescent="0.35">
      <c r="A150" s="47">
        <v>6481</v>
      </c>
      <c r="B150" s="47" t="s">
        <v>126</v>
      </c>
      <c r="C150" s="47">
        <v>4926</v>
      </c>
      <c r="D150" s="47" t="s">
        <v>364</v>
      </c>
      <c r="E150" s="47" t="s">
        <v>1775</v>
      </c>
      <c r="F150" s="47" t="s">
        <v>1782</v>
      </c>
      <c r="G150" s="47" t="s">
        <v>679</v>
      </c>
      <c r="H150" s="67">
        <v>45653</v>
      </c>
      <c r="I150" s="51" t="s">
        <v>21</v>
      </c>
      <c r="J150" s="51" t="s">
        <v>10</v>
      </c>
      <c r="K150" s="51">
        <v>830</v>
      </c>
    </row>
    <row r="151" spans="1:11" x14ac:dyDescent="0.35">
      <c r="A151" s="47">
        <v>2826</v>
      </c>
      <c r="B151" s="47" t="s">
        <v>169</v>
      </c>
      <c r="C151" s="47">
        <v>4926</v>
      </c>
      <c r="D151" s="47" t="s">
        <v>364</v>
      </c>
      <c r="E151" s="47" t="s">
        <v>1775</v>
      </c>
      <c r="F151" s="47" t="s">
        <v>1782</v>
      </c>
      <c r="G151" s="47" t="s">
        <v>679</v>
      </c>
      <c r="H151" s="67">
        <v>45653</v>
      </c>
      <c r="I151" s="51" t="s">
        <v>9</v>
      </c>
      <c r="J151" s="51" t="s">
        <v>54</v>
      </c>
      <c r="K151" s="51">
        <v>830</v>
      </c>
    </row>
    <row r="152" spans="1:11" x14ac:dyDescent="0.35">
      <c r="A152" s="47">
        <v>7401</v>
      </c>
      <c r="B152" s="47" t="s">
        <v>1769</v>
      </c>
      <c r="C152" s="47">
        <v>4496</v>
      </c>
      <c r="D152" s="47" t="s">
        <v>655</v>
      </c>
      <c r="E152" s="47" t="s">
        <v>1776</v>
      </c>
      <c r="F152" s="47" t="s">
        <v>1782</v>
      </c>
      <c r="G152" s="47" t="s">
        <v>679</v>
      </c>
      <c r="H152" s="67">
        <v>45653</v>
      </c>
      <c r="I152" s="51" t="s">
        <v>21</v>
      </c>
      <c r="J152" s="51" t="s">
        <v>10</v>
      </c>
      <c r="K152" s="51">
        <v>555</v>
      </c>
    </row>
    <row r="153" spans="1:11" x14ac:dyDescent="0.35">
      <c r="A153" s="47">
        <v>4009</v>
      </c>
      <c r="B153" s="47" t="s">
        <v>602</v>
      </c>
      <c r="C153" s="47">
        <v>4496</v>
      </c>
      <c r="D153" s="47" t="s">
        <v>655</v>
      </c>
      <c r="E153" s="47" t="s">
        <v>1776</v>
      </c>
      <c r="F153" s="47" t="s">
        <v>1782</v>
      </c>
      <c r="G153" s="47" t="s">
        <v>679</v>
      </c>
      <c r="H153" s="67">
        <v>45653</v>
      </c>
      <c r="I153" s="51" t="s">
        <v>9</v>
      </c>
      <c r="J153" s="51" t="s">
        <v>54</v>
      </c>
      <c r="K153" s="51">
        <v>555</v>
      </c>
    </row>
    <row r="154" spans="1:11" x14ac:dyDescent="0.35">
      <c r="A154" s="47">
        <v>7737</v>
      </c>
      <c r="B154" s="47" t="s">
        <v>176</v>
      </c>
      <c r="C154" s="47">
        <v>4496</v>
      </c>
      <c r="D154" s="47" t="s">
        <v>655</v>
      </c>
      <c r="E154" s="47" t="s">
        <v>1776</v>
      </c>
      <c r="F154" s="47" t="s">
        <v>1782</v>
      </c>
      <c r="G154" s="47" t="s">
        <v>679</v>
      </c>
      <c r="H154" s="67">
        <v>45653</v>
      </c>
      <c r="I154" s="51" t="s">
        <v>21</v>
      </c>
      <c r="J154" s="51" t="s">
        <v>10</v>
      </c>
      <c r="K154" s="51">
        <v>555</v>
      </c>
    </row>
    <row r="155" spans="1:11" x14ac:dyDescent="0.35">
      <c r="A155" s="47">
        <v>5714</v>
      </c>
      <c r="B155" s="47" t="s">
        <v>116</v>
      </c>
      <c r="C155" s="47">
        <v>4496</v>
      </c>
      <c r="D155" s="47" t="s">
        <v>655</v>
      </c>
      <c r="E155" s="47" t="s">
        <v>1776</v>
      </c>
      <c r="F155" s="47" t="s">
        <v>1782</v>
      </c>
      <c r="G155" s="47" t="s">
        <v>679</v>
      </c>
      <c r="H155" s="67">
        <v>45653</v>
      </c>
      <c r="I155" s="51" t="s">
        <v>9</v>
      </c>
      <c r="J155" s="51" t="s">
        <v>54</v>
      </c>
      <c r="K155" s="51">
        <v>555</v>
      </c>
    </row>
    <row r="156" spans="1:11" x14ac:dyDescent="0.35">
      <c r="A156" s="47">
        <v>7868</v>
      </c>
      <c r="B156" s="47" t="s">
        <v>340</v>
      </c>
      <c r="C156" s="47">
        <v>4496</v>
      </c>
      <c r="D156" s="47" t="s">
        <v>655</v>
      </c>
      <c r="E156" s="47" t="s">
        <v>1776</v>
      </c>
      <c r="F156" s="47" t="s">
        <v>1782</v>
      </c>
      <c r="G156" s="47" t="s">
        <v>679</v>
      </c>
      <c r="H156" s="67">
        <v>45653</v>
      </c>
      <c r="I156" s="51" t="s">
        <v>21</v>
      </c>
      <c r="J156" s="51" t="s">
        <v>10</v>
      </c>
      <c r="K156" s="51">
        <v>555</v>
      </c>
    </row>
    <row r="157" spans="1:11" x14ac:dyDescent="0.35">
      <c r="A157" s="47">
        <v>7827</v>
      </c>
      <c r="B157" s="47" t="s">
        <v>349</v>
      </c>
      <c r="C157" s="47">
        <v>4496</v>
      </c>
      <c r="D157" s="47" t="s">
        <v>655</v>
      </c>
      <c r="E157" s="47" t="s">
        <v>1776</v>
      </c>
      <c r="F157" s="47" t="s">
        <v>1782</v>
      </c>
      <c r="G157" s="47" t="s">
        <v>679</v>
      </c>
      <c r="H157" s="67">
        <v>45653</v>
      </c>
      <c r="I157" s="51" t="s">
        <v>395</v>
      </c>
      <c r="J157" s="51" t="s">
        <v>10</v>
      </c>
      <c r="K157" s="51">
        <v>555</v>
      </c>
    </row>
    <row r="158" spans="1:11" x14ac:dyDescent="0.35">
      <c r="A158" s="47">
        <v>6519</v>
      </c>
      <c r="B158" s="47" t="s">
        <v>748</v>
      </c>
      <c r="C158" s="47">
        <v>4496</v>
      </c>
      <c r="D158" s="47" t="s">
        <v>655</v>
      </c>
      <c r="E158" s="47" t="s">
        <v>1776</v>
      </c>
      <c r="F158" s="47" t="s">
        <v>1782</v>
      </c>
      <c r="G158" s="47" t="s">
        <v>679</v>
      </c>
      <c r="H158" s="67">
        <v>45653</v>
      </c>
      <c r="I158" s="51" t="s">
        <v>395</v>
      </c>
      <c r="J158" s="51" t="s">
        <v>10</v>
      </c>
      <c r="K158" s="51">
        <v>555</v>
      </c>
    </row>
    <row r="159" spans="1:11" x14ac:dyDescent="0.35">
      <c r="A159" s="47">
        <v>5428</v>
      </c>
      <c r="B159" s="47" t="s">
        <v>647</v>
      </c>
      <c r="C159" s="47">
        <v>4496</v>
      </c>
      <c r="D159" s="47" t="s">
        <v>655</v>
      </c>
      <c r="E159" s="47" t="s">
        <v>1776</v>
      </c>
      <c r="F159" s="47" t="s">
        <v>1782</v>
      </c>
      <c r="G159" s="47" t="s">
        <v>679</v>
      </c>
      <c r="H159" s="67">
        <v>45653</v>
      </c>
      <c r="I159" s="51" t="s">
        <v>249</v>
      </c>
      <c r="J159" s="51" t="s">
        <v>10</v>
      </c>
      <c r="K159" s="51">
        <v>555</v>
      </c>
    </row>
    <row r="160" spans="1:11" x14ac:dyDescent="0.35">
      <c r="A160" s="47">
        <v>7024</v>
      </c>
      <c r="B160" s="47" t="s">
        <v>362</v>
      </c>
      <c r="C160" s="47">
        <v>4496</v>
      </c>
      <c r="D160" s="47" t="s">
        <v>655</v>
      </c>
      <c r="E160" s="47" t="s">
        <v>1776</v>
      </c>
      <c r="F160" s="47" t="s">
        <v>1782</v>
      </c>
      <c r="G160" s="47" t="s">
        <v>679</v>
      </c>
      <c r="H160" s="67">
        <v>45653</v>
      </c>
      <c r="I160" s="51" t="s">
        <v>9</v>
      </c>
      <c r="J160" s="51" t="s">
        <v>10</v>
      </c>
      <c r="K160" s="51">
        <v>555</v>
      </c>
    </row>
    <row r="161" spans="1:11" x14ac:dyDescent="0.35">
      <c r="A161" s="47">
        <v>6975</v>
      </c>
      <c r="B161" s="47" t="s">
        <v>596</v>
      </c>
      <c r="C161" s="47">
        <v>4496</v>
      </c>
      <c r="D161" s="47" t="s">
        <v>655</v>
      </c>
      <c r="E161" s="47" t="s">
        <v>1776</v>
      </c>
      <c r="F161" s="47" t="s">
        <v>1782</v>
      </c>
      <c r="G161" s="47" t="s">
        <v>679</v>
      </c>
      <c r="H161" s="67">
        <v>45653</v>
      </c>
      <c r="I161" s="51" t="s">
        <v>249</v>
      </c>
      <c r="J161" s="51" t="s">
        <v>10</v>
      </c>
      <c r="K161" s="51">
        <v>555</v>
      </c>
    </row>
    <row r="162" spans="1:11" x14ac:dyDescent="0.35">
      <c r="A162" s="47">
        <v>7290</v>
      </c>
      <c r="B162" s="47" t="s">
        <v>711</v>
      </c>
      <c r="C162" s="47">
        <v>4496</v>
      </c>
      <c r="D162" s="47" t="s">
        <v>655</v>
      </c>
      <c r="E162" s="47" t="s">
        <v>1776</v>
      </c>
      <c r="F162" s="47" t="s">
        <v>1782</v>
      </c>
      <c r="G162" s="47" t="s">
        <v>679</v>
      </c>
      <c r="H162" s="67">
        <v>45653</v>
      </c>
      <c r="I162" s="51" t="s">
        <v>9</v>
      </c>
      <c r="J162" s="51" t="s">
        <v>10</v>
      </c>
      <c r="K162" s="51">
        <v>555</v>
      </c>
    </row>
    <row r="163" spans="1:11" x14ac:dyDescent="0.35">
      <c r="A163" s="47">
        <v>7748</v>
      </c>
      <c r="B163" s="47" t="s">
        <v>342</v>
      </c>
      <c r="C163" s="47">
        <v>4496</v>
      </c>
      <c r="D163" s="47" t="s">
        <v>655</v>
      </c>
      <c r="E163" s="47" t="s">
        <v>1776</v>
      </c>
      <c r="F163" s="47" t="s">
        <v>1782</v>
      </c>
      <c r="G163" s="47" t="s">
        <v>679</v>
      </c>
      <c r="H163" s="67">
        <v>45653</v>
      </c>
      <c r="I163" s="51" t="s">
        <v>9</v>
      </c>
      <c r="J163" s="51" t="s">
        <v>10</v>
      </c>
      <c r="K163" s="51">
        <v>555</v>
      </c>
    </row>
    <row r="164" spans="1:11" x14ac:dyDescent="0.35">
      <c r="A164" s="47">
        <v>7640</v>
      </c>
      <c r="B164" s="47" t="s">
        <v>6</v>
      </c>
      <c r="C164" s="47">
        <v>4496</v>
      </c>
      <c r="D164" s="47" t="s">
        <v>655</v>
      </c>
      <c r="E164" s="47" t="s">
        <v>1776</v>
      </c>
      <c r="F164" s="47" t="s">
        <v>1782</v>
      </c>
      <c r="G164" s="47" t="s">
        <v>679</v>
      </c>
      <c r="H164" s="67">
        <v>45653</v>
      </c>
      <c r="I164" s="51" t="s">
        <v>9</v>
      </c>
      <c r="J164" s="51" t="s">
        <v>10</v>
      </c>
      <c r="K164" s="51">
        <v>555</v>
      </c>
    </row>
    <row r="165" spans="1:11" x14ac:dyDescent="0.35">
      <c r="A165" s="47">
        <v>4010</v>
      </c>
      <c r="B165" s="47" t="s">
        <v>437</v>
      </c>
      <c r="C165" s="47">
        <v>4496</v>
      </c>
      <c r="D165" s="47" t="s">
        <v>655</v>
      </c>
      <c r="E165" s="47" t="s">
        <v>1776</v>
      </c>
      <c r="F165" s="47" t="s">
        <v>1782</v>
      </c>
      <c r="G165" s="47" t="s">
        <v>679</v>
      </c>
      <c r="H165" s="67">
        <v>45653</v>
      </c>
      <c r="I165" s="51" t="s">
        <v>9</v>
      </c>
      <c r="J165" s="51" t="s">
        <v>54</v>
      </c>
      <c r="K165" s="51">
        <v>555</v>
      </c>
    </row>
    <row r="166" spans="1:11" x14ac:dyDescent="0.35">
      <c r="A166" s="47">
        <v>6822</v>
      </c>
      <c r="B166" s="47" t="s">
        <v>595</v>
      </c>
      <c r="C166" s="47">
        <v>4496</v>
      </c>
      <c r="D166" s="47" t="s">
        <v>655</v>
      </c>
      <c r="E166" s="47" t="s">
        <v>1776</v>
      </c>
      <c r="F166" s="47" t="s">
        <v>1782</v>
      </c>
      <c r="G166" s="47" t="s">
        <v>679</v>
      </c>
      <c r="H166" s="67">
        <v>45653</v>
      </c>
      <c r="I166" s="51" t="s">
        <v>249</v>
      </c>
      <c r="J166" s="51" t="s">
        <v>10</v>
      </c>
      <c r="K166" s="51">
        <v>555</v>
      </c>
    </row>
    <row r="167" spans="1:11" x14ac:dyDescent="0.35">
      <c r="A167" s="47">
        <v>6388</v>
      </c>
      <c r="B167" s="47" t="s">
        <v>436</v>
      </c>
      <c r="C167" s="47">
        <v>4496</v>
      </c>
      <c r="D167" s="47" t="s">
        <v>655</v>
      </c>
      <c r="E167" s="47" t="s">
        <v>1776</v>
      </c>
      <c r="F167" s="47" t="s">
        <v>1782</v>
      </c>
      <c r="G167" s="47" t="s">
        <v>679</v>
      </c>
      <c r="H167" s="67">
        <v>45653</v>
      </c>
      <c r="I167" s="51" t="s">
        <v>21</v>
      </c>
      <c r="J167" s="51" t="s">
        <v>10</v>
      </c>
      <c r="K167" s="51">
        <v>555</v>
      </c>
    </row>
    <row r="168" spans="1:11" x14ac:dyDescent="0.35">
      <c r="A168" s="47">
        <v>7915</v>
      </c>
      <c r="B168" s="47" t="s">
        <v>873</v>
      </c>
      <c r="C168" s="47">
        <v>4496</v>
      </c>
      <c r="D168" s="47" t="s">
        <v>655</v>
      </c>
      <c r="E168" s="47" t="s">
        <v>1776</v>
      </c>
      <c r="F168" s="47" t="s">
        <v>1782</v>
      </c>
      <c r="G168" s="47" t="s">
        <v>679</v>
      </c>
      <c r="H168" s="67">
        <v>45653</v>
      </c>
      <c r="I168" s="51" t="s">
        <v>9</v>
      </c>
      <c r="J168" s="51" t="s">
        <v>10</v>
      </c>
      <c r="K168" s="51">
        <v>555</v>
      </c>
    </row>
    <row r="169" spans="1:11" x14ac:dyDescent="0.35">
      <c r="A169" s="47">
        <v>7042</v>
      </c>
      <c r="B169" s="47" t="s">
        <v>597</v>
      </c>
      <c r="C169" s="47">
        <v>4496</v>
      </c>
      <c r="D169" s="47" t="s">
        <v>655</v>
      </c>
      <c r="E169" s="47" t="s">
        <v>1776</v>
      </c>
      <c r="F169" s="47" t="s">
        <v>1782</v>
      </c>
      <c r="G169" s="47" t="s">
        <v>679</v>
      </c>
      <c r="H169" s="67">
        <v>45653</v>
      </c>
      <c r="I169" s="51" t="s">
        <v>9</v>
      </c>
      <c r="J169" s="51" t="s">
        <v>10</v>
      </c>
      <c r="K169" s="51">
        <v>555</v>
      </c>
    </row>
    <row r="170" spans="1:11" x14ac:dyDescent="0.35">
      <c r="A170" s="47">
        <v>2298</v>
      </c>
      <c r="B170" s="47" t="s">
        <v>749</v>
      </c>
      <c r="C170" s="47">
        <v>5377</v>
      </c>
      <c r="D170" s="47" t="s">
        <v>1780</v>
      </c>
      <c r="E170" s="47" t="s">
        <v>1777</v>
      </c>
      <c r="F170" s="47" t="s">
        <v>1782</v>
      </c>
      <c r="G170" s="47" t="s">
        <v>679</v>
      </c>
      <c r="H170" s="67">
        <v>45652</v>
      </c>
      <c r="I170" s="51" t="s">
        <v>53</v>
      </c>
      <c r="J170" s="51" t="s">
        <v>54</v>
      </c>
      <c r="K170" s="51">
        <v>1665</v>
      </c>
    </row>
    <row r="171" spans="1:11" x14ac:dyDescent="0.35">
      <c r="A171" s="47">
        <v>1754</v>
      </c>
      <c r="B171" s="47" t="s">
        <v>706</v>
      </c>
      <c r="C171" s="47">
        <v>5377</v>
      </c>
      <c r="D171" s="47" t="s">
        <v>1780</v>
      </c>
      <c r="E171" s="47" t="s">
        <v>1777</v>
      </c>
      <c r="F171" s="47" t="s">
        <v>1782</v>
      </c>
      <c r="G171" s="47" t="s">
        <v>679</v>
      </c>
      <c r="H171" s="67">
        <v>45652</v>
      </c>
      <c r="I171" s="51" t="s">
        <v>53</v>
      </c>
      <c r="J171" s="51" t="s">
        <v>10</v>
      </c>
      <c r="K171" s="51">
        <v>1665</v>
      </c>
    </row>
    <row r="172" spans="1:11" x14ac:dyDescent="0.35">
      <c r="A172" s="47">
        <v>5267</v>
      </c>
      <c r="B172" s="47" t="s">
        <v>884</v>
      </c>
      <c r="C172" s="47">
        <v>5377</v>
      </c>
      <c r="D172" s="47" t="s">
        <v>1780</v>
      </c>
      <c r="E172" s="47" t="s">
        <v>1777</v>
      </c>
      <c r="F172" s="47" t="s">
        <v>1782</v>
      </c>
      <c r="G172" s="47" t="s">
        <v>679</v>
      </c>
      <c r="H172" s="67">
        <v>45652</v>
      </c>
      <c r="I172" s="51" t="s">
        <v>53</v>
      </c>
      <c r="J172" s="51" t="s">
        <v>32</v>
      </c>
      <c r="K172" s="51">
        <v>1665</v>
      </c>
    </row>
    <row r="173" spans="1:11" x14ac:dyDescent="0.35">
      <c r="A173" s="47">
        <v>4376</v>
      </c>
      <c r="B173" s="47" t="s">
        <v>684</v>
      </c>
      <c r="C173" s="47">
        <v>5377</v>
      </c>
      <c r="D173" s="47" t="s">
        <v>1780</v>
      </c>
      <c r="E173" s="47" t="s">
        <v>1777</v>
      </c>
      <c r="F173" s="47" t="s">
        <v>1782</v>
      </c>
      <c r="G173" s="47" t="s">
        <v>679</v>
      </c>
      <c r="H173" s="67">
        <v>45652</v>
      </c>
      <c r="I173" s="51" t="s">
        <v>53</v>
      </c>
      <c r="J173" s="51" t="s">
        <v>54</v>
      </c>
      <c r="K173" s="51">
        <v>1665</v>
      </c>
    </row>
    <row r="174" spans="1:11" x14ac:dyDescent="0.35">
      <c r="A174" s="47">
        <v>7034</v>
      </c>
      <c r="B174" s="47" t="s">
        <v>1531</v>
      </c>
      <c r="C174" s="47">
        <v>5377</v>
      </c>
      <c r="D174" s="47" t="s">
        <v>1780</v>
      </c>
      <c r="E174" s="47" t="s">
        <v>1777</v>
      </c>
      <c r="F174" s="47" t="s">
        <v>1782</v>
      </c>
      <c r="G174" s="47" t="s">
        <v>679</v>
      </c>
      <c r="H174" s="67">
        <v>45652</v>
      </c>
      <c r="I174" s="51" t="s">
        <v>53</v>
      </c>
      <c r="J174" s="51" t="s">
        <v>54</v>
      </c>
      <c r="K174" s="51">
        <v>1665</v>
      </c>
    </row>
    <row r="175" spans="1:11" x14ac:dyDescent="0.35">
      <c r="A175" s="47">
        <v>7486</v>
      </c>
      <c r="B175" s="47" t="s">
        <v>1770</v>
      </c>
      <c r="C175" s="47">
        <v>5377</v>
      </c>
      <c r="D175" s="47" t="s">
        <v>1780</v>
      </c>
      <c r="E175" s="47" t="s">
        <v>1777</v>
      </c>
      <c r="F175" s="47" t="s">
        <v>1782</v>
      </c>
      <c r="G175" s="47" t="s">
        <v>679</v>
      </c>
      <c r="H175" s="67">
        <v>45652</v>
      </c>
      <c r="I175" s="51" t="s">
        <v>53</v>
      </c>
      <c r="J175" s="51" t="s">
        <v>74</v>
      </c>
      <c r="K175" s="51">
        <v>1665</v>
      </c>
    </row>
    <row r="176" spans="1:11" x14ac:dyDescent="0.35">
      <c r="A176" s="47">
        <v>2904</v>
      </c>
      <c r="B176" s="47" t="s">
        <v>682</v>
      </c>
      <c r="C176" s="47">
        <v>5362</v>
      </c>
      <c r="D176" s="47" t="s">
        <v>1781</v>
      </c>
      <c r="E176" s="47" t="s">
        <v>1778</v>
      </c>
      <c r="F176" s="47" t="s">
        <v>1782</v>
      </c>
      <c r="G176" s="47" t="s">
        <v>679</v>
      </c>
      <c r="H176" s="67">
        <v>45650</v>
      </c>
      <c r="I176" s="51" t="s">
        <v>35</v>
      </c>
      <c r="J176" s="51" t="s">
        <v>32</v>
      </c>
      <c r="K176" s="51">
        <v>905</v>
      </c>
    </row>
    <row r="177" spans="1:11" x14ac:dyDescent="0.35">
      <c r="A177" s="47">
        <v>6339</v>
      </c>
      <c r="B177" s="47" t="s">
        <v>450</v>
      </c>
      <c r="C177" s="47">
        <v>5362</v>
      </c>
      <c r="D177" s="47" t="s">
        <v>1781</v>
      </c>
      <c r="E177" s="47" t="s">
        <v>1778</v>
      </c>
      <c r="F177" s="47" t="s">
        <v>1782</v>
      </c>
      <c r="G177" s="47" t="s">
        <v>679</v>
      </c>
      <c r="H177" s="67">
        <v>45650</v>
      </c>
      <c r="I177" s="51" t="s">
        <v>35</v>
      </c>
      <c r="J177" s="51" t="s">
        <v>32</v>
      </c>
      <c r="K177" s="51">
        <v>905</v>
      </c>
    </row>
    <row r="178" spans="1:11" x14ac:dyDescent="0.35">
      <c r="A178" s="47">
        <v>7226</v>
      </c>
      <c r="B178" s="47" t="s">
        <v>1771</v>
      </c>
      <c r="C178" s="47">
        <v>5362</v>
      </c>
      <c r="D178" s="47" t="s">
        <v>1781</v>
      </c>
      <c r="E178" s="47" t="s">
        <v>1778</v>
      </c>
      <c r="F178" s="47" t="s">
        <v>1782</v>
      </c>
      <c r="G178" s="47" t="s">
        <v>679</v>
      </c>
      <c r="H178" s="67">
        <v>45650</v>
      </c>
      <c r="I178" s="51" t="s">
        <v>35</v>
      </c>
      <c r="J178" s="51" t="s">
        <v>32</v>
      </c>
      <c r="K178" s="51">
        <v>905</v>
      </c>
    </row>
    <row r="179" spans="1:11" x14ac:dyDescent="0.35">
      <c r="A179" s="47">
        <v>7049</v>
      </c>
      <c r="B179" s="47" t="s">
        <v>477</v>
      </c>
      <c r="C179" s="47">
        <v>5362</v>
      </c>
      <c r="D179" s="47" t="s">
        <v>1781</v>
      </c>
      <c r="E179" s="47" t="s">
        <v>1778</v>
      </c>
      <c r="F179" s="47" t="s">
        <v>1782</v>
      </c>
      <c r="G179" s="47" t="s">
        <v>679</v>
      </c>
      <c r="H179" s="67">
        <v>45650</v>
      </c>
      <c r="I179" s="51" t="s">
        <v>35</v>
      </c>
      <c r="J179" s="51" t="s">
        <v>32</v>
      </c>
      <c r="K179" s="51">
        <v>905</v>
      </c>
    </row>
    <row r="180" spans="1:11" x14ac:dyDescent="0.35">
      <c r="A180" s="47">
        <v>7622</v>
      </c>
      <c r="B180" s="47" t="s">
        <v>698</v>
      </c>
      <c r="C180" s="47">
        <v>5362</v>
      </c>
      <c r="D180" s="47" t="s">
        <v>1781</v>
      </c>
      <c r="E180" s="47" t="s">
        <v>1778</v>
      </c>
      <c r="F180" s="47" t="s">
        <v>1782</v>
      </c>
      <c r="G180" s="47" t="s">
        <v>679</v>
      </c>
      <c r="H180" s="67">
        <v>45650</v>
      </c>
      <c r="I180" s="51" t="s">
        <v>35</v>
      </c>
      <c r="J180" s="51" t="s">
        <v>32</v>
      </c>
      <c r="K180" s="51">
        <v>905</v>
      </c>
    </row>
    <row r="181" spans="1:11" x14ac:dyDescent="0.35">
      <c r="A181" s="47">
        <v>7015</v>
      </c>
      <c r="B181" s="47" t="s">
        <v>702</v>
      </c>
      <c r="C181" s="47">
        <v>5362</v>
      </c>
      <c r="D181" s="47" t="s">
        <v>1781</v>
      </c>
      <c r="E181" s="47" t="s">
        <v>1778</v>
      </c>
      <c r="F181" s="47" t="s">
        <v>1782</v>
      </c>
      <c r="G181" s="47" t="s">
        <v>679</v>
      </c>
      <c r="H181" s="67">
        <v>45650</v>
      </c>
      <c r="I181" s="51" t="s">
        <v>35</v>
      </c>
      <c r="J181" s="51" t="s">
        <v>32</v>
      </c>
      <c r="K181" s="51">
        <v>905</v>
      </c>
    </row>
    <row r="182" spans="1:11" x14ac:dyDescent="0.35">
      <c r="A182" s="47">
        <v>2980</v>
      </c>
      <c r="B182" s="47" t="s">
        <v>770</v>
      </c>
      <c r="C182" s="47">
        <v>5362</v>
      </c>
      <c r="D182" s="47" t="s">
        <v>1781</v>
      </c>
      <c r="E182" s="47" t="s">
        <v>1778</v>
      </c>
      <c r="F182" s="47" t="s">
        <v>1782</v>
      </c>
      <c r="G182" s="47" t="s">
        <v>679</v>
      </c>
      <c r="H182" s="67">
        <v>45650</v>
      </c>
      <c r="I182" s="51" t="s">
        <v>35</v>
      </c>
      <c r="J182" s="51" t="s">
        <v>32</v>
      </c>
      <c r="K182" s="51">
        <v>905</v>
      </c>
    </row>
    <row r="183" spans="1:11" x14ac:dyDescent="0.35">
      <c r="A183" s="47">
        <v>7099</v>
      </c>
      <c r="B183" s="47" t="s">
        <v>427</v>
      </c>
      <c r="C183" s="47">
        <v>5362</v>
      </c>
      <c r="D183" s="47" t="s">
        <v>1781</v>
      </c>
      <c r="E183" s="47" t="s">
        <v>1778</v>
      </c>
      <c r="F183" s="47" t="s">
        <v>1782</v>
      </c>
      <c r="G183" s="47" t="s">
        <v>679</v>
      </c>
      <c r="H183" s="67">
        <v>45650</v>
      </c>
      <c r="I183" s="51" t="s">
        <v>35</v>
      </c>
      <c r="J183" s="51" t="s">
        <v>32</v>
      </c>
      <c r="K183" s="51">
        <v>905</v>
      </c>
    </row>
    <row r="184" spans="1:11" x14ac:dyDescent="0.35">
      <c r="A184" s="47">
        <v>2443</v>
      </c>
      <c r="B184" s="47" t="s">
        <v>896</v>
      </c>
      <c r="C184" s="47">
        <v>5362</v>
      </c>
      <c r="D184" s="47" t="s">
        <v>1781</v>
      </c>
      <c r="E184" s="47" t="s">
        <v>1778</v>
      </c>
      <c r="F184" s="47" t="s">
        <v>1782</v>
      </c>
      <c r="G184" s="47" t="s">
        <v>679</v>
      </c>
      <c r="H184" s="67">
        <v>45650</v>
      </c>
      <c r="I184" s="51" t="s">
        <v>35</v>
      </c>
      <c r="J184" s="51" t="s">
        <v>32</v>
      </c>
      <c r="K184" s="51">
        <v>905</v>
      </c>
    </row>
    <row r="185" spans="1:11" x14ac:dyDescent="0.35">
      <c r="A185" s="47">
        <v>1845</v>
      </c>
      <c r="B185" s="47" t="s">
        <v>917</v>
      </c>
      <c r="C185" s="47">
        <v>5362</v>
      </c>
      <c r="D185" s="47" t="s">
        <v>1781</v>
      </c>
      <c r="E185" s="47" t="s">
        <v>1778</v>
      </c>
      <c r="F185" s="47" t="s">
        <v>1782</v>
      </c>
      <c r="G185" s="47" t="s">
        <v>679</v>
      </c>
      <c r="H185" s="67">
        <v>45650</v>
      </c>
      <c r="I185" s="51" t="s">
        <v>35</v>
      </c>
      <c r="J185" s="51" t="s">
        <v>32</v>
      </c>
      <c r="K185" s="51">
        <v>905</v>
      </c>
    </row>
    <row r="186" spans="1:11" x14ac:dyDescent="0.35">
      <c r="A186" s="47">
        <v>5727</v>
      </c>
      <c r="B186" s="47" t="s">
        <v>703</v>
      </c>
      <c r="C186" s="47">
        <v>5362</v>
      </c>
      <c r="D186" s="47" t="s">
        <v>1781</v>
      </c>
      <c r="E186" s="47" t="s">
        <v>1778</v>
      </c>
      <c r="F186" s="47" t="s">
        <v>1782</v>
      </c>
      <c r="G186" s="47" t="s">
        <v>679</v>
      </c>
      <c r="H186" s="67">
        <v>45650</v>
      </c>
      <c r="I186" s="51" t="s">
        <v>35</v>
      </c>
      <c r="J186" s="51" t="s">
        <v>32</v>
      </c>
      <c r="K186" s="51">
        <v>905</v>
      </c>
    </row>
    <row r="187" spans="1:11" x14ac:dyDescent="0.35">
      <c r="A187" s="47">
        <v>1624</v>
      </c>
      <c r="B187" s="47" t="s">
        <v>831</v>
      </c>
      <c r="C187" s="47">
        <v>3472</v>
      </c>
      <c r="D187" s="47" t="s">
        <v>370</v>
      </c>
      <c r="E187" s="47" t="s">
        <v>1779</v>
      </c>
      <c r="F187" s="47" t="s">
        <v>1782</v>
      </c>
      <c r="G187" s="47" t="s">
        <v>679</v>
      </c>
      <c r="H187" s="67">
        <v>45649</v>
      </c>
      <c r="I187" s="51" t="s">
        <v>35</v>
      </c>
      <c r="J187" s="51" t="s">
        <v>32</v>
      </c>
      <c r="K187" s="51">
        <v>2000</v>
      </c>
    </row>
    <row r="188" spans="1:11" x14ac:dyDescent="0.35">
      <c r="A188" s="47">
        <v>7762</v>
      </c>
      <c r="B188" s="47" t="s">
        <v>1772</v>
      </c>
      <c r="C188" s="47">
        <v>3472</v>
      </c>
      <c r="D188" s="47" t="s">
        <v>370</v>
      </c>
      <c r="E188" s="47" t="s">
        <v>1779</v>
      </c>
      <c r="F188" s="47" t="s">
        <v>1782</v>
      </c>
      <c r="G188" s="47" t="s">
        <v>679</v>
      </c>
      <c r="H188" s="67">
        <v>45649</v>
      </c>
      <c r="I188" s="51" t="s">
        <v>35</v>
      </c>
      <c r="J188" s="51" t="s">
        <v>32</v>
      </c>
      <c r="K188" s="51">
        <v>2000</v>
      </c>
    </row>
    <row r="189" spans="1:11" x14ac:dyDescent="0.35">
      <c r="A189" s="47">
        <v>1800</v>
      </c>
      <c r="B189" s="47" t="s">
        <v>1773</v>
      </c>
      <c r="C189" s="47">
        <v>3472</v>
      </c>
      <c r="D189" s="47" t="s">
        <v>370</v>
      </c>
      <c r="E189" s="47" t="s">
        <v>1779</v>
      </c>
      <c r="F189" s="47" t="s">
        <v>1782</v>
      </c>
      <c r="G189" s="47" t="s">
        <v>679</v>
      </c>
      <c r="H189" s="67">
        <v>45649</v>
      </c>
      <c r="I189" s="51" t="s">
        <v>35</v>
      </c>
      <c r="J189" s="51" t="s">
        <v>32</v>
      </c>
      <c r="K189" s="51">
        <v>2000</v>
      </c>
    </row>
    <row r="190" spans="1:11" x14ac:dyDescent="0.35">
      <c r="A190" s="47">
        <v>6301</v>
      </c>
      <c r="B190" s="47" t="s">
        <v>1774</v>
      </c>
      <c r="C190" s="47">
        <v>3472</v>
      </c>
      <c r="D190" s="47" t="s">
        <v>370</v>
      </c>
      <c r="E190" s="47" t="s">
        <v>1779</v>
      </c>
      <c r="F190" s="47" t="s">
        <v>1782</v>
      </c>
      <c r="G190" s="47" t="s">
        <v>679</v>
      </c>
      <c r="H190" s="67">
        <v>45649</v>
      </c>
      <c r="I190" s="51" t="s">
        <v>35</v>
      </c>
      <c r="J190" s="51" t="s">
        <v>32</v>
      </c>
      <c r="K190" s="51">
        <v>2000</v>
      </c>
    </row>
    <row r="191" spans="1:11" x14ac:dyDescent="0.35">
      <c r="A191" s="47">
        <v>7836</v>
      </c>
      <c r="B191" s="47" t="s">
        <v>352</v>
      </c>
      <c r="C191" s="47">
        <v>3472</v>
      </c>
      <c r="D191" s="47" t="s">
        <v>370</v>
      </c>
      <c r="E191" s="47" t="s">
        <v>1779</v>
      </c>
      <c r="F191" s="47" t="s">
        <v>1782</v>
      </c>
      <c r="G191" s="47" t="s">
        <v>679</v>
      </c>
      <c r="H191" s="67">
        <v>45649</v>
      </c>
      <c r="I191" s="51" t="s">
        <v>35</v>
      </c>
      <c r="J191" s="51" t="s">
        <v>32</v>
      </c>
      <c r="K191" s="51">
        <v>2000</v>
      </c>
    </row>
    <row r="192" spans="1:11" x14ac:dyDescent="0.35">
      <c r="A192" s="47">
        <v>5428</v>
      </c>
      <c r="B192" s="47" t="s">
        <v>647</v>
      </c>
      <c r="C192" s="47">
        <v>6623</v>
      </c>
      <c r="D192" s="47" t="s">
        <v>492</v>
      </c>
      <c r="E192" s="47" t="s">
        <v>2087</v>
      </c>
      <c r="F192" s="47" t="s">
        <v>2085</v>
      </c>
      <c r="G192" s="47" t="s">
        <v>679</v>
      </c>
      <c r="H192" s="67">
        <v>45756</v>
      </c>
      <c r="I192" s="51" t="s">
        <v>249</v>
      </c>
      <c r="J192" s="51" t="s">
        <v>10</v>
      </c>
      <c r="K192" s="68">
        <f>10000/23</f>
        <v>434.78260869565219</v>
      </c>
    </row>
    <row r="193" spans="1:11" x14ac:dyDescent="0.35">
      <c r="A193" s="47">
        <v>7969</v>
      </c>
      <c r="B193" s="47" t="s">
        <v>2042</v>
      </c>
      <c r="C193" s="47">
        <v>6623</v>
      </c>
      <c r="D193" s="47" t="s">
        <v>492</v>
      </c>
      <c r="E193" s="47" t="s">
        <v>2087</v>
      </c>
      <c r="F193" s="47" t="s">
        <v>2085</v>
      </c>
      <c r="G193" s="47" t="s">
        <v>679</v>
      </c>
      <c r="H193" s="67">
        <v>45756</v>
      </c>
      <c r="I193" s="51" t="s">
        <v>9</v>
      </c>
      <c r="J193" s="51" t="s">
        <v>10</v>
      </c>
      <c r="K193" s="68">
        <f t="shared" ref="K193:K214" si="0">10000/23</f>
        <v>434.78260869565219</v>
      </c>
    </row>
    <row r="194" spans="1:11" x14ac:dyDescent="0.35">
      <c r="A194" s="47">
        <v>7751</v>
      </c>
      <c r="B194" s="47" t="s">
        <v>343</v>
      </c>
      <c r="C194" s="47">
        <v>6623</v>
      </c>
      <c r="D194" s="47" t="s">
        <v>492</v>
      </c>
      <c r="E194" s="47" t="s">
        <v>2087</v>
      </c>
      <c r="F194" s="47" t="s">
        <v>2085</v>
      </c>
      <c r="G194" s="47" t="s">
        <v>679</v>
      </c>
      <c r="H194" s="67">
        <v>45756</v>
      </c>
      <c r="I194" s="51" t="s">
        <v>9</v>
      </c>
      <c r="J194" s="51" t="s">
        <v>10</v>
      </c>
      <c r="K194" s="68">
        <f t="shared" si="0"/>
        <v>434.78260869565219</v>
      </c>
    </row>
    <row r="195" spans="1:11" x14ac:dyDescent="0.35">
      <c r="A195" s="47">
        <v>7250</v>
      </c>
      <c r="B195" s="47" t="s">
        <v>288</v>
      </c>
      <c r="C195" s="47">
        <v>6623</v>
      </c>
      <c r="D195" s="47" t="s">
        <v>492</v>
      </c>
      <c r="E195" s="47" t="s">
        <v>2087</v>
      </c>
      <c r="F195" s="47" t="s">
        <v>2085</v>
      </c>
      <c r="G195" s="47" t="s">
        <v>679</v>
      </c>
      <c r="H195" s="67">
        <v>45756</v>
      </c>
      <c r="I195" s="51" t="s">
        <v>9</v>
      </c>
      <c r="J195" s="51" t="s">
        <v>10</v>
      </c>
      <c r="K195" s="68">
        <f t="shared" si="0"/>
        <v>434.78260869565219</v>
      </c>
    </row>
    <row r="196" spans="1:11" x14ac:dyDescent="0.35">
      <c r="A196" s="47">
        <v>3447</v>
      </c>
      <c r="B196" s="47" t="s">
        <v>179</v>
      </c>
      <c r="C196" s="47">
        <v>6623</v>
      </c>
      <c r="D196" s="47" t="s">
        <v>492</v>
      </c>
      <c r="E196" s="47" t="s">
        <v>2087</v>
      </c>
      <c r="F196" s="47" t="s">
        <v>2085</v>
      </c>
      <c r="G196" s="47" t="s">
        <v>679</v>
      </c>
      <c r="H196" s="67">
        <v>45756</v>
      </c>
      <c r="I196" s="51" t="s">
        <v>9</v>
      </c>
      <c r="J196" s="51" t="s">
        <v>54</v>
      </c>
      <c r="K196" s="68">
        <f t="shared" si="0"/>
        <v>434.78260869565219</v>
      </c>
    </row>
    <row r="197" spans="1:11" x14ac:dyDescent="0.35">
      <c r="A197" s="47">
        <v>7584</v>
      </c>
      <c r="B197" s="47" t="s">
        <v>266</v>
      </c>
      <c r="C197" s="47">
        <v>6623</v>
      </c>
      <c r="D197" s="47" t="s">
        <v>492</v>
      </c>
      <c r="E197" s="47" t="s">
        <v>2087</v>
      </c>
      <c r="F197" s="47" t="s">
        <v>2085</v>
      </c>
      <c r="G197" s="47" t="s">
        <v>679</v>
      </c>
      <c r="H197" s="67">
        <v>45756</v>
      </c>
      <c r="I197" s="51" t="s">
        <v>9</v>
      </c>
      <c r="J197" s="51" t="s">
        <v>10</v>
      </c>
      <c r="K197" s="68">
        <f t="shared" si="0"/>
        <v>434.78260869565219</v>
      </c>
    </row>
    <row r="198" spans="1:11" x14ac:dyDescent="0.35">
      <c r="A198" s="47">
        <v>4013</v>
      </c>
      <c r="B198" s="47" t="s">
        <v>268</v>
      </c>
      <c r="C198" s="47">
        <v>6623</v>
      </c>
      <c r="D198" s="47" t="s">
        <v>492</v>
      </c>
      <c r="E198" s="47" t="s">
        <v>2087</v>
      </c>
      <c r="F198" s="47" t="s">
        <v>2085</v>
      </c>
      <c r="G198" s="47" t="s">
        <v>679</v>
      </c>
      <c r="H198" s="67">
        <v>45756</v>
      </c>
      <c r="I198" s="51" t="s">
        <v>9</v>
      </c>
      <c r="J198" s="51" t="s">
        <v>54</v>
      </c>
      <c r="K198" s="68">
        <f t="shared" si="0"/>
        <v>434.78260869565219</v>
      </c>
    </row>
    <row r="199" spans="1:11" x14ac:dyDescent="0.35">
      <c r="A199" s="47">
        <v>6808</v>
      </c>
      <c r="B199" s="47" t="s">
        <v>640</v>
      </c>
      <c r="C199" s="47">
        <v>6623</v>
      </c>
      <c r="D199" s="47" t="s">
        <v>492</v>
      </c>
      <c r="E199" s="47" t="s">
        <v>2087</v>
      </c>
      <c r="F199" s="47" t="s">
        <v>2085</v>
      </c>
      <c r="G199" s="47" t="s">
        <v>679</v>
      </c>
      <c r="H199" s="67">
        <v>45756</v>
      </c>
      <c r="I199" s="51" t="s">
        <v>9</v>
      </c>
      <c r="J199" s="51" t="s">
        <v>10</v>
      </c>
      <c r="K199" s="68">
        <f t="shared" si="0"/>
        <v>434.78260869565219</v>
      </c>
    </row>
    <row r="200" spans="1:11" x14ac:dyDescent="0.35">
      <c r="A200" s="47">
        <v>7398</v>
      </c>
      <c r="B200" s="47" t="s">
        <v>645</v>
      </c>
      <c r="C200" s="47">
        <v>6623</v>
      </c>
      <c r="D200" s="47" t="s">
        <v>492</v>
      </c>
      <c r="E200" s="47" t="s">
        <v>2087</v>
      </c>
      <c r="F200" s="47" t="s">
        <v>2085</v>
      </c>
      <c r="G200" s="47" t="s">
        <v>679</v>
      </c>
      <c r="H200" s="67">
        <v>45756</v>
      </c>
      <c r="I200" s="51" t="s">
        <v>9</v>
      </c>
      <c r="J200" s="51" t="s">
        <v>10</v>
      </c>
      <c r="K200" s="68">
        <f t="shared" si="0"/>
        <v>434.78260869565219</v>
      </c>
    </row>
    <row r="201" spans="1:11" x14ac:dyDescent="0.35">
      <c r="A201" s="47">
        <v>7567</v>
      </c>
      <c r="B201" s="47" t="s">
        <v>411</v>
      </c>
      <c r="C201" s="47">
        <v>6623</v>
      </c>
      <c r="D201" s="47" t="s">
        <v>492</v>
      </c>
      <c r="E201" s="47" t="s">
        <v>2087</v>
      </c>
      <c r="F201" s="47" t="s">
        <v>2085</v>
      </c>
      <c r="G201" s="47" t="s">
        <v>679</v>
      </c>
      <c r="H201" s="67">
        <v>45756</v>
      </c>
      <c r="I201" s="51" t="s">
        <v>9</v>
      </c>
      <c r="J201" s="51" t="s">
        <v>10</v>
      </c>
      <c r="K201" s="68">
        <f t="shared" si="0"/>
        <v>434.78260869565219</v>
      </c>
    </row>
    <row r="202" spans="1:11" x14ac:dyDescent="0.35">
      <c r="A202" s="47">
        <v>7807</v>
      </c>
      <c r="B202" s="47" t="s">
        <v>458</v>
      </c>
      <c r="C202" s="47">
        <v>6623</v>
      </c>
      <c r="D202" s="47" t="s">
        <v>492</v>
      </c>
      <c r="E202" s="47" t="s">
        <v>2087</v>
      </c>
      <c r="F202" s="47" t="s">
        <v>2085</v>
      </c>
      <c r="G202" s="47" t="s">
        <v>679</v>
      </c>
      <c r="H202" s="67">
        <v>45756</v>
      </c>
      <c r="I202" s="51" t="s">
        <v>21</v>
      </c>
      <c r="J202" s="51" t="s">
        <v>10</v>
      </c>
      <c r="K202" s="68">
        <f t="shared" si="0"/>
        <v>434.78260869565219</v>
      </c>
    </row>
    <row r="203" spans="1:11" x14ac:dyDescent="0.35">
      <c r="A203" s="47">
        <v>7943</v>
      </c>
      <c r="B203" s="47" t="s">
        <v>2076</v>
      </c>
      <c r="C203" s="47">
        <v>6623</v>
      </c>
      <c r="D203" s="47" t="s">
        <v>492</v>
      </c>
      <c r="E203" s="47" t="s">
        <v>2087</v>
      </c>
      <c r="F203" s="47" t="s">
        <v>2085</v>
      </c>
      <c r="G203" s="47" t="s">
        <v>679</v>
      </c>
      <c r="H203" s="67">
        <v>45756</v>
      </c>
      <c r="I203" s="51" t="s">
        <v>9</v>
      </c>
      <c r="J203" s="51" t="s">
        <v>10</v>
      </c>
      <c r="K203" s="68">
        <f t="shared" si="0"/>
        <v>434.78260869565219</v>
      </c>
    </row>
    <row r="204" spans="1:11" x14ac:dyDescent="0.35">
      <c r="A204" s="47">
        <v>6409</v>
      </c>
      <c r="B204" s="47" t="s">
        <v>643</v>
      </c>
      <c r="C204" s="47">
        <v>6623</v>
      </c>
      <c r="D204" s="47" t="s">
        <v>492</v>
      </c>
      <c r="E204" s="47" t="s">
        <v>2087</v>
      </c>
      <c r="F204" s="47" t="s">
        <v>2085</v>
      </c>
      <c r="G204" s="47" t="s">
        <v>679</v>
      </c>
      <c r="H204" s="67">
        <v>45756</v>
      </c>
      <c r="I204" s="51" t="s">
        <v>9</v>
      </c>
      <c r="J204" s="51" t="s">
        <v>10</v>
      </c>
      <c r="K204" s="68">
        <f t="shared" si="0"/>
        <v>434.78260869565219</v>
      </c>
    </row>
    <row r="205" spans="1:11" x14ac:dyDescent="0.35">
      <c r="A205" s="47">
        <v>7024</v>
      </c>
      <c r="B205" s="47" t="s">
        <v>362</v>
      </c>
      <c r="C205" s="47">
        <v>6623</v>
      </c>
      <c r="D205" s="47" t="s">
        <v>492</v>
      </c>
      <c r="E205" s="47" t="s">
        <v>2087</v>
      </c>
      <c r="F205" s="47" t="s">
        <v>2085</v>
      </c>
      <c r="G205" s="47" t="s">
        <v>679</v>
      </c>
      <c r="H205" s="67">
        <v>45756</v>
      </c>
      <c r="I205" s="51" t="s">
        <v>9</v>
      </c>
      <c r="J205" s="51" t="s">
        <v>10</v>
      </c>
      <c r="K205" s="68">
        <f t="shared" si="0"/>
        <v>434.78260869565219</v>
      </c>
    </row>
    <row r="206" spans="1:11" x14ac:dyDescent="0.35">
      <c r="A206" s="47">
        <v>7426</v>
      </c>
      <c r="B206" s="47" t="s">
        <v>19</v>
      </c>
      <c r="C206" s="47">
        <v>6623</v>
      </c>
      <c r="D206" s="47" t="s">
        <v>492</v>
      </c>
      <c r="E206" s="47" t="s">
        <v>2087</v>
      </c>
      <c r="F206" s="47" t="s">
        <v>2085</v>
      </c>
      <c r="G206" s="47" t="s">
        <v>679</v>
      </c>
      <c r="H206" s="67">
        <v>45756</v>
      </c>
      <c r="I206" s="51" t="s">
        <v>21</v>
      </c>
      <c r="J206" s="51" t="s">
        <v>10</v>
      </c>
      <c r="K206" s="68">
        <f t="shared" si="0"/>
        <v>434.78260869565219</v>
      </c>
    </row>
    <row r="207" spans="1:11" x14ac:dyDescent="0.35">
      <c r="A207" s="47">
        <v>7756</v>
      </c>
      <c r="B207" s="47" t="s">
        <v>65</v>
      </c>
      <c r="C207" s="47">
        <v>6623</v>
      </c>
      <c r="D207" s="47" t="s">
        <v>492</v>
      </c>
      <c r="E207" s="47" t="s">
        <v>2087</v>
      </c>
      <c r="F207" s="47" t="s">
        <v>2085</v>
      </c>
      <c r="G207" s="47" t="s">
        <v>679</v>
      </c>
      <c r="H207" s="67">
        <v>45756</v>
      </c>
      <c r="I207" s="51" t="s">
        <v>9</v>
      </c>
      <c r="J207" s="51" t="s">
        <v>54</v>
      </c>
      <c r="K207" s="68">
        <f t="shared" si="0"/>
        <v>434.78260869565219</v>
      </c>
    </row>
    <row r="208" spans="1:11" x14ac:dyDescent="0.35">
      <c r="A208" s="47">
        <v>7656</v>
      </c>
      <c r="B208" s="47" t="s">
        <v>25</v>
      </c>
      <c r="C208" s="47">
        <v>6623</v>
      </c>
      <c r="D208" s="47" t="s">
        <v>492</v>
      </c>
      <c r="E208" s="47" t="s">
        <v>2087</v>
      </c>
      <c r="F208" s="47" t="s">
        <v>2085</v>
      </c>
      <c r="G208" s="47" t="s">
        <v>679</v>
      </c>
      <c r="H208" s="67">
        <v>45756</v>
      </c>
      <c r="I208" s="51" t="s">
        <v>21</v>
      </c>
      <c r="J208" s="51" t="s">
        <v>10</v>
      </c>
      <c r="K208" s="68">
        <f t="shared" si="0"/>
        <v>434.78260869565219</v>
      </c>
    </row>
    <row r="209" spans="1:11" x14ac:dyDescent="0.35">
      <c r="A209" s="47">
        <v>5517</v>
      </c>
      <c r="B209" s="47" t="s">
        <v>363</v>
      </c>
      <c r="C209" s="47">
        <v>6623</v>
      </c>
      <c r="D209" s="47" t="s">
        <v>492</v>
      </c>
      <c r="E209" s="47" t="s">
        <v>2087</v>
      </c>
      <c r="F209" s="47" t="s">
        <v>2085</v>
      </c>
      <c r="G209" s="47" t="s">
        <v>679</v>
      </c>
      <c r="H209" s="67">
        <v>45756</v>
      </c>
      <c r="I209" s="51" t="s">
        <v>9</v>
      </c>
      <c r="J209" s="51" t="s">
        <v>10</v>
      </c>
      <c r="K209" s="68">
        <f t="shared" si="0"/>
        <v>434.78260869565219</v>
      </c>
    </row>
    <row r="210" spans="1:11" x14ac:dyDescent="0.35">
      <c r="A210" s="47">
        <v>7937</v>
      </c>
      <c r="B210" s="47" t="s">
        <v>2086</v>
      </c>
      <c r="C210" s="47">
        <v>6623</v>
      </c>
      <c r="D210" s="47" t="s">
        <v>492</v>
      </c>
      <c r="E210" s="47" t="s">
        <v>2087</v>
      </c>
      <c r="F210" s="47" t="s">
        <v>2085</v>
      </c>
      <c r="G210" s="47" t="s">
        <v>679</v>
      </c>
      <c r="H210" s="67">
        <v>45756</v>
      </c>
      <c r="I210" s="51" t="s">
        <v>9</v>
      </c>
      <c r="J210" s="51" t="s">
        <v>10</v>
      </c>
      <c r="K210" s="68">
        <f t="shared" si="0"/>
        <v>434.78260869565219</v>
      </c>
    </row>
    <row r="211" spans="1:11" x14ac:dyDescent="0.35">
      <c r="A211" s="47">
        <v>7748</v>
      </c>
      <c r="B211" s="47" t="s">
        <v>342</v>
      </c>
      <c r="C211" s="47">
        <v>6623</v>
      </c>
      <c r="D211" s="47" t="s">
        <v>492</v>
      </c>
      <c r="E211" s="47" t="s">
        <v>2087</v>
      </c>
      <c r="F211" s="47" t="s">
        <v>2085</v>
      </c>
      <c r="G211" s="47" t="s">
        <v>679</v>
      </c>
      <c r="H211" s="67">
        <v>45756</v>
      </c>
      <c r="I211" s="51" t="s">
        <v>9</v>
      </c>
      <c r="J211" s="51" t="s">
        <v>10</v>
      </c>
      <c r="K211" s="68">
        <f t="shared" si="0"/>
        <v>434.78260869565219</v>
      </c>
    </row>
    <row r="212" spans="1:11" x14ac:dyDescent="0.35">
      <c r="A212" s="47">
        <v>7512</v>
      </c>
      <c r="B212" s="47" t="s">
        <v>646</v>
      </c>
      <c r="C212" s="47">
        <v>6623</v>
      </c>
      <c r="D212" s="47" t="s">
        <v>492</v>
      </c>
      <c r="E212" s="47" t="s">
        <v>2087</v>
      </c>
      <c r="F212" s="47" t="s">
        <v>2085</v>
      </c>
      <c r="G212" s="47" t="s">
        <v>679</v>
      </c>
      <c r="H212" s="67">
        <v>45756</v>
      </c>
      <c r="I212" s="51" t="s">
        <v>9</v>
      </c>
      <c r="J212" s="51" t="s">
        <v>10</v>
      </c>
      <c r="K212" s="68">
        <f t="shared" si="0"/>
        <v>434.78260869565219</v>
      </c>
    </row>
    <row r="213" spans="1:11" x14ac:dyDescent="0.35">
      <c r="A213" s="47">
        <v>5342</v>
      </c>
      <c r="B213" s="47" t="s">
        <v>585</v>
      </c>
      <c r="C213" s="47">
        <v>6623</v>
      </c>
      <c r="D213" s="47" t="s">
        <v>492</v>
      </c>
      <c r="E213" s="47" t="s">
        <v>2087</v>
      </c>
      <c r="F213" s="47" t="s">
        <v>2085</v>
      </c>
      <c r="G213" s="47" t="s">
        <v>679</v>
      </c>
      <c r="H213" s="67">
        <v>45756</v>
      </c>
      <c r="I213" s="51" t="s">
        <v>249</v>
      </c>
      <c r="J213" s="51" t="s">
        <v>10</v>
      </c>
      <c r="K213" s="68">
        <f t="shared" si="0"/>
        <v>434.78260869565219</v>
      </c>
    </row>
    <row r="214" spans="1:11" x14ac:dyDescent="0.35">
      <c r="A214" s="47">
        <v>2826</v>
      </c>
      <c r="B214" s="47" t="s">
        <v>169</v>
      </c>
      <c r="C214" s="47">
        <v>6623</v>
      </c>
      <c r="D214" s="47" t="s">
        <v>492</v>
      </c>
      <c r="E214" s="47" t="s">
        <v>2087</v>
      </c>
      <c r="F214" s="47" t="s">
        <v>2085</v>
      </c>
      <c r="G214" s="47" t="s">
        <v>679</v>
      </c>
      <c r="H214" s="67">
        <v>45756</v>
      </c>
      <c r="I214" s="51" t="s">
        <v>9</v>
      </c>
      <c r="J214" s="51" t="s">
        <v>54</v>
      </c>
      <c r="K214" s="68">
        <f t="shared" si="0"/>
        <v>434.78260869565219</v>
      </c>
    </row>
    <row r="215" spans="1:11" x14ac:dyDescent="0.35">
      <c r="A215" s="47">
        <v>4010</v>
      </c>
      <c r="B215" s="47" t="s">
        <v>437</v>
      </c>
      <c r="C215" s="47">
        <v>5780</v>
      </c>
      <c r="D215" s="47" t="s">
        <v>483</v>
      </c>
      <c r="E215" s="47" t="s">
        <v>2088</v>
      </c>
      <c r="F215" s="47" t="s">
        <v>2085</v>
      </c>
      <c r="G215" s="47" t="s">
        <v>679</v>
      </c>
      <c r="H215" s="67">
        <v>45755</v>
      </c>
      <c r="I215" s="51" t="s">
        <v>9</v>
      </c>
      <c r="J215" s="51" t="s">
        <v>54</v>
      </c>
      <c r="K215" s="51">
        <v>625</v>
      </c>
    </row>
    <row r="216" spans="1:11" x14ac:dyDescent="0.35">
      <c r="A216" s="47">
        <v>6822</v>
      </c>
      <c r="B216" s="47" t="s">
        <v>595</v>
      </c>
      <c r="C216" s="47">
        <v>5780</v>
      </c>
      <c r="D216" s="47" t="s">
        <v>483</v>
      </c>
      <c r="E216" s="47" t="s">
        <v>2088</v>
      </c>
      <c r="F216" s="47" t="s">
        <v>2085</v>
      </c>
      <c r="G216" s="47" t="s">
        <v>679</v>
      </c>
      <c r="H216" s="67">
        <v>45755</v>
      </c>
      <c r="I216" s="51" t="s">
        <v>249</v>
      </c>
      <c r="J216" s="51" t="s">
        <v>10</v>
      </c>
      <c r="K216" s="51">
        <v>625</v>
      </c>
    </row>
    <row r="217" spans="1:11" x14ac:dyDescent="0.35">
      <c r="A217" s="47">
        <v>7640</v>
      </c>
      <c r="B217" s="47" t="s">
        <v>6</v>
      </c>
      <c r="C217" s="47">
        <v>5780</v>
      </c>
      <c r="D217" s="47" t="s">
        <v>483</v>
      </c>
      <c r="E217" s="47" t="s">
        <v>2088</v>
      </c>
      <c r="F217" s="47" t="s">
        <v>2085</v>
      </c>
      <c r="G217" s="47" t="s">
        <v>679</v>
      </c>
      <c r="H217" s="67">
        <v>45755</v>
      </c>
      <c r="I217" s="51" t="s">
        <v>9</v>
      </c>
      <c r="J217" s="51" t="s">
        <v>10</v>
      </c>
      <c r="K217" s="51">
        <v>625</v>
      </c>
    </row>
    <row r="218" spans="1:11" x14ac:dyDescent="0.35">
      <c r="A218" s="47">
        <v>7431</v>
      </c>
      <c r="B218" s="47" t="s">
        <v>1866</v>
      </c>
      <c r="C218" s="47">
        <v>5780</v>
      </c>
      <c r="D218" s="47" t="s">
        <v>483</v>
      </c>
      <c r="E218" s="47" t="s">
        <v>2088</v>
      </c>
      <c r="F218" s="47" t="s">
        <v>2085</v>
      </c>
      <c r="G218" s="47" t="s">
        <v>679</v>
      </c>
      <c r="H218" s="67">
        <v>45755</v>
      </c>
      <c r="I218" s="51" t="s">
        <v>9</v>
      </c>
      <c r="J218" s="51" t="s">
        <v>54</v>
      </c>
      <c r="K218" s="51">
        <v>625</v>
      </c>
    </row>
    <row r="219" spans="1:11" x14ac:dyDescent="0.35">
      <c r="A219" s="47">
        <v>7083</v>
      </c>
      <c r="B219" s="47" t="s">
        <v>598</v>
      </c>
      <c r="C219" s="47">
        <v>5780</v>
      </c>
      <c r="D219" s="47" t="s">
        <v>483</v>
      </c>
      <c r="E219" s="47" t="s">
        <v>2088</v>
      </c>
      <c r="F219" s="47" t="s">
        <v>2085</v>
      </c>
      <c r="G219" s="47" t="s">
        <v>679</v>
      </c>
      <c r="H219" s="67">
        <v>45755</v>
      </c>
      <c r="I219" s="51" t="s">
        <v>9</v>
      </c>
      <c r="J219" s="51" t="s">
        <v>10</v>
      </c>
      <c r="K219" s="51">
        <v>625</v>
      </c>
    </row>
    <row r="220" spans="1:11" x14ac:dyDescent="0.35">
      <c r="A220" s="47">
        <v>6368</v>
      </c>
      <c r="B220" s="47" t="s">
        <v>420</v>
      </c>
      <c r="C220" s="47">
        <v>5780</v>
      </c>
      <c r="D220" s="47" t="s">
        <v>483</v>
      </c>
      <c r="E220" s="47" t="s">
        <v>2088</v>
      </c>
      <c r="F220" s="47" t="s">
        <v>2085</v>
      </c>
      <c r="G220" s="47" t="s">
        <v>679</v>
      </c>
      <c r="H220" s="67">
        <v>45755</v>
      </c>
      <c r="I220" s="51" t="s">
        <v>9</v>
      </c>
      <c r="J220" s="51" t="s">
        <v>54</v>
      </c>
      <c r="K220" s="51">
        <v>625</v>
      </c>
    </row>
    <row r="221" spans="1:11" x14ac:dyDescent="0.35">
      <c r="A221" s="47">
        <v>6975</v>
      </c>
      <c r="B221" s="47" t="s">
        <v>596</v>
      </c>
      <c r="C221" s="47">
        <v>5780</v>
      </c>
      <c r="D221" s="47" t="s">
        <v>483</v>
      </c>
      <c r="E221" s="47" t="s">
        <v>2088</v>
      </c>
      <c r="F221" s="47" t="s">
        <v>2085</v>
      </c>
      <c r="G221" s="47" t="s">
        <v>679</v>
      </c>
      <c r="H221" s="67">
        <v>45755</v>
      </c>
      <c r="I221" s="51" t="s">
        <v>249</v>
      </c>
      <c r="J221" s="51" t="s">
        <v>10</v>
      </c>
      <c r="K221" s="51">
        <v>625</v>
      </c>
    </row>
    <row r="222" spans="1:11" x14ac:dyDescent="0.35">
      <c r="A222" s="47">
        <v>7452</v>
      </c>
      <c r="B222" s="47" t="s">
        <v>263</v>
      </c>
      <c r="C222" s="47">
        <v>5780</v>
      </c>
      <c r="D222" s="47" t="s">
        <v>483</v>
      </c>
      <c r="E222" s="47" t="s">
        <v>2088</v>
      </c>
      <c r="F222" s="47" t="s">
        <v>2085</v>
      </c>
      <c r="G222" s="47" t="s">
        <v>679</v>
      </c>
      <c r="H222" s="67">
        <v>45755</v>
      </c>
      <c r="I222" s="51" t="s">
        <v>249</v>
      </c>
      <c r="J222" s="51" t="s">
        <v>10</v>
      </c>
      <c r="K222" s="51">
        <v>625</v>
      </c>
    </row>
    <row r="223" spans="1:11" x14ac:dyDescent="0.35">
      <c r="A223" s="47">
        <v>7823</v>
      </c>
      <c r="B223" s="47" t="s">
        <v>351</v>
      </c>
      <c r="C223" s="47">
        <v>5780</v>
      </c>
      <c r="D223" s="47" t="s">
        <v>483</v>
      </c>
      <c r="E223" s="47" t="s">
        <v>2088</v>
      </c>
      <c r="F223" s="47" t="s">
        <v>2085</v>
      </c>
      <c r="G223" s="47" t="s">
        <v>679</v>
      </c>
      <c r="H223" s="67">
        <v>45755</v>
      </c>
      <c r="I223" s="51" t="s">
        <v>21</v>
      </c>
      <c r="J223" s="51" t="s">
        <v>10</v>
      </c>
      <c r="K223" s="51">
        <v>625</v>
      </c>
    </row>
    <row r="224" spans="1:11" x14ac:dyDescent="0.35">
      <c r="A224" s="47">
        <v>5714</v>
      </c>
      <c r="B224" s="47" t="s">
        <v>116</v>
      </c>
      <c r="C224" s="47">
        <v>5780</v>
      </c>
      <c r="D224" s="47" t="s">
        <v>483</v>
      </c>
      <c r="E224" s="47" t="s">
        <v>2088</v>
      </c>
      <c r="F224" s="47" t="s">
        <v>2085</v>
      </c>
      <c r="G224" s="47" t="s">
        <v>679</v>
      </c>
      <c r="H224" s="67">
        <v>45755</v>
      </c>
      <c r="I224" s="51" t="s">
        <v>9</v>
      </c>
      <c r="J224" s="51" t="s">
        <v>54</v>
      </c>
      <c r="K224" s="51">
        <v>625</v>
      </c>
    </row>
    <row r="225" spans="1:11" x14ac:dyDescent="0.35">
      <c r="A225" s="47">
        <v>7658</v>
      </c>
      <c r="B225" s="47" t="s">
        <v>59</v>
      </c>
      <c r="C225" s="47">
        <v>5780</v>
      </c>
      <c r="D225" s="47" t="s">
        <v>483</v>
      </c>
      <c r="E225" s="47" t="s">
        <v>2088</v>
      </c>
      <c r="F225" s="47" t="s">
        <v>2085</v>
      </c>
      <c r="G225" s="47" t="s">
        <v>679</v>
      </c>
      <c r="H225" s="67">
        <v>45755</v>
      </c>
      <c r="I225" s="51" t="s">
        <v>9</v>
      </c>
      <c r="J225" s="51" t="s">
        <v>54</v>
      </c>
      <c r="K225" s="51">
        <v>625</v>
      </c>
    </row>
    <row r="226" spans="1:11" x14ac:dyDescent="0.35">
      <c r="A226" s="47">
        <v>7809</v>
      </c>
      <c r="B226" s="47" t="s">
        <v>601</v>
      </c>
      <c r="C226" s="47">
        <v>5780</v>
      </c>
      <c r="D226" s="47" t="s">
        <v>483</v>
      </c>
      <c r="E226" s="47" t="s">
        <v>2088</v>
      </c>
      <c r="F226" s="47" t="s">
        <v>2085</v>
      </c>
      <c r="G226" s="47" t="s">
        <v>679</v>
      </c>
      <c r="H226" s="67">
        <v>45755</v>
      </c>
      <c r="I226" s="51" t="s">
        <v>21</v>
      </c>
      <c r="J226" s="51" t="s">
        <v>10</v>
      </c>
      <c r="K226" s="47">
        <v>625</v>
      </c>
    </row>
    <row r="227" spans="1:11" x14ac:dyDescent="0.35">
      <c r="A227" s="47">
        <v>7737</v>
      </c>
      <c r="B227" s="47" t="s">
        <v>176</v>
      </c>
      <c r="C227" s="47">
        <v>5780</v>
      </c>
      <c r="D227" s="47" t="s">
        <v>483</v>
      </c>
      <c r="E227" s="47" t="s">
        <v>2088</v>
      </c>
      <c r="F227" s="47" t="s">
        <v>2085</v>
      </c>
      <c r="G227" s="47" t="s">
        <v>679</v>
      </c>
      <c r="H227" s="67">
        <v>45755</v>
      </c>
      <c r="I227" s="51" t="s">
        <v>21</v>
      </c>
      <c r="J227" s="51" t="s">
        <v>10</v>
      </c>
      <c r="K227" s="47">
        <v>625</v>
      </c>
    </row>
    <row r="228" spans="1:11" x14ac:dyDescent="0.35">
      <c r="A228" s="47">
        <v>4009</v>
      </c>
      <c r="B228" s="47" t="s">
        <v>602</v>
      </c>
      <c r="C228" s="47">
        <v>5780</v>
      </c>
      <c r="D228" s="47" t="s">
        <v>483</v>
      </c>
      <c r="E228" s="47" t="s">
        <v>2088</v>
      </c>
      <c r="F228" s="47" t="s">
        <v>2085</v>
      </c>
      <c r="G228" s="47" t="s">
        <v>679</v>
      </c>
      <c r="H228" s="67">
        <v>45755</v>
      </c>
      <c r="I228" s="51" t="s">
        <v>9</v>
      </c>
      <c r="J228" s="51" t="s">
        <v>54</v>
      </c>
      <c r="K228" s="47">
        <v>625</v>
      </c>
    </row>
    <row r="229" spans="1:11" x14ac:dyDescent="0.35">
      <c r="A229" s="47">
        <v>7401</v>
      </c>
      <c r="B229" s="47" t="s">
        <v>1769</v>
      </c>
      <c r="C229" s="47">
        <v>5780</v>
      </c>
      <c r="D229" s="47" t="s">
        <v>483</v>
      </c>
      <c r="E229" s="47" t="s">
        <v>2088</v>
      </c>
      <c r="F229" s="47" t="s">
        <v>2085</v>
      </c>
      <c r="G229" s="47" t="s">
        <v>679</v>
      </c>
      <c r="H229" s="67">
        <v>45755</v>
      </c>
      <c r="I229" s="51" t="s">
        <v>21</v>
      </c>
      <c r="J229" s="51" t="s">
        <v>10</v>
      </c>
      <c r="K229" s="47">
        <v>625</v>
      </c>
    </row>
    <row r="230" spans="1:11" x14ac:dyDescent="0.35">
      <c r="A230" s="47">
        <v>7042</v>
      </c>
      <c r="B230" s="47" t="s">
        <v>597</v>
      </c>
      <c r="C230" s="47">
        <v>5780</v>
      </c>
      <c r="D230" s="47" t="s">
        <v>483</v>
      </c>
      <c r="E230" s="47" t="s">
        <v>2088</v>
      </c>
      <c r="F230" s="47" t="s">
        <v>2085</v>
      </c>
      <c r="G230" s="47" t="s">
        <v>679</v>
      </c>
      <c r="H230" s="67">
        <v>45755</v>
      </c>
      <c r="I230" s="51" t="s">
        <v>9</v>
      </c>
      <c r="J230" s="51" t="s">
        <v>10</v>
      </c>
      <c r="K230" s="47">
        <v>625</v>
      </c>
    </row>
    <row r="231" spans="1:11" x14ac:dyDescent="0.35">
      <c r="A231" s="63">
        <v>1591</v>
      </c>
      <c r="B231" s="63" t="s">
        <v>590</v>
      </c>
      <c r="C231" s="63">
        <v>4379</v>
      </c>
      <c r="D231" s="63" t="s">
        <v>468</v>
      </c>
      <c r="E231" s="64" t="s">
        <v>2528</v>
      </c>
      <c r="F231" s="63" t="s">
        <v>2497</v>
      </c>
      <c r="G231" s="64" t="s">
        <v>679</v>
      </c>
      <c r="H231" s="67">
        <v>45840</v>
      </c>
      <c r="I231" s="51" t="s">
        <v>9</v>
      </c>
      <c r="J231" s="51" t="s">
        <v>54</v>
      </c>
      <c r="K231" s="47">
        <v>830</v>
      </c>
    </row>
    <row r="232" spans="1:11" x14ac:dyDescent="0.35">
      <c r="A232" s="63">
        <v>6409</v>
      </c>
      <c r="B232" s="63" t="s">
        <v>643</v>
      </c>
      <c r="C232" s="63">
        <v>4379</v>
      </c>
      <c r="D232" s="63" t="s">
        <v>468</v>
      </c>
      <c r="E232" s="64" t="s">
        <v>2528</v>
      </c>
      <c r="F232" s="63" t="s">
        <v>2497</v>
      </c>
      <c r="G232" s="64" t="s">
        <v>679</v>
      </c>
      <c r="H232" s="67">
        <v>45840</v>
      </c>
      <c r="I232" s="51" t="s">
        <v>9</v>
      </c>
      <c r="J232" s="51" t="s">
        <v>10</v>
      </c>
      <c r="K232" s="47">
        <v>830</v>
      </c>
    </row>
    <row r="233" spans="1:11" x14ac:dyDescent="0.35">
      <c r="A233" s="63">
        <v>5201</v>
      </c>
      <c r="B233" s="63" t="s">
        <v>588</v>
      </c>
      <c r="C233" s="63">
        <v>4379</v>
      </c>
      <c r="D233" s="63" t="s">
        <v>468</v>
      </c>
      <c r="E233" s="64" t="s">
        <v>2528</v>
      </c>
      <c r="F233" s="63" t="s">
        <v>2497</v>
      </c>
      <c r="G233" s="64" t="s">
        <v>679</v>
      </c>
      <c r="H233" s="67">
        <v>45840</v>
      </c>
      <c r="I233" s="51" t="s">
        <v>9</v>
      </c>
      <c r="J233" s="51" t="s">
        <v>54</v>
      </c>
      <c r="K233" s="47">
        <v>830</v>
      </c>
    </row>
    <row r="234" spans="1:11" x14ac:dyDescent="0.35">
      <c r="A234" s="63">
        <v>7807</v>
      </c>
      <c r="B234" s="63" t="s">
        <v>458</v>
      </c>
      <c r="C234" s="63">
        <v>4379</v>
      </c>
      <c r="D234" s="63" t="s">
        <v>468</v>
      </c>
      <c r="E234" s="64" t="s">
        <v>2528</v>
      </c>
      <c r="F234" s="63" t="s">
        <v>2497</v>
      </c>
      <c r="G234" s="64" t="s">
        <v>679</v>
      </c>
      <c r="H234" s="67">
        <v>45840</v>
      </c>
      <c r="I234" s="51" t="s">
        <v>21</v>
      </c>
      <c r="J234" s="51" t="s">
        <v>10</v>
      </c>
      <c r="K234" s="47">
        <v>830</v>
      </c>
    </row>
    <row r="235" spans="1:11" x14ac:dyDescent="0.35">
      <c r="A235" s="63">
        <v>7567</v>
      </c>
      <c r="B235" s="63" t="s">
        <v>411</v>
      </c>
      <c r="C235" s="63">
        <v>4379</v>
      </c>
      <c r="D235" s="63" t="s">
        <v>468</v>
      </c>
      <c r="E235" s="64" t="s">
        <v>2528</v>
      </c>
      <c r="F235" s="63" t="s">
        <v>2497</v>
      </c>
      <c r="G235" s="64" t="s">
        <v>679</v>
      </c>
      <c r="H235" s="67">
        <v>45840</v>
      </c>
      <c r="I235" s="51" t="s">
        <v>9</v>
      </c>
      <c r="J235" s="51" t="s">
        <v>10</v>
      </c>
      <c r="K235" s="47">
        <v>830</v>
      </c>
    </row>
    <row r="236" spans="1:11" x14ac:dyDescent="0.35">
      <c r="A236" s="63">
        <v>7398</v>
      </c>
      <c r="B236" s="63" t="s">
        <v>645</v>
      </c>
      <c r="C236" s="63">
        <v>4379</v>
      </c>
      <c r="D236" s="63" t="s">
        <v>468</v>
      </c>
      <c r="E236" s="64" t="s">
        <v>2528</v>
      </c>
      <c r="F236" s="63" t="s">
        <v>2497</v>
      </c>
      <c r="G236" s="64" t="s">
        <v>679</v>
      </c>
      <c r="H236" s="67">
        <v>45840</v>
      </c>
      <c r="I236" s="51" t="s">
        <v>9</v>
      </c>
      <c r="J236" s="51" t="s">
        <v>10</v>
      </c>
      <c r="K236" s="47">
        <v>830</v>
      </c>
    </row>
    <row r="237" spans="1:11" x14ac:dyDescent="0.35">
      <c r="A237" s="63">
        <v>4013</v>
      </c>
      <c r="B237" s="63" t="s">
        <v>268</v>
      </c>
      <c r="C237" s="63">
        <v>4379</v>
      </c>
      <c r="D237" s="63" t="s">
        <v>468</v>
      </c>
      <c r="E237" s="64" t="s">
        <v>2528</v>
      </c>
      <c r="F237" s="63" t="s">
        <v>2497</v>
      </c>
      <c r="G237" s="64" t="s">
        <v>679</v>
      </c>
      <c r="H237" s="67">
        <v>45840</v>
      </c>
      <c r="I237" s="51" t="s">
        <v>9</v>
      </c>
      <c r="J237" s="51" t="s">
        <v>54</v>
      </c>
      <c r="K237" s="47">
        <v>830</v>
      </c>
    </row>
    <row r="238" spans="1:11" x14ac:dyDescent="0.35">
      <c r="A238" s="63">
        <v>7457</v>
      </c>
      <c r="B238" s="63" t="s">
        <v>1731</v>
      </c>
      <c r="C238" s="63">
        <v>4379</v>
      </c>
      <c r="D238" s="63" t="s">
        <v>468</v>
      </c>
      <c r="E238" s="64" t="s">
        <v>2528</v>
      </c>
      <c r="F238" s="63" t="s">
        <v>2497</v>
      </c>
      <c r="G238" s="64" t="s">
        <v>679</v>
      </c>
      <c r="H238" s="67">
        <v>45840</v>
      </c>
      <c r="I238" s="51" t="s">
        <v>9</v>
      </c>
      <c r="J238" s="51" t="s">
        <v>54</v>
      </c>
      <c r="K238" s="47">
        <v>830</v>
      </c>
    </row>
    <row r="239" spans="1:11" x14ac:dyDescent="0.35">
      <c r="A239" s="63">
        <v>7656</v>
      </c>
      <c r="B239" s="63" t="s">
        <v>25</v>
      </c>
      <c r="C239" s="63">
        <v>4379</v>
      </c>
      <c r="D239" s="63" t="s">
        <v>468</v>
      </c>
      <c r="E239" s="64" t="s">
        <v>2528</v>
      </c>
      <c r="F239" s="63" t="s">
        <v>2497</v>
      </c>
      <c r="G239" s="64" t="s">
        <v>679</v>
      </c>
      <c r="H239" s="67">
        <v>45840</v>
      </c>
      <c r="I239" s="51" t="s">
        <v>21</v>
      </c>
      <c r="J239" s="51" t="s">
        <v>10</v>
      </c>
      <c r="K239" s="47">
        <v>830</v>
      </c>
    </row>
    <row r="240" spans="1:11" x14ac:dyDescent="0.35">
      <c r="A240" s="63">
        <v>5517</v>
      </c>
      <c r="B240" s="63" t="s">
        <v>363</v>
      </c>
      <c r="C240" s="63">
        <v>4379</v>
      </c>
      <c r="D240" s="63" t="s">
        <v>468</v>
      </c>
      <c r="E240" s="64" t="s">
        <v>2528</v>
      </c>
      <c r="F240" s="63" t="s">
        <v>2497</v>
      </c>
      <c r="G240" s="64" t="s">
        <v>679</v>
      </c>
      <c r="H240" s="67">
        <v>45840</v>
      </c>
      <c r="I240" s="51" t="s">
        <v>9</v>
      </c>
      <c r="J240" s="51" t="s">
        <v>10</v>
      </c>
      <c r="K240" s="47">
        <v>830</v>
      </c>
    </row>
    <row r="241" spans="1:11" x14ac:dyDescent="0.35">
      <c r="A241" s="63">
        <v>7512</v>
      </c>
      <c r="B241" s="63" t="s">
        <v>646</v>
      </c>
      <c r="C241" s="63">
        <v>4379</v>
      </c>
      <c r="D241" s="63" t="s">
        <v>468</v>
      </c>
      <c r="E241" s="64" t="s">
        <v>2528</v>
      </c>
      <c r="F241" s="63" t="s">
        <v>2497</v>
      </c>
      <c r="G241" s="64" t="s">
        <v>679</v>
      </c>
      <c r="H241" s="67">
        <v>45840</v>
      </c>
      <c r="I241" s="51" t="s">
        <v>9</v>
      </c>
      <c r="J241" s="51" t="s">
        <v>10</v>
      </c>
      <c r="K241" s="47">
        <v>830</v>
      </c>
    </row>
    <row r="242" spans="1:11" x14ac:dyDescent="0.35">
      <c r="A242" s="63">
        <v>4068</v>
      </c>
      <c r="B242" s="63" t="s">
        <v>178</v>
      </c>
      <c r="C242" s="63">
        <v>4379</v>
      </c>
      <c r="D242" s="63" t="s">
        <v>468</v>
      </c>
      <c r="E242" s="64" t="s">
        <v>2528</v>
      </c>
      <c r="F242" s="63" t="s">
        <v>2497</v>
      </c>
      <c r="G242" s="64" t="s">
        <v>679</v>
      </c>
      <c r="H242" s="67">
        <v>45840</v>
      </c>
      <c r="I242" s="51" t="s">
        <v>9</v>
      </c>
      <c r="J242" s="51" t="s">
        <v>54</v>
      </c>
      <c r="K242" s="47">
        <v>830</v>
      </c>
    </row>
    <row r="243" spans="1:11" x14ac:dyDescent="0.35">
      <c r="A243" s="63">
        <v>7759</v>
      </c>
      <c r="B243" s="63" t="s">
        <v>610</v>
      </c>
      <c r="C243" s="63">
        <v>7227</v>
      </c>
      <c r="D243" s="63" t="s">
        <v>479</v>
      </c>
      <c r="E243" s="63" t="s">
        <v>2529</v>
      </c>
      <c r="F243" s="63" t="s">
        <v>2497</v>
      </c>
      <c r="G243" s="64" t="s">
        <v>679</v>
      </c>
      <c r="H243" s="67">
        <v>45856</v>
      </c>
      <c r="I243" s="51" t="s">
        <v>53</v>
      </c>
      <c r="J243" s="51" t="s">
        <v>54</v>
      </c>
      <c r="K243" s="47">
        <v>2000</v>
      </c>
    </row>
    <row r="244" spans="1:11" x14ac:dyDescent="0.35">
      <c r="A244" s="63">
        <v>6541</v>
      </c>
      <c r="B244" s="63" t="s">
        <v>439</v>
      </c>
      <c r="C244" s="63">
        <v>7227</v>
      </c>
      <c r="D244" s="63" t="s">
        <v>479</v>
      </c>
      <c r="E244" s="63" t="s">
        <v>2529</v>
      </c>
      <c r="F244" s="63" t="s">
        <v>2497</v>
      </c>
      <c r="G244" s="64" t="s">
        <v>679</v>
      </c>
      <c r="H244" s="67">
        <v>45856</v>
      </c>
      <c r="I244" s="51" t="s">
        <v>53</v>
      </c>
      <c r="J244" s="51" t="s">
        <v>54</v>
      </c>
      <c r="K244" s="47">
        <v>2000</v>
      </c>
    </row>
    <row r="245" spans="1:11" x14ac:dyDescent="0.35">
      <c r="A245" s="63">
        <v>1313</v>
      </c>
      <c r="B245" s="63" t="s">
        <v>61</v>
      </c>
      <c r="C245" s="63">
        <v>7227</v>
      </c>
      <c r="D245" s="63" t="s">
        <v>479</v>
      </c>
      <c r="E245" s="63" t="s">
        <v>2529</v>
      </c>
      <c r="F245" s="63" t="s">
        <v>2497</v>
      </c>
      <c r="G245" s="64" t="s">
        <v>679</v>
      </c>
      <c r="H245" s="67">
        <v>45856</v>
      </c>
      <c r="I245" s="51" t="s">
        <v>53</v>
      </c>
      <c r="J245" s="51" t="s">
        <v>54</v>
      </c>
      <c r="K245" s="47">
        <v>2000</v>
      </c>
    </row>
    <row r="246" spans="1:11" x14ac:dyDescent="0.35">
      <c r="A246" s="63">
        <v>7283</v>
      </c>
      <c r="B246" s="63" t="s">
        <v>410</v>
      </c>
      <c r="C246" s="63">
        <v>7227</v>
      </c>
      <c r="D246" s="63" t="s">
        <v>479</v>
      </c>
      <c r="E246" s="63" t="s">
        <v>2529</v>
      </c>
      <c r="F246" s="63" t="s">
        <v>2497</v>
      </c>
      <c r="G246" s="64" t="s">
        <v>679</v>
      </c>
      <c r="H246" s="67">
        <v>45856</v>
      </c>
      <c r="I246" s="51" t="s">
        <v>53</v>
      </c>
      <c r="J246" s="51" t="s">
        <v>54</v>
      </c>
      <c r="K246" s="47">
        <v>2000</v>
      </c>
    </row>
    <row r="247" spans="1:11" x14ac:dyDescent="0.35">
      <c r="A247" s="63">
        <v>2736</v>
      </c>
      <c r="B247" s="63" t="s">
        <v>425</v>
      </c>
      <c r="C247" s="63">
        <v>7227</v>
      </c>
      <c r="D247" s="63" t="s">
        <v>479</v>
      </c>
      <c r="E247" s="63" t="s">
        <v>2529</v>
      </c>
      <c r="F247" s="63" t="s">
        <v>2497</v>
      </c>
      <c r="G247" s="64" t="s">
        <v>679</v>
      </c>
      <c r="H247" s="67">
        <v>45856</v>
      </c>
      <c r="I247" s="51" t="s">
        <v>53</v>
      </c>
      <c r="J247" s="51" t="s">
        <v>54</v>
      </c>
      <c r="K247" s="47">
        <v>2000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81AE-5E29-4EA9-AC2B-59881BF42D4F}">
  <dimension ref="A1:K6"/>
  <sheetViews>
    <sheetView workbookViewId="0">
      <selection sqref="A1:XFD1"/>
    </sheetView>
  </sheetViews>
  <sheetFormatPr defaultRowHeight="14.5" x14ac:dyDescent="0.35"/>
  <cols>
    <col min="1" max="1" width="8.81640625" bestFit="1" customWidth="1"/>
    <col min="3" max="3" width="8.81640625" bestFit="1" customWidth="1"/>
    <col min="8" max="8" width="9.1796875" bestFit="1" customWidth="1"/>
    <col min="11" max="11" width="8.81640625" bestFit="1" customWidth="1"/>
  </cols>
  <sheetData>
    <row r="1" spans="1:11" x14ac:dyDescent="0.35">
      <c r="A1" s="2" t="s">
        <v>337</v>
      </c>
      <c r="B1" s="2" t="s">
        <v>338</v>
      </c>
      <c r="C1" s="2" t="s">
        <v>357</v>
      </c>
      <c r="D1" s="2" t="s">
        <v>358</v>
      </c>
      <c r="E1" s="2" t="s">
        <v>77</v>
      </c>
      <c r="F1" s="2" t="s">
        <v>106</v>
      </c>
      <c r="G1" s="2" t="s">
        <v>392</v>
      </c>
      <c r="H1" s="2" t="s">
        <v>394</v>
      </c>
      <c r="I1" s="2" t="s">
        <v>4</v>
      </c>
      <c r="J1" s="2" t="s">
        <v>5</v>
      </c>
      <c r="K1" s="2" t="s">
        <v>680</v>
      </c>
    </row>
    <row r="2" spans="1:11" x14ac:dyDescent="0.35">
      <c r="A2" s="10">
        <v>4379</v>
      </c>
      <c r="B2" s="10" t="s">
        <v>468</v>
      </c>
      <c r="C2" s="10">
        <v>5803</v>
      </c>
      <c r="D2" s="10" t="s">
        <v>660</v>
      </c>
      <c r="E2" s="10" t="s">
        <v>2026</v>
      </c>
      <c r="F2" s="10" t="s">
        <v>2031</v>
      </c>
      <c r="G2" s="10" t="s">
        <v>1654</v>
      </c>
      <c r="H2" s="11">
        <v>45652</v>
      </c>
      <c r="I2" s="10" t="s">
        <v>9</v>
      </c>
      <c r="J2" s="10" t="s">
        <v>10</v>
      </c>
      <c r="K2" s="10">
        <v>0</v>
      </c>
    </row>
    <row r="3" spans="1:11" x14ac:dyDescent="0.35">
      <c r="A3" s="10">
        <v>5517</v>
      </c>
      <c r="B3" s="10" t="s">
        <v>363</v>
      </c>
      <c r="C3" s="10">
        <v>454</v>
      </c>
      <c r="D3" s="10" t="s">
        <v>2025</v>
      </c>
      <c r="E3" s="10" t="s">
        <v>2027</v>
      </c>
      <c r="F3" s="10" t="s">
        <v>2031</v>
      </c>
      <c r="G3" s="10" t="s">
        <v>1654</v>
      </c>
      <c r="H3" s="11">
        <v>45652</v>
      </c>
      <c r="I3" s="10" t="s">
        <v>9</v>
      </c>
      <c r="J3" s="10" t="s">
        <v>10</v>
      </c>
      <c r="K3" s="10">
        <v>0</v>
      </c>
    </row>
    <row r="4" spans="1:11" x14ac:dyDescent="0.35">
      <c r="A4" s="10">
        <v>2826</v>
      </c>
      <c r="B4" s="10" t="s">
        <v>169</v>
      </c>
      <c r="C4" s="10">
        <v>647</v>
      </c>
      <c r="D4" s="10" t="s">
        <v>716</v>
      </c>
      <c r="E4" s="10" t="s">
        <v>2028</v>
      </c>
      <c r="F4" s="10" t="s">
        <v>2031</v>
      </c>
      <c r="G4" s="10" t="s">
        <v>1654</v>
      </c>
      <c r="H4" s="11">
        <v>45652</v>
      </c>
      <c r="I4" s="10" t="s">
        <v>9</v>
      </c>
      <c r="J4" s="10" t="s">
        <v>54</v>
      </c>
      <c r="K4" s="10">
        <v>0</v>
      </c>
    </row>
    <row r="5" spans="1:11" x14ac:dyDescent="0.35">
      <c r="A5" s="10">
        <v>6481</v>
      </c>
      <c r="B5" s="10" t="s">
        <v>126</v>
      </c>
      <c r="C5" s="10">
        <v>4496</v>
      </c>
      <c r="D5" s="10" t="s">
        <v>655</v>
      </c>
      <c r="E5" s="10" t="s">
        <v>2029</v>
      </c>
      <c r="F5" s="10" t="s">
        <v>2031</v>
      </c>
      <c r="G5" s="10" t="s">
        <v>1654</v>
      </c>
      <c r="H5" s="11">
        <v>45652</v>
      </c>
      <c r="I5" s="10" t="s">
        <v>21</v>
      </c>
      <c r="J5" s="10" t="s">
        <v>10</v>
      </c>
      <c r="K5" s="10">
        <v>0</v>
      </c>
    </row>
    <row r="6" spans="1:11" x14ac:dyDescent="0.35">
      <c r="A6" s="10">
        <v>5780</v>
      </c>
      <c r="B6" s="10" t="s">
        <v>483</v>
      </c>
      <c r="C6" s="10">
        <v>5803</v>
      </c>
      <c r="D6" s="10" t="s">
        <v>660</v>
      </c>
      <c r="E6" s="10" t="s">
        <v>2030</v>
      </c>
      <c r="F6" s="10" t="s">
        <v>2031</v>
      </c>
      <c r="G6" s="10" t="s">
        <v>1654</v>
      </c>
      <c r="H6" s="11">
        <v>45652</v>
      </c>
      <c r="I6" s="10" t="s">
        <v>9</v>
      </c>
      <c r="J6" s="10" t="s">
        <v>10</v>
      </c>
      <c r="K6" s="1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FB4A-F1E7-46BD-ACFF-99FA21FA157D}">
  <dimension ref="A1:K226"/>
  <sheetViews>
    <sheetView tabSelected="1" workbookViewId="0">
      <pane ySplit="1" topLeftCell="A84" activePane="bottomLeft" state="frozen"/>
      <selection pane="bottomLeft" sqref="A1:K226"/>
    </sheetView>
  </sheetViews>
  <sheetFormatPr defaultRowHeight="14.5" x14ac:dyDescent="0.35"/>
  <cols>
    <col min="5" max="5" width="19.54296875" customWidth="1"/>
    <col min="7" max="7" width="20.36328125" bestFit="1" customWidth="1"/>
    <col min="8" max="8" width="12.26953125" customWidth="1"/>
  </cols>
  <sheetData>
    <row r="1" spans="1:11" x14ac:dyDescent="0.35">
      <c r="A1" s="61" t="s">
        <v>337</v>
      </c>
      <c r="B1" s="61" t="s">
        <v>338</v>
      </c>
      <c r="C1" s="61" t="s">
        <v>357</v>
      </c>
      <c r="D1" s="61" t="s">
        <v>358</v>
      </c>
      <c r="E1" s="61" t="s">
        <v>77</v>
      </c>
      <c r="F1" s="61" t="s">
        <v>106</v>
      </c>
      <c r="G1" s="61" t="s">
        <v>392</v>
      </c>
      <c r="H1" s="61" t="s">
        <v>394</v>
      </c>
      <c r="I1" s="61" t="s">
        <v>4</v>
      </c>
      <c r="J1" s="61" t="s">
        <v>5</v>
      </c>
      <c r="K1" s="61" t="s">
        <v>680</v>
      </c>
    </row>
    <row r="2" spans="1:11" s="10" customFormat="1" ht="13" x14ac:dyDescent="0.3">
      <c r="A2" s="71">
        <v>1591</v>
      </c>
      <c r="B2" s="71" t="s">
        <v>590</v>
      </c>
      <c r="C2" s="71">
        <v>647</v>
      </c>
      <c r="D2" s="71" t="s">
        <v>716</v>
      </c>
      <c r="E2" s="74" t="s">
        <v>718</v>
      </c>
      <c r="F2" s="71" t="s">
        <v>252</v>
      </c>
      <c r="G2" s="71" t="s">
        <v>733</v>
      </c>
      <c r="H2" s="73">
        <v>45582</v>
      </c>
      <c r="I2" s="71" t="s">
        <v>9</v>
      </c>
      <c r="J2" s="71" t="s">
        <v>54</v>
      </c>
      <c r="K2" s="71" t="s">
        <v>726</v>
      </c>
    </row>
    <row r="3" spans="1:11" s="10" customFormat="1" ht="13" x14ac:dyDescent="0.3">
      <c r="A3" s="71">
        <v>7756</v>
      </c>
      <c r="B3" s="71" t="s">
        <v>65</v>
      </c>
      <c r="C3" s="71">
        <v>647</v>
      </c>
      <c r="D3" s="71" t="s">
        <v>716</v>
      </c>
      <c r="E3" s="74" t="s">
        <v>718</v>
      </c>
      <c r="F3" s="71" t="s">
        <v>252</v>
      </c>
      <c r="G3" s="71" t="s">
        <v>733</v>
      </c>
      <c r="H3" s="73">
        <v>45582</v>
      </c>
      <c r="I3" s="71" t="s">
        <v>9</v>
      </c>
      <c r="J3" s="71" t="s">
        <v>54</v>
      </c>
      <c r="K3" s="71" t="s">
        <v>726</v>
      </c>
    </row>
    <row r="4" spans="1:11" s="10" customFormat="1" ht="13" x14ac:dyDescent="0.3">
      <c r="A4" s="71">
        <v>5517</v>
      </c>
      <c r="B4" s="71" t="s">
        <v>363</v>
      </c>
      <c r="C4" s="71">
        <v>647</v>
      </c>
      <c r="D4" s="71" t="s">
        <v>716</v>
      </c>
      <c r="E4" s="74" t="s">
        <v>718</v>
      </c>
      <c r="F4" s="71" t="s">
        <v>252</v>
      </c>
      <c r="G4" s="71" t="s">
        <v>733</v>
      </c>
      <c r="H4" s="73">
        <v>45582</v>
      </c>
      <c r="I4" s="71" t="s">
        <v>9</v>
      </c>
      <c r="J4" s="71" t="s">
        <v>10</v>
      </c>
      <c r="K4" s="71" t="s">
        <v>726</v>
      </c>
    </row>
    <row r="5" spans="1:11" s="10" customFormat="1" ht="13" x14ac:dyDescent="0.3">
      <c r="A5" s="71">
        <v>2451</v>
      </c>
      <c r="B5" s="71" t="s">
        <v>681</v>
      </c>
      <c r="C5" s="71">
        <v>647</v>
      </c>
      <c r="D5" s="71" t="s">
        <v>716</v>
      </c>
      <c r="E5" s="74" t="s">
        <v>718</v>
      </c>
      <c r="F5" s="71" t="s">
        <v>252</v>
      </c>
      <c r="G5" s="71" t="s">
        <v>733</v>
      </c>
      <c r="H5" s="73">
        <v>45582</v>
      </c>
      <c r="I5" s="71" t="s">
        <v>35</v>
      </c>
      <c r="J5" s="71" t="s">
        <v>32</v>
      </c>
      <c r="K5" s="71" t="s">
        <v>726</v>
      </c>
    </row>
    <row r="6" spans="1:11" s="10" customFormat="1" ht="13" x14ac:dyDescent="0.3">
      <c r="A6" s="71">
        <v>6409</v>
      </c>
      <c r="B6" s="71" t="s">
        <v>643</v>
      </c>
      <c r="C6" s="71">
        <v>647</v>
      </c>
      <c r="D6" s="71" t="s">
        <v>716</v>
      </c>
      <c r="E6" s="74" t="s">
        <v>718</v>
      </c>
      <c r="F6" s="71" t="s">
        <v>252</v>
      </c>
      <c r="G6" s="71" t="s">
        <v>733</v>
      </c>
      <c r="H6" s="73">
        <v>45582</v>
      </c>
      <c r="I6" s="71" t="s">
        <v>9</v>
      </c>
      <c r="J6" s="71" t="s">
        <v>10</v>
      </c>
      <c r="K6" s="71" t="s">
        <v>726</v>
      </c>
    </row>
    <row r="7" spans="1:11" s="10" customFormat="1" ht="13" x14ac:dyDescent="0.3">
      <c r="A7" s="71">
        <v>2904</v>
      </c>
      <c r="B7" s="71" t="s">
        <v>682</v>
      </c>
      <c r="C7" s="71">
        <v>647</v>
      </c>
      <c r="D7" s="71" t="s">
        <v>716</v>
      </c>
      <c r="E7" s="74" t="s">
        <v>718</v>
      </c>
      <c r="F7" s="71" t="s">
        <v>252</v>
      </c>
      <c r="G7" s="71" t="s">
        <v>733</v>
      </c>
      <c r="H7" s="73">
        <v>45582</v>
      </c>
      <c r="I7" s="71" t="s">
        <v>35</v>
      </c>
      <c r="J7" s="71" t="s">
        <v>32</v>
      </c>
      <c r="K7" s="71" t="s">
        <v>726</v>
      </c>
    </row>
    <row r="8" spans="1:11" s="10" customFormat="1" ht="13" x14ac:dyDescent="0.3">
      <c r="A8" s="71">
        <v>5201</v>
      </c>
      <c r="B8" s="71" t="s">
        <v>588</v>
      </c>
      <c r="C8" s="71">
        <v>647</v>
      </c>
      <c r="D8" s="71" t="s">
        <v>716</v>
      </c>
      <c r="E8" s="74" t="s">
        <v>718</v>
      </c>
      <c r="F8" s="71" t="s">
        <v>252</v>
      </c>
      <c r="G8" s="71" t="s">
        <v>733</v>
      </c>
      <c r="H8" s="73">
        <v>45582</v>
      </c>
      <c r="I8" s="71" t="s">
        <v>9</v>
      </c>
      <c r="J8" s="71" t="s">
        <v>54</v>
      </c>
      <c r="K8" s="71" t="s">
        <v>726</v>
      </c>
    </row>
    <row r="9" spans="1:11" s="10" customFormat="1" ht="13" x14ac:dyDescent="0.3">
      <c r="A9" s="71">
        <v>7807</v>
      </c>
      <c r="B9" s="71" t="s">
        <v>458</v>
      </c>
      <c r="C9" s="71">
        <v>647</v>
      </c>
      <c r="D9" s="71" t="s">
        <v>716</v>
      </c>
      <c r="E9" s="74" t="s">
        <v>718</v>
      </c>
      <c r="F9" s="71" t="s">
        <v>252</v>
      </c>
      <c r="G9" s="71" t="s">
        <v>733</v>
      </c>
      <c r="H9" s="73">
        <v>45582</v>
      </c>
      <c r="I9" s="71" t="s">
        <v>21</v>
      </c>
      <c r="J9" s="71" t="s">
        <v>10</v>
      </c>
      <c r="K9" s="71" t="s">
        <v>726</v>
      </c>
    </row>
    <row r="10" spans="1:11" s="10" customFormat="1" ht="13" x14ac:dyDescent="0.3">
      <c r="A10" s="71">
        <v>6808</v>
      </c>
      <c r="B10" s="71" t="s">
        <v>640</v>
      </c>
      <c r="C10" s="71">
        <v>647</v>
      </c>
      <c r="D10" s="71" t="s">
        <v>716</v>
      </c>
      <c r="E10" s="74" t="s">
        <v>718</v>
      </c>
      <c r="F10" s="71" t="s">
        <v>252</v>
      </c>
      <c r="G10" s="71" t="s">
        <v>733</v>
      </c>
      <c r="H10" s="73">
        <v>45582</v>
      </c>
      <c r="I10" s="71" t="s">
        <v>9</v>
      </c>
      <c r="J10" s="71" t="s">
        <v>10</v>
      </c>
      <c r="K10" s="71" t="s">
        <v>726</v>
      </c>
    </row>
    <row r="11" spans="1:11" s="10" customFormat="1" ht="13" x14ac:dyDescent="0.3">
      <c r="A11" s="71">
        <v>7426</v>
      </c>
      <c r="B11" s="71" t="s">
        <v>19</v>
      </c>
      <c r="C11" s="71">
        <v>647</v>
      </c>
      <c r="D11" s="71" t="s">
        <v>716</v>
      </c>
      <c r="E11" s="74" t="s">
        <v>718</v>
      </c>
      <c r="F11" s="71" t="s">
        <v>252</v>
      </c>
      <c r="G11" s="71" t="s">
        <v>733</v>
      </c>
      <c r="H11" s="73">
        <v>45582</v>
      </c>
      <c r="I11" s="71" t="s">
        <v>21</v>
      </c>
      <c r="J11" s="71" t="s">
        <v>10</v>
      </c>
      <c r="K11" s="71" t="s">
        <v>726</v>
      </c>
    </row>
    <row r="12" spans="1:11" s="10" customFormat="1" ht="13" x14ac:dyDescent="0.3">
      <c r="A12" s="71">
        <v>7225</v>
      </c>
      <c r="B12" s="71" t="s">
        <v>419</v>
      </c>
      <c r="C12" s="71">
        <v>647</v>
      </c>
      <c r="D12" s="71" t="s">
        <v>716</v>
      </c>
      <c r="E12" s="74" t="s">
        <v>718</v>
      </c>
      <c r="F12" s="71" t="s">
        <v>252</v>
      </c>
      <c r="G12" s="71" t="s">
        <v>733</v>
      </c>
      <c r="H12" s="73">
        <v>45582</v>
      </c>
      <c r="I12" s="71" t="s">
        <v>249</v>
      </c>
      <c r="J12" s="71" t="s">
        <v>10</v>
      </c>
      <c r="K12" s="71" t="s">
        <v>726</v>
      </c>
    </row>
    <row r="13" spans="1:11" s="10" customFormat="1" ht="13" x14ac:dyDescent="0.3">
      <c r="A13" s="71">
        <v>7584</v>
      </c>
      <c r="B13" s="71" t="s">
        <v>266</v>
      </c>
      <c r="C13" s="71">
        <v>647</v>
      </c>
      <c r="D13" s="71" t="s">
        <v>716</v>
      </c>
      <c r="E13" s="74" t="s">
        <v>718</v>
      </c>
      <c r="F13" s="71" t="s">
        <v>252</v>
      </c>
      <c r="G13" s="71" t="s">
        <v>733</v>
      </c>
      <c r="H13" s="73">
        <v>45582</v>
      </c>
      <c r="I13" s="71" t="s">
        <v>9</v>
      </c>
      <c r="J13" s="71" t="s">
        <v>10</v>
      </c>
      <c r="K13" s="71" t="s">
        <v>726</v>
      </c>
    </row>
    <row r="14" spans="1:11" s="10" customFormat="1" ht="13" x14ac:dyDescent="0.3">
      <c r="A14" s="71">
        <v>3447</v>
      </c>
      <c r="B14" s="71" t="s">
        <v>179</v>
      </c>
      <c r="C14" s="71">
        <v>647</v>
      </c>
      <c r="D14" s="71" t="s">
        <v>716</v>
      </c>
      <c r="E14" s="74" t="s">
        <v>718</v>
      </c>
      <c r="F14" s="71" t="s">
        <v>252</v>
      </c>
      <c r="G14" s="71" t="s">
        <v>733</v>
      </c>
      <c r="H14" s="73">
        <v>45582</v>
      </c>
      <c r="I14" s="71" t="s">
        <v>9</v>
      </c>
      <c r="J14" s="71" t="s">
        <v>54</v>
      </c>
      <c r="K14" s="71" t="s">
        <v>726</v>
      </c>
    </row>
    <row r="15" spans="1:11" s="10" customFormat="1" ht="13" x14ac:dyDescent="0.3">
      <c r="A15" s="71">
        <v>6787</v>
      </c>
      <c r="B15" s="71" t="s">
        <v>642</v>
      </c>
      <c r="C15" s="71">
        <v>647</v>
      </c>
      <c r="D15" s="71" t="s">
        <v>716</v>
      </c>
      <c r="E15" s="74" t="s">
        <v>718</v>
      </c>
      <c r="F15" s="71" t="s">
        <v>252</v>
      </c>
      <c r="G15" s="71" t="s">
        <v>733</v>
      </c>
      <c r="H15" s="73">
        <v>45582</v>
      </c>
      <c r="I15" s="71" t="s">
        <v>9</v>
      </c>
      <c r="J15" s="71" t="s">
        <v>54</v>
      </c>
      <c r="K15" s="71" t="s">
        <v>726</v>
      </c>
    </row>
    <row r="16" spans="1:11" s="10" customFormat="1" ht="13" x14ac:dyDescent="0.3">
      <c r="A16" s="71">
        <v>7024</v>
      </c>
      <c r="B16" s="71" t="s">
        <v>362</v>
      </c>
      <c r="C16" s="71">
        <v>647</v>
      </c>
      <c r="D16" s="71" t="s">
        <v>716</v>
      </c>
      <c r="E16" s="74" t="s">
        <v>718</v>
      </c>
      <c r="F16" s="71" t="s">
        <v>252</v>
      </c>
      <c r="G16" s="71" t="s">
        <v>733</v>
      </c>
      <c r="H16" s="73">
        <v>45582</v>
      </c>
      <c r="I16" s="71" t="s">
        <v>9</v>
      </c>
      <c r="J16" s="71" t="s">
        <v>10</v>
      </c>
      <c r="K16" s="71" t="s">
        <v>726</v>
      </c>
    </row>
    <row r="17" spans="1:11" s="10" customFormat="1" ht="13" x14ac:dyDescent="0.3">
      <c r="A17" s="71">
        <v>7742</v>
      </c>
      <c r="B17" s="71" t="s">
        <v>339</v>
      </c>
      <c r="C17" s="71">
        <v>647</v>
      </c>
      <c r="D17" s="71" t="s">
        <v>716</v>
      </c>
      <c r="E17" s="74" t="s">
        <v>718</v>
      </c>
      <c r="F17" s="71" t="s">
        <v>252</v>
      </c>
      <c r="G17" s="71" t="s">
        <v>733</v>
      </c>
      <c r="H17" s="73">
        <v>45582</v>
      </c>
      <c r="I17" s="71" t="s">
        <v>21</v>
      </c>
      <c r="J17" s="71" t="s">
        <v>10</v>
      </c>
      <c r="K17" s="71" t="s">
        <v>726</v>
      </c>
    </row>
    <row r="18" spans="1:11" s="10" customFormat="1" ht="13" x14ac:dyDescent="0.3">
      <c r="A18" s="71">
        <v>7690</v>
      </c>
      <c r="B18" s="71" t="s">
        <v>359</v>
      </c>
      <c r="C18" s="71">
        <v>647</v>
      </c>
      <c r="D18" s="71" t="s">
        <v>716</v>
      </c>
      <c r="E18" s="74" t="s">
        <v>718</v>
      </c>
      <c r="F18" s="71" t="s">
        <v>252</v>
      </c>
      <c r="G18" s="71" t="s">
        <v>733</v>
      </c>
      <c r="H18" s="73">
        <v>45582</v>
      </c>
      <c r="I18" s="71" t="s">
        <v>21</v>
      </c>
      <c r="J18" s="71" t="s">
        <v>10</v>
      </c>
      <c r="K18" s="71" t="s">
        <v>726</v>
      </c>
    </row>
    <row r="19" spans="1:11" s="10" customFormat="1" ht="13" x14ac:dyDescent="0.3">
      <c r="A19" s="71">
        <v>7208</v>
      </c>
      <c r="B19" s="71" t="s">
        <v>262</v>
      </c>
      <c r="C19" s="71">
        <v>1908</v>
      </c>
      <c r="D19" s="71" t="s">
        <v>368</v>
      </c>
      <c r="E19" s="71" t="s">
        <v>719</v>
      </c>
      <c r="F19" s="71" t="s">
        <v>1615</v>
      </c>
      <c r="G19" s="71" t="s">
        <v>733</v>
      </c>
      <c r="H19" s="73">
        <v>45534</v>
      </c>
      <c r="I19" s="71" t="s">
        <v>35</v>
      </c>
      <c r="J19" s="71" t="s">
        <v>32</v>
      </c>
      <c r="K19" s="71" t="s">
        <v>727</v>
      </c>
    </row>
    <row r="20" spans="1:11" s="10" customFormat="1" ht="13" x14ac:dyDescent="0.3">
      <c r="A20" s="71">
        <v>2651</v>
      </c>
      <c r="B20" s="71" t="s">
        <v>295</v>
      </c>
      <c r="C20" s="71">
        <v>1908</v>
      </c>
      <c r="D20" s="71" t="s">
        <v>368</v>
      </c>
      <c r="E20" s="71" t="s">
        <v>719</v>
      </c>
      <c r="F20" s="71" t="s">
        <v>1615</v>
      </c>
      <c r="G20" s="71" t="s">
        <v>733</v>
      </c>
      <c r="H20" s="73">
        <v>45534</v>
      </c>
      <c r="I20" s="71" t="s">
        <v>35</v>
      </c>
      <c r="J20" s="71" t="s">
        <v>32</v>
      </c>
      <c r="K20" s="71" t="s">
        <v>727</v>
      </c>
    </row>
    <row r="21" spans="1:11" s="10" customFormat="1" ht="13" x14ac:dyDescent="0.3">
      <c r="A21" s="71">
        <v>4517</v>
      </c>
      <c r="B21" s="71" t="s">
        <v>683</v>
      </c>
      <c r="C21" s="71">
        <v>4379</v>
      </c>
      <c r="D21" s="71" t="s">
        <v>468</v>
      </c>
      <c r="E21" s="71" t="s">
        <v>720</v>
      </c>
      <c r="F21" s="71" t="s">
        <v>1615</v>
      </c>
      <c r="G21" s="71" t="s">
        <v>733</v>
      </c>
      <c r="H21" s="73">
        <v>45534</v>
      </c>
      <c r="I21" s="71" t="s">
        <v>53</v>
      </c>
      <c r="J21" s="71" t="s">
        <v>54</v>
      </c>
      <c r="K21" s="71" t="s">
        <v>728</v>
      </c>
    </row>
    <row r="22" spans="1:11" s="10" customFormat="1" ht="13" x14ac:dyDescent="0.3">
      <c r="A22" s="71">
        <v>4376</v>
      </c>
      <c r="B22" s="71" t="s">
        <v>684</v>
      </c>
      <c r="C22" s="71">
        <v>4379</v>
      </c>
      <c r="D22" s="71" t="s">
        <v>468</v>
      </c>
      <c r="E22" s="71" t="s">
        <v>720</v>
      </c>
      <c r="F22" s="71" t="s">
        <v>1615</v>
      </c>
      <c r="G22" s="71" t="s">
        <v>733</v>
      </c>
      <c r="H22" s="73">
        <v>45534</v>
      </c>
      <c r="I22" s="71" t="s">
        <v>53</v>
      </c>
      <c r="J22" s="71" t="s">
        <v>54</v>
      </c>
      <c r="K22" s="71" t="s">
        <v>728</v>
      </c>
    </row>
    <row r="23" spans="1:11" s="10" customFormat="1" ht="13" x14ac:dyDescent="0.3">
      <c r="A23" s="71">
        <v>4518</v>
      </c>
      <c r="B23" s="71" t="s">
        <v>257</v>
      </c>
      <c r="C23" s="71">
        <v>4379</v>
      </c>
      <c r="D23" s="71" t="s">
        <v>468</v>
      </c>
      <c r="E23" s="71" t="s">
        <v>720</v>
      </c>
      <c r="F23" s="71" t="s">
        <v>1615</v>
      </c>
      <c r="G23" s="71" t="s">
        <v>733</v>
      </c>
      <c r="H23" s="73">
        <v>45534</v>
      </c>
      <c r="I23" s="71" t="s">
        <v>53</v>
      </c>
      <c r="J23" s="71" t="s">
        <v>54</v>
      </c>
      <c r="K23" s="71" t="s">
        <v>728</v>
      </c>
    </row>
    <row r="24" spans="1:11" s="10" customFormat="1" ht="13" x14ac:dyDescent="0.3">
      <c r="A24" s="71">
        <v>4366</v>
      </c>
      <c r="B24" s="71" t="s">
        <v>264</v>
      </c>
      <c r="C24" s="71">
        <v>4379</v>
      </c>
      <c r="D24" s="71" t="s">
        <v>468</v>
      </c>
      <c r="E24" s="71" t="s">
        <v>720</v>
      </c>
      <c r="F24" s="71" t="s">
        <v>1615</v>
      </c>
      <c r="G24" s="71" t="s">
        <v>733</v>
      </c>
      <c r="H24" s="73">
        <v>45534</v>
      </c>
      <c r="I24" s="71" t="s">
        <v>53</v>
      </c>
      <c r="J24" s="71" t="s">
        <v>54</v>
      </c>
      <c r="K24" s="71" t="s">
        <v>728</v>
      </c>
    </row>
    <row r="25" spans="1:11" s="10" customFormat="1" ht="13" x14ac:dyDescent="0.3">
      <c r="A25" s="71">
        <v>7291</v>
      </c>
      <c r="B25" s="71" t="s">
        <v>256</v>
      </c>
      <c r="C25" s="71">
        <v>4379</v>
      </c>
      <c r="D25" s="71" t="s">
        <v>468</v>
      </c>
      <c r="E25" s="71" t="s">
        <v>720</v>
      </c>
      <c r="F25" s="71" t="s">
        <v>1615</v>
      </c>
      <c r="G25" s="71" t="s">
        <v>733</v>
      </c>
      <c r="H25" s="73">
        <v>45534</v>
      </c>
      <c r="I25" s="71" t="s">
        <v>9</v>
      </c>
      <c r="J25" s="71" t="s">
        <v>10</v>
      </c>
      <c r="K25" s="71" t="s">
        <v>728</v>
      </c>
    </row>
    <row r="26" spans="1:11" s="10" customFormat="1" ht="13" x14ac:dyDescent="0.3">
      <c r="A26" s="71">
        <v>5698</v>
      </c>
      <c r="B26" s="71" t="s">
        <v>685</v>
      </c>
      <c r="C26" s="71">
        <v>4379</v>
      </c>
      <c r="D26" s="71" t="s">
        <v>468</v>
      </c>
      <c r="E26" s="71" t="s">
        <v>720</v>
      </c>
      <c r="F26" s="71" t="s">
        <v>1615</v>
      </c>
      <c r="G26" s="71" t="s">
        <v>733</v>
      </c>
      <c r="H26" s="73">
        <v>45534</v>
      </c>
      <c r="I26" s="71" t="s">
        <v>53</v>
      </c>
      <c r="J26" s="71" t="s">
        <v>74</v>
      </c>
      <c r="K26" s="71" t="s">
        <v>728</v>
      </c>
    </row>
    <row r="27" spans="1:11" s="10" customFormat="1" ht="13" x14ac:dyDescent="0.3">
      <c r="A27" s="71">
        <v>4502</v>
      </c>
      <c r="B27" s="71" t="s">
        <v>621</v>
      </c>
      <c r="C27" s="71">
        <v>4379</v>
      </c>
      <c r="D27" s="71" t="s">
        <v>468</v>
      </c>
      <c r="E27" s="71" t="s">
        <v>720</v>
      </c>
      <c r="F27" s="71" t="s">
        <v>1615</v>
      </c>
      <c r="G27" s="71" t="s">
        <v>733</v>
      </c>
      <c r="H27" s="73">
        <v>45534</v>
      </c>
      <c r="I27" s="71" t="s">
        <v>53</v>
      </c>
      <c r="J27" s="71" t="s">
        <v>32</v>
      </c>
      <c r="K27" s="71" t="s">
        <v>728</v>
      </c>
    </row>
    <row r="28" spans="1:11" s="10" customFormat="1" ht="13" x14ac:dyDescent="0.3">
      <c r="A28" s="71">
        <v>5201</v>
      </c>
      <c r="B28" s="71" t="s">
        <v>588</v>
      </c>
      <c r="C28" s="71">
        <v>2169</v>
      </c>
      <c r="D28" s="71" t="s">
        <v>469</v>
      </c>
      <c r="E28" s="71" t="s">
        <v>721</v>
      </c>
      <c r="F28" s="71" t="s">
        <v>1615</v>
      </c>
      <c r="G28" s="71" t="s">
        <v>733</v>
      </c>
      <c r="H28" s="73">
        <v>45534</v>
      </c>
      <c r="I28" s="71" t="s">
        <v>9</v>
      </c>
      <c r="J28" s="71" t="s">
        <v>54</v>
      </c>
      <c r="K28" s="71" t="s">
        <v>726</v>
      </c>
    </row>
    <row r="29" spans="1:11" s="10" customFormat="1" ht="13" x14ac:dyDescent="0.3">
      <c r="A29" s="71">
        <v>2756</v>
      </c>
      <c r="B29" s="71" t="s">
        <v>686</v>
      </c>
      <c r="C29" s="71">
        <v>2169</v>
      </c>
      <c r="D29" s="71" t="s">
        <v>469</v>
      </c>
      <c r="E29" s="71" t="s">
        <v>721</v>
      </c>
      <c r="F29" s="71" t="s">
        <v>1615</v>
      </c>
      <c r="G29" s="71" t="s">
        <v>733</v>
      </c>
      <c r="H29" s="73">
        <v>45534</v>
      </c>
      <c r="I29" s="71" t="s">
        <v>35</v>
      </c>
      <c r="J29" s="71" t="s">
        <v>32</v>
      </c>
      <c r="K29" s="71" t="s">
        <v>726</v>
      </c>
    </row>
    <row r="30" spans="1:11" s="10" customFormat="1" ht="13" x14ac:dyDescent="0.3">
      <c r="A30" s="71">
        <v>7818</v>
      </c>
      <c r="B30" s="71" t="s">
        <v>687</v>
      </c>
      <c r="C30" s="71">
        <v>2169</v>
      </c>
      <c r="D30" s="71" t="s">
        <v>469</v>
      </c>
      <c r="E30" s="71" t="s">
        <v>721</v>
      </c>
      <c r="F30" s="71" t="s">
        <v>1615</v>
      </c>
      <c r="G30" s="71" t="s">
        <v>733</v>
      </c>
      <c r="H30" s="73">
        <v>45534</v>
      </c>
      <c r="I30" s="71" t="s">
        <v>9</v>
      </c>
      <c r="J30" s="71" t="s">
        <v>54</v>
      </c>
      <c r="K30" s="71" t="s">
        <v>726</v>
      </c>
    </row>
    <row r="31" spans="1:11" s="10" customFormat="1" ht="13" x14ac:dyDescent="0.3">
      <c r="A31" s="71">
        <v>6738</v>
      </c>
      <c r="B31" s="71" t="s">
        <v>688</v>
      </c>
      <c r="C31" s="71">
        <v>2169</v>
      </c>
      <c r="D31" s="71" t="s">
        <v>469</v>
      </c>
      <c r="E31" s="71" t="s">
        <v>721</v>
      </c>
      <c r="F31" s="71" t="s">
        <v>1615</v>
      </c>
      <c r="G31" s="71" t="s">
        <v>733</v>
      </c>
      <c r="H31" s="73">
        <v>45534</v>
      </c>
      <c r="I31" s="71" t="s">
        <v>35</v>
      </c>
      <c r="J31" s="71" t="s">
        <v>32</v>
      </c>
      <c r="K31" s="71" t="s">
        <v>726</v>
      </c>
    </row>
    <row r="32" spans="1:11" s="10" customFormat="1" ht="13" x14ac:dyDescent="0.3">
      <c r="A32" s="71">
        <v>4013</v>
      </c>
      <c r="B32" s="71" t="s">
        <v>268</v>
      </c>
      <c r="C32" s="71">
        <v>2169</v>
      </c>
      <c r="D32" s="71" t="s">
        <v>469</v>
      </c>
      <c r="E32" s="71" t="s">
        <v>721</v>
      </c>
      <c r="F32" s="71" t="s">
        <v>1615</v>
      </c>
      <c r="G32" s="71" t="s">
        <v>733</v>
      </c>
      <c r="H32" s="73">
        <v>45534</v>
      </c>
      <c r="I32" s="71" t="s">
        <v>9</v>
      </c>
      <c r="J32" s="71" t="s">
        <v>54</v>
      </c>
      <c r="K32" s="71" t="s">
        <v>726</v>
      </c>
    </row>
    <row r="33" spans="1:11" s="10" customFormat="1" ht="13" x14ac:dyDescent="0.3">
      <c r="A33" s="71">
        <v>3458</v>
      </c>
      <c r="B33" s="71" t="s">
        <v>452</v>
      </c>
      <c r="C33" s="71">
        <v>2169</v>
      </c>
      <c r="D33" s="71" t="s">
        <v>469</v>
      </c>
      <c r="E33" s="71" t="s">
        <v>721</v>
      </c>
      <c r="F33" s="71" t="s">
        <v>1615</v>
      </c>
      <c r="G33" s="71" t="s">
        <v>733</v>
      </c>
      <c r="H33" s="73">
        <v>45534</v>
      </c>
      <c r="I33" s="71" t="s">
        <v>9</v>
      </c>
      <c r="J33" s="71" t="s">
        <v>54</v>
      </c>
      <c r="K33" s="71" t="s">
        <v>726</v>
      </c>
    </row>
    <row r="34" spans="1:11" s="10" customFormat="1" ht="13" x14ac:dyDescent="0.3">
      <c r="A34" s="71">
        <v>7253</v>
      </c>
      <c r="B34" s="71" t="s">
        <v>689</v>
      </c>
      <c r="C34" s="71">
        <v>2169</v>
      </c>
      <c r="D34" s="71" t="s">
        <v>469</v>
      </c>
      <c r="E34" s="71" t="s">
        <v>721</v>
      </c>
      <c r="F34" s="71" t="s">
        <v>1615</v>
      </c>
      <c r="G34" s="71" t="s">
        <v>733</v>
      </c>
      <c r="H34" s="73">
        <v>45534</v>
      </c>
      <c r="I34" s="71" t="s">
        <v>35</v>
      </c>
      <c r="J34" s="71" t="s">
        <v>32</v>
      </c>
      <c r="K34" s="71" t="s">
        <v>726</v>
      </c>
    </row>
    <row r="35" spans="1:11" s="10" customFormat="1" ht="13" x14ac:dyDescent="0.3">
      <c r="A35" s="71">
        <v>1591</v>
      </c>
      <c r="B35" s="71" t="s">
        <v>590</v>
      </c>
      <c r="C35" s="71">
        <v>2169</v>
      </c>
      <c r="D35" s="71" t="s">
        <v>469</v>
      </c>
      <c r="E35" s="71" t="s">
        <v>721</v>
      </c>
      <c r="F35" s="71" t="s">
        <v>1615</v>
      </c>
      <c r="G35" s="71" t="s">
        <v>733</v>
      </c>
      <c r="H35" s="73">
        <v>45534</v>
      </c>
      <c r="I35" s="71" t="s">
        <v>9</v>
      </c>
      <c r="J35" s="71" t="s">
        <v>54</v>
      </c>
      <c r="K35" s="71" t="s">
        <v>726</v>
      </c>
    </row>
    <row r="36" spans="1:11" s="10" customFormat="1" ht="13" x14ac:dyDescent="0.3">
      <c r="A36" s="71">
        <v>4606</v>
      </c>
      <c r="B36" s="71" t="s">
        <v>690</v>
      </c>
      <c r="C36" s="71">
        <v>2169</v>
      </c>
      <c r="D36" s="71" t="s">
        <v>469</v>
      </c>
      <c r="E36" s="71" t="s">
        <v>721</v>
      </c>
      <c r="F36" s="71" t="s">
        <v>1615</v>
      </c>
      <c r="G36" s="71" t="s">
        <v>733</v>
      </c>
      <c r="H36" s="73">
        <v>45534</v>
      </c>
      <c r="I36" s="71" t="s">
        <v>35</v>
      </c>
      <c r="J36" s="71" t="s">
        <v>32</v>
      </c>
      <c r="K36" s="71" t="s">
        <v>726</v>
      </c>
    </row>
    <row r="37" spans="1:11" s="10" customFormat="1" ht="13" x14ac:dyDescent="0.3">
      <c r="A37" s="71">
        <v>7323</v>
      </c>
      <c r="B37" s="71" t="s">
        <v>451</v>
      </c>
      <c r="C37" s="71">
        <v>2169</v>
      </c>
      <c r="D37" s="71" t="s">
        <v>469</v>
      </c>
      <c r="E37" s="71" t="s">
        <v>721</v>
      </c>
      <c r="F37" s="71" t="s">
        <v>1615</v>
      </c>
      <c r="G37" s="71" t="s">
        <v>733</v>
      </c>
      <c r="H37" s="73">
        <v>45534</v>
      </c>
      <c r="I37" s="71" t="s">
        <v>35</v>
      </c>
      <c r="J37" s="71" t="s">
        <v>32</v>
      </c>
      <c r="K37" s="71" t="s">
        <v>726</v>
      </c>
    </row>
    <row r="38" spans="1:11" s="10" customFormat="1" ht="13" x14ac:dyDescent="0.3">
      <c r="A38" s="71">
        <v>7292</v>
      </c>
      <c r="B38" s="71" t="s">
        <v>259</v>
      </c>
      <c r="C38" s="71">
        <v>2169</v>
      </c>
      <c r="D38" s="71" t="s">
        <v>469</v>
      </c>
      <c r="E38" s="71" t="s">
        <v>721</v>
      </c>
      <c r="F38" s="71" t="s">
        <v>1615</v>
      </c>
      <c r="G38" s="71" t="s">
        <v>733</v>
      </c>
      <c r="H38" s="73">
        <v>45534</v>
      </c>
      <c r="I38" s="71" t="s">
        <v>35</v>
      </c>
      <c r="J38" s="71" t="s">
        <v>32</v>
      </c>
      <c r="K38" s="71" t="s">
        <v>726</v>
      </c>
    </row>
    <row r="39" spans="1:11" s="10" customFormat="1" ht="13" x14ac:dyDescent="0.3">
      <c r="A39" s="71">
        <v>7495</v>
      </c>
      <c r="B39" s="71" t="s">
        <v>284</v>
      </c>
      <c r="C39" s="71">
        <v>2169</v>
      </c>
      <c r="D39" s="71" t="s">
        <v>469</v>
      </c>
      <c r="E39" s="71" t="s">
        <v>721</v>
      </c>
      <c r="F39" s="71" t="s">
        <v>1615</v>
      </c>
      <c r="G39" s="71" t="s">
        <v>733</v>
      </c>
      <c r="H39" s="73">
        <v>45534</v>
      </c>
      <c r="I39" s="71" t="s">
        <v>35</v>
      </c>
      <c r="J39" s="71" t="s">
        <v>32</v>
      </c>
      <c r="K39" s="71" t="s">
        <v>726</v>
      </c>
    </row>
    <row r="40" spans="1:11" s="10" customFormat="1" ht="13" x14ac:dyDescent="0.3">
      <c r="A40" s="71">
        <v>7642</v>
      </c>
      <c r="B40" s="71" t="s">
        <v>130</v>
      </c>
      <c r="C40" s="71">
        <v>2169</v>
      </c>
      <c r="D40" s="71" t="s">
        <v>469</v>
      </c>
      <c r="E40" s="71" t="s">
        <v>721</v>
      </c>
      <c r="F40" s="71" t="s">
        <v>1615</v>
      </c>
      <c r="G40" s="71" t="s">
        <v>733</v>
      </c>
      <c r="H40" s="73">
        <v>45534</v>
      </c>
      <c r="I40" s="71" t="s">
        <v>35</v>
      </c>
      <c r="J40" s="71" t="s">
        <v>32</v>
      </c>
      <c r="K40" s="71" t="s">
        <v>726</v>
      </c>
    </row>
    <row r="41" spans="1:11" s="10" customFormat="1" ht="13" x14ac:dyDescent="0.3">
      <c r="A41" s="71">
        <v>7814</v>
      </c>
      <c r="B41" s="71" t="s">
        <v>691</v>
      </c>
      <c r="C41" s="71">
        <v>2169</v>
      </c>
      <c r="D41" s="71" t="s">
        <v>469</v>
      </c>
      <c r="E41" s="71" t="s">
        <v>721</v>
      </c>
      <c r="F41" s="71" t="s">
        <v>1615</v>
      </c>
      <c r="G41" s="71" t="s">
        <v>733</v>
      </c>
      <c r="H41" s="73">
        <v>45534</v>
      </c>
      <c r="I41" s="71" t="s">
        <v>9</v>
      </c>
      <c r="J41" s="71" t="s">
        <v>54</v>
      </c>
      <c r="K41" s="71" t="s">
        <v>726</v>
      </c>
    </row>
    <row r="42" spans="1:11" s="10" customFormat="1" ht="13" x14ac:dyDescent="0.3">
      <c r="A42" s="71">
        <v>7536</v>
      </c>
      <c r="B42" s="71" t="s">
        <v>692</v>
      </c>
      <c r="C42" s="71">
        <v>2169</v>
      </c>
      <c r="D42" s="71" t="s">
        <v>469</v>
      </c>
      <c r="E42" s="71" t="s">
        <v>721</v>
      </c>
      <c r="F42" s="71" t="s">
        <v>1615</v>
      </c>
      <c r="G42" s="71" t="s">
        <v>733</v>
      </c>
      <c r="H42" s="73">
        <v>45534</v>
      </c>
      <c r="I42" s="71" t="s">
        <v>35</v>
      </c>
      <c r="J42" s="71" t="s">
        <v>32</v>
      </c>
      <c r="K42" s="71" t="s">
        <v>726</v>
      </c>
    </row>
    <row r="43" spans="1:11" s="10" customFormat="1" ht="13" x14ac:dyDescent="0.3">
      <c r="A43" s="71">
        <v>5580</v>
      </c>
      <c r="B43" s="71" t="s">
        <v>693</v>
      </c>
      <c r="C43" s="71">
        <v>2169</v>
      </c>
      <c r="D43" s="71" t="s">
        <v>469</v>
      </c>
      <c r="E43" s="71" t="s">
        <v>721</v>
      </c>
      <c r="F43" s="71" t="s">
        <v>1615</v>
      </c>
      <c r="G43" s="71" t="s">
        <v>733</v>
      </c>
      <c r="H43" s="73">
        <v>45534</v>
      </c>
      <c r="I43" s="71" t="s">
        <v>35</v>
      </c>
      <c r="J43" s="71" t="s">
        <v>32</v>
      </c>
      <c r="K43" s="71" t="s">
        <v>726</v>
      </c>
    </row>
    <row r="44" spans="1:11" s="10" customFormat="1" ht="13" x14ac:dyDescent="0.3">
      <c r="A44" s="71">
        <v>7653</v>
      </c>
      <c r="B44" s="71" t="s">
        <v>694</v>
      </c>
      <c r="C44" s="71">
        <v>2169</v>
      </c>
      <c r="D44" s="71" t="s">
        <v>469</v>
      </c>
      <c r="E44" s="71" t="s">
        <v>721</v>
      </c>
      <c r="F44" s="71" t="s">
        <v>1615</v>
      </c>
      <c r="G44" s="71" t="s">
        <v>733</v>
      </c>
      <c r="H44" s="73">
        <v>45534</v>
      </c>
      <c r="I44" s="71" t="s">
        <v>9</v>
      </c>
      <c r="J44" s="71" t="s">
        <v>54</v>
      </c>
      <c r="K44" s="71" t="s">
        <v>726</v>
      </c>
    </row>
    <row r="45" spans="1:11" s="10" customFormat="1" ht="13" x14ac:dyDescent="0.3">
      <c r="A45" s="71">
        <v>7469</v>
      </c>
      <c r="B45" s="71" t="s">
        <v>175</v>
      </c>
      <c r="C45" s="71">
        <v>1908</v>
      </c>
      <c r="D45" s="71" t="s">
        <v>368</v>
      </c>
      <c r="E45" s="71" t="s">
        <v>719</v>
      </c>
      <c r="F45" s="71" t="s">
        <v>1615</v>
      </c>
      <c r="G45" s="71" t="s">
        <v>733</v>
      </c>
      <c r="H45" s="73">
        <v>45534</v>
      </c>
      <c r="I45" s="71" t="s">
        <v>35</v>
      </c>
      <c r="J45" s="71" t="s">
        <v>32</v>
      </c>
      <c r="K45" s="71" t="s">
        <v>727</v>
      </c>
    </row>
    <row r="46" spans="1:11" s="10" customFormat="1" ht="13" x14ac:dyDescent="0.3">
      <c r="A46" s="71">
        <v>4937</v>
      </c>
      <c r="B46" s="71" t="s">
        <v>127</v>
      </c>
      <c r="C46" s="71">
        <v>1908</v>
      </c>
      <c r="D46" s="71" t="s">
        <v>368</v>
      </c>
      <c r="E46" s="71" t="s">
        <v>719</v>
      </c>
      <c r="F46" s="71" t="s">
        <v>1615</v>
      </c>
      <c r="G46" s="71" t="s">
        <v>733</v>
      </c>
      <c r="H46" s="73">
        <v>45534</v>
      </c>
      <c r="I46" s="71" t="s">
        <v>53</v>
      </c>
      <c r="J46" s="71" t="s">
        <v>54</v>
      </c>
      <c r="K46" s="71" t="s">
        <v>727</v>
      </c>
    </row>
    <row r="47" spans="1:11" s="10" customFormat="1" ht="13" x14ac:dyDescent="0.3">
      <c r="A47" s="71">
        <v>7268</v>
      </c>
      <c r="B47" s="71" t="s">
        <v>255</v>
      </c>
      <c r="C47" s="71">
        <v>1908</v>
      </c>
      <c r="D47" s="71" t="s">
        <v>368</v>
      </c>
      <c r="E47" s="71" t="s">
        <v>719</v>
      </c>
      <c r="F47" s="71" t="s">
        <v>1615</v>
      </c>
      <c r="G47" s="71" t="s">
        <v>733</v>
      </c>
      <c r="H47" s="73">
        <v>45534</v>
      </c>
      <c r="I47" s="71" t="s">
        <v>9</v>
      </c>
      <c r="J47" s="71" t="s">
        <v>54</v>
      </c>
      <c r="K47" s="71" t="s">
        <v>727</v>
      </c>
    </row>
    <row r="48" spans="1:11" s="10" customFormat="1" ht="13" x14ac:dyDescent="0.3">
      <c r="A48" s="71">
        <v>7254</v>
      </c>
      <c r="B48" s="71" t="s">
        <v>287</v>
      </c>
      <c r="C48" s="71">
        <v>1908</v>
      </c>
      <c r="D48" s="71" t="s">
        <v>368</v>
      </c>
      <c r="E48" s="71" t="s">
        <v>719</v>
      </c>
      <c r="F48" s="71" t="s">
        <v>1615</v>
      </c>
      <c r="G48" s="71" t="s">
        <v>733</v>
      </c>
      <c r="H48" s="73">
        <v>45534</v>
      </c>
      <c r="I48" s="71" t="s">
        <v>35</v>
      </c>
      <c r="J48" s="71" t="s">
        <v>32</v>
      </c>
      <c r="K48" s="71" t="s">
        <v>727</v>
      </c>
    </row>
    <row r="49" spans="1:11" s="10" customFormat="1" ht="13" x14ac:dyDescent="0.3">
      <c r="A49" s="71">
        <v>7021</v>
      </c>
      <c r="B49" s="71" t="s">
        <v>69</v>
      </c>
      <c r="C49" s="71">
        <v>1908</v>
      </c>
      <c r="D49" s="71" t="s">
        <v>368</v>
      </c>
      <c r="E49" s="71" t="s">
        <v>719</v>
      </c>
      <c r="F49" s="71" t="s">
        <v>1615</v>
      </c>
      <c r="G49" s="71" t="s">
        <v>733</v>
      </c>
      <c r="H49" s="73">
        <v>45534</v>
      </c>
      <c r="I49" s="71" t="s">
        <v>16</v>
      </c>
      <c r="J49" s="71" t="s">
        <v>54</v>
      </c>
      <c r="K49" s="71" t="s">
        <v>727</v>
      </c>
    </row>
    <row r="50" spans="1:11" s="10" customFormat="1" ht="13" x14ac:dyDescent="0.3">
      <c r="A50" s="71">
        <v>7524</v>
      </c>
      <c r="B50" s="71" t="s">
        <v>453</v>
      </c>
      <c r="C50" s="71">
        <v>1908</v>
      </c>
      <c r="D50" s="71" t="s">
        <v>368</v>
      </c>
      <c r="E50" s="71" t="s">
        <v>719</v>
      </c>
      <c r="F50" s="71" t="s">
        <v>1615</v>
      </c>
      <c r="G50" s="71" t="s">
        <v>733</v>
      </c>
      <c r="H50" s="73">
        <v>45534</v>
      </c>
      <c r="I50" s="71" t="s">
        <v>16</v>
      </c>
      <c r="J50" s="71" t="s">
        <v>54</v>
      </c>
      <c r="K50" s="71" t="s">
        <v>727</v>
      </c>
    </row>
    <row r="51" spans="1:11" s="10" customFormat="1" ht="13" x14ac:dyDescent="0.3">
      <c r="A51" s="71">
        <v>2452</v>
      </c>
      <c r="B51" s="71" t="s">
        <v>695</v>
      </c>
      <c r="C51" s="71">
        <v>66</v>
      </c>
      <c r="D51" s="71" t="s">
        <v>480</v>
      </c>
      <c r="E51" s="71" t="s">
        <v>722</v>
      </c>
      <c r="F51" s="71" t="s">
        <v>1615</v>
      </c>
      <c r="G51" s="71" t="s">
        <v>733</v>
      </c>
      <c r="H51" s="73">
        <v>45534</v>
      </c>
      <c r="I51" s="71" t="s">
        <v>35</v>
      </c>
      <c r="J51" s="71" t="s">
        <v>32</v>
      </c>
      <c r="K51" s="71" t="s">
        <v>729</v>
      </c>
    </row>
    <row r="52" spans="1:11" s="10" customFormat="1" ht="13" x14ac:dyDescent="0.3">
      <c r="A52" s="71">
        <v>7018</v>
      </c>
      <c r="B52" s="71" t="s">
        <v>696</v>
      </c>
      <c r="C52" s="71">
        <v>66</v>
      </c>
      <c r="D52" s="71" t="s">
        <v>480</v>
      </c>
      <c r="E52" s="71" t="s">
        <v>722</v>
      </c>
      <c r="F52" s="71" t="s">
        <v>1615</v>
      </c>
      <c r="G52" s="71" t="s">
        <v>733</v>
      </c>
      <c r="H52" s="73">
        <v>45534</v>
      </c>
      <c r="I52" s="71" t="s">
        <v>35</v>
      </c>
      <c r="J52" s="71" t="s">
        <v>32</v>
      </c>
      <c r="K52" s="71" t="s">
        <v>729</v>
      </c>
    </row>
    <row r="53" spans="1:11" s="10" customFormat="1" ht="13" x14ac:dyDescent="0.3">
      <c r="A53" s="71">
        <v>5058</v>
      </c>
      <c r="B53" s="71" t="s">
        <v>697</v>
      </c>
      <c r="C53" s="71">
        <v>66</v>
      </c>
      <c r="D53" s="71" t="s">
        <v>480</v>
      </c>
      <c r="E53" s="71" t="s">
        <v>722</v>
      </c>
      <c r="F53" s="71" t="s">
        <v>1615</v>
      </c>
      <c r="G53" s="71" t="s">
        <v>733</v>
      </c>
      <c r="H53" s="73">
        <v>45534</v>
      </c>
      <c r="I53" s="71" t="s">
        <v>395</v>
      </c>
      <c r="J53" s="71" t="s">
        <v>10</v>
      </c>
      <c r="K53" s="71" t="s">
        <v>729</v>
      </c>
    </row>
    <row r="54" spans="1:11" s="10" customFormat="1" ht="13" x14ac:dyDescent="0.3">
      <c r="A54" s="71">
        <v>7622</v>
      </c>
      <c r="B54" s="71" t="s">
        <v>698</v>
      </c>
      <c r="C54" s="71">
        <v>66</v>
      </c>
      <c r="D54" s="71" t="s">
        <v>480</v>
      </c>
      <c r="E54" s="71" t="s">
        <v>722</v>
      </c>
      <c r="F54" s="71" t="s">
        <v>1615</v>
      </c>
      <c r="G54" s="71" t="s">
        <v>733</v>
      </c>
      <c r="H54" s="73">
        <v>45534</v>
      </c>
      <c r="I54" s="71" t="s">
        <v>35</v>
      </c>
      <c r="J54" s="71" t="s">
        <v>32</v>
      </c>
      <c r="K54" s="71" t="s">
        <v>729</v>
      </c>
    </row>
    <row r="55" spans="1:11" s="10" customFormat="1" ht="13" x14ac:dyDescent="0.3">
      <c r="A55" s="71">
        <v>7360</v>
      </c>
      <c r="B55" s="71" t="s">
        <v>699</v>
      </c>
      <c r="C55" s="71">
        <v>66</v>
      </c>
      <c r="D55" s="71" t="s">
        <v>480</v>
      </c>
      <c r="E55" s="71" t="s">
        <v>722</v>
      </c>
      <c r="F55" s="71" t="s">
        <v>1615</v>
      </c>
      <c r="G55" s="71" t="s">
        <v>733</v>
      </c>
      <c r="H55" s="73">
        <v>45534</v>
      </c>
      <c r="I55" s="71" t="s">
        <v>395</v>
      </c>
      <c r="J55" s="71" t="s">
        <v>10</v>
      </c>
      <c r="K55" s="71" t="s">
        <v>729</v>
      </c>
    </row>
    <row r="56" spans="1:11" s="10" customFormat="1" ht="13" x14ac:dyDescent="0.3">
      <c r="A56" s="71">
        <v>7840</v>
      </c>
      <c r="B56" s="71" t="s">
        <v>700</v>
      </c>
      <c r="C56" s="71">
        <v>66</v>
      </c>
      <c r="D56" s="71" t="s">
        <v>480</v>
      </c>
      <c r="E56" s="71" t="s">
        <v>722</v>
      </c>
      <c r="F56" s="71" t="s">
        <v>1615</v>
      </c>
      <c r="G56" s="71" t="s">
        <v>733</v>
      </c>
      <c r="H56" s="73">
        <v>45534</v>
      </c>
      <c r="I56" s="71" t="s">
        <v>35</v>
      </c>
      <c r="J56" s="71" t="s">
        <v>32</v>
      </c>
      <c r="K56" s="71" t="s">
        <v>729</v>
      </c>
    </row>
    <row r="57" spans="1:11" s="10" customFormat="1" ht="13" x14ac:dyDescent="0.3">
      <c r="A57" s="71">
        <v>6374</v>
      </c>
      <c r="B57" s="71" t="s">
        <v>701</v>
      </c>
      <c r="C57" s="71">
        <v>66</v>
      </c>
      <c r="D57" s="71" t="s">
        <v>480</v>
      </c>
      <c r="E57" s="71" t="s">
        <v>722</v>
      </c>
      <c r="F57" s="71" t="s">
        <v>1615</v>
      </c>
      <c r="G57" s="71" t="s">
        <v>733</v>
      </c>
      <c r="H57" s="73">
        <v>45534</v>
      </c>
      <c r="I57" s="71" t="s">
        <v>395</v>
      </c>
      <c r="J57" s="71" t="s">
        <v>10</v>
      </c>
      <c r="K57" s="71" t="s">
        <v>729</v>
      </c>
    </row>
    <row r="58" spans="1:11" s="10" customFormat="1" ht="13" x14ac:dyDescent="0.3">
      <c r="A58" s="71">
        <v>7015</v>
      </c>
      <c r="B58" s="71" t="s">
        <v>702</v>
      </c>
      <c r="C58" s="71">
        <v>66</v>
      </c>
      <c r="D58" s="71" t="s">
        <v>480</v>
      </c>
      <c r="E58" s="71" t="s">
        <v>722</v>
      </c>
      <c r="F58" s="71" t="s">
        <v>1615</v>
      </c>
      <c r="G58" s="71" t="s">
        <v>733</v>
      </c>
      <c r="H58" s="73">
        <v>45534</v>
      </c>
      <c r="I58" s="71" t="s">
        <v>35</v>
      </c>
      <c r="J58" s="71" t="s">
        <v>32</v>
      </c>
      <c r="K58" s="71" t="s">
        <v>729</v>
      </c>
    </row>
    <row r="59" spans="1:11" s="10" customFormat="1" ht="13" x14ac:dyDescent="0.3">
      <c r="A59" s="71">
        <v>2451</v>
      </c>
      <c r="B59" s="71" t="s">
        <v>681</v>
      </c>
      <c r="C59" s="71">
        <v>66</v>
      </c>
      <c r="D59" s="71" t="s">
        <v>480</v>
      </c>
      <c r="E59" s="71" t="s">
        <v>722</v>
      </c>
      <c r="F59" s="71" t="s">
        <v>1615</v>
      </c>
      <c r="G59" s="71" t="s">
        <v>733</v>
      </c>
      <c r="H59" s="73">
        <v>45534</v>
      </c>
      <c r="I59" s="71" t="s">
        <v>35</v>
      </c>
      <c r="J59" s="71" t="s">
        <v>32</v>
      </c>
      <c r="K59" s="71" t="s">
        <v>729</v>
      </c>
    </row>
    <row r="60" spans="1:11" s="10" customFormat="1" ht="13" x14ac:dyDescent="0.3">
      <c r="A60" s="71">
        <v>4763</v>
      </c>
      <c r="B60" s="71" t="s">
        <v>369</v>
      </c>
      <c r="C60" s="71">
        <v>66</v>
      </c>
      <c r="D60" s="71" t="s">
        <v>480</v>
      </c>
      <c r="E60" s="71" t="s">
        <v>722</v>
      </c>
      <c r="F60" s="71" t="s">
        <v>1615</v>
      </c>
      <c r="G60" s="71" t="s">
        <v>733</v>
      </c>
      <c r="H60" s="73">
        <v>45534</v>
      </c>
      <c r="I60" s="71" t="s">
        <v>395</v>
      </c>
      <c r="J60" s="71" t="s">
        <v>10</v>
      </c>
      <c r="K60" s="71" t="s">
        <v>729</v>
      </c>
    </row>
    <row r="61" spans="1:11" s="10" customFormat="1" ht="13" x14ac:dyDescent="0.3">
      <c r="A61" s="71">
        <v>7229</v>
      </c>
      <c r="B61" s="71" t="s">
        <v>703</v>
      </c>
      <c r="C61" s="71">
        <v>66</v>
      </c>
      <c r="D61" s="71" t="s">
        <v>480</v>
      </c>
      <c r="E61" s="71" t="s">
        <v>722</v>
      </c>
      <c r="F61" s="71" t="s">
        <v>1615</v>
      </c>
      <c r="G61" s="71" t="s">
        <v>733</v>
      </c>
      <c r="H61" s="73">
        <v>45534</v>
      </c>
      <c r="I61" s="71" t="s">
        <v>35</v>
      </c>
      <c r="J61" s="71" t="s">
        <v>32</v>
      </c>
      <c r="K61" s="71" t="s">
        <v>729</v>
      </c>
    </row>
    <row r="62" spans="1:11" s="10" customFormat="1" ht="13" x14ac:dyDescent="0.3">
      <c r="A62" s="71">
        <v>7387</v>
      </c>
      <c r="B62" s="71" t="s">
        <v>704</v>
      </c>
      <c r="C62" s="71">
        <v>66</v>
      </c>
      <c r="D62" s="71" t="s">
        <v>480</v>
      </c>
      <c r="E62" s="71" t="s">
        <v>722</v>
      </c>
      <c r="F62" s="71" t="s">
        <v>1615</v>
      </c>
      <c r="G62" s="71" t="s">
        <v>733</v>
      </c>
      <c r="H62" s="73">
        <v>45534</v>
      </c>
      <c r="I62" s="71" t="s">
        <v>35</v>
      </c>
      <c r="J62" s="71" t="s">
        <v>32</v>
      </c>
      <c r="K62" s="71" t="s">
        <v>729</v>
      </c>
    </row>
    <row r="63" spans="1:11" s="10" customFormat="1" ht="13" x14ac:dyDescent="0.3">
      <c r="A63" s="71">
        <v>4919</v>
      </c>
      <c r="B63" s="71" t="s">
        <v>705</v>
      </c>
      <c r="C63" s="71">
        <v>4379</v>
      </c>
      <c r="D63" s="71" t="s">
        <v>468</v>
      </c>
      <c r="E63" s="71" t="s">
        <v>720</v>
      </c>
      <c r="F63" s="71" t="s">
        <v>1615</v>
      </c>
      <c r="G63" s="71" t="s">
        <v>733</v>
      </c>
      <c r="H63" s="73">
        <v>45534</v>
      </c>
      <c r="I63" s="71" t="s">
        <v>53</v>
      </c>
      <c r="J63" s="71" t="s">
        <v>32</v>
      </c>
      <c r="K63" s="71" t="s">
        <v>728</v>
      </c>
    </row>
    <row r="64" spans="1:11" s="10" customFormat="1" ht="13" x14ac:dyDescent="0.3">
      <c r="A64" s="71">
        <v>6541</v>
      </c>
      <c r="B64" s="71" t="s">
        <v>439</v>
      </c>
      <c r="C64" s="71">
        <v>4379</v>
      </c>
      <c r="D64" s="71" t="s">
        <v>468</v>
      </c>
      <c r="E64" s="71" t="s">
        <v>720</v>
      </c>
      <c r="F64" s="71" t="s">
        <v>1615</v>
      </c>
      <c r="G64" s="71" t="s">
        <v>733</v>
      </c>
      <c r="H64" s="73">
        <v>45534</v>
      </c>
      <c r="I64" s="71" t="s">
        <v>53</v>
      </c>
      <c r="J64" s="71" t="s">
        <v>54</v>
      </c>
      <c r="K64" s="71" t="s">
        <v>728</v>
      </c>
    </row>
    <row r="65" spans="1:11" s="10" customFormat="1" ht="13" x14ac:dyDescent="0.3">
      <c r="A65" s="71">
        <v>1313</v>
      </c>
      <c r="B65" s="71" t="s">
        <v>61</v>
      </c>
      <c r="C65" s="71">
        <v>4379</v>
      </c>
      <c r="D65" s="71" t="s">
        <v>468</v>
      </c>
      <c r="E65" s="71" t="s">
        <v>720</v>
      </c>
      <c r="F65" s="71" t="s">
        <v>1615</v>
      </c>
      <c r="G65" s="71" t="s">
        <v>733</v>
      </c>
      <c r="H65" s="73">
        <v>45534</v>
      </c>
      <c r="I65" s="71" t="s">
        <v>53</v>
      </c>
      <c r="J65" s="71" t="s">
        <v>54</v>
      </c>
      <c r="K65" s="71" t="s">
        <v>728</v>
      </c>
    </row>
    <row r="66" spans="1:11" s="10" customFormat="1" ht="13" x14ac:dyDescent="0.3">
      <c r="A66" s="71">
        <v>1754</v>
      </c>
      <c r="B66" s="71" t="s">
        <v>706</v>
      </c>
      <c r="C66" s="71">
        <v>4379</v>
      </c>
      <c r="D66" s="71" t="s">
        <v>468</v>
      </c>
      <c r="E66" s="71" t="s">
        <v>720</v>
      </c>
      <c r="F66" s="71" t="s">
        <v>1615</v>
      </c>
      <c r="G66" s="71" t="s">
        <v>733</v>
      </c>
      <c r="H66" s="73">
        <v>45534</v>
      </c>
      <c r="I66" s="71" t="s">
        <v>53</v>
      </c>
      <c r="J66" s="71" t="s">
        <v>10</v>
      </c>
      <c r="K66" s="71" t="s">
        <v>728</v>
      </c>
    </row>
    <row r="67" spans="1:11" s="10" customFormat="1" ht="13" x14ac:dyDescent="0.3">
      <c r="A67" s="71">
        <v>7390</v>
      </c>
      <c r="B67" s="71" t="s">
        <v>424</v>
      </c>
      <c r="C67" s="71">
        <v>4379</v>
      </c>
      <c r="D67" s="71" t="s">
        <v>468</v>
      </c>
      <c r="E67" s="71" t="s">
        <v>720</v>
      </c>
      <c r="F67" s="71" t="s">
        <v>1615</v>
      </c>
      <c r="G67" s="71" t="s">
        <v>733</v>
      </c>
      <c r="H67" s="73">
        <v>45534</v>
      </c>
      <c r="I67" s="71" t="s">
        <v>53</v>
      </c>
      <c r="J67" s="71" t="s">
        <v>32</v>
      </c>
      <c r="K67" s="71" t="s">
        <v>728</v>
      </c>
    </row>
    <row r="68" spans="1:11" s="10" customFormat="1" ht="13" x14ac:dyDescent="0.3">
      <c r="A68" s="71">
        <v>5323</v>
      </c>
      <c r="B68" s="71" t="s">
        <v>707</v>
      </c>
      <c r="C68" s="71">
        <v>4379</v>
      </c>
      <c r="D68" s="71" t="s">
        <v>468</v>
      </c>
      <c r="E68" s="71" t="s">
        <v>720</v>
      </c>
      <c r="F68" s="71" t="s">
        <v>1615</v>
      </c>
      <c r="G68" s="71" t="s">
        <v>733</v>
      </c>
      <c r="H68" s="73">
        <v>45534</v>
      </c>
      <c r="I68" s="71" t="s">
        <v>53</v>
      </c>
      <c r="J68" s="71" t="s">
        <v>54</v>
      </c>
      <c r="K68" s="71" t="s">
        <v>728</v>
      </c>
    </row>
    <row r="69" spans="1:11" s="10" customFormat="1" ht="13" x14ac:dyDescent="0.3">
      <c r="A69" s="71">
        <v>4262</v>
      </c>
      <c r="B69" s="71" t="s">
        <v>708</v>
      </c>
      <c r="C69" s="71">
        <v>4379</v>
      </c>
      <c r="D69" s="71" t="s">
        <v>468</v>
      </c>
      <c r="E69" s="71" t="s">
        <v>720</v>
      </c>
      <c r="F69" s="71" t="s">
        <v>1615</v>
      </c>
      <c r="G69" s="71" t="s">
        <v>733</v>
      </c>
      <c r="H69" s="73">
        <v>45534</v>
      </c>
      <c r="I69" s="71" t="s">
        <v>16</v>
      </c>
      <c r="J69" s="71" t="s">
        <v>54</v>
      </c>
      <c r="K69" s="71" t="s">
        <v>728</v>
      </c>
    </row>
    <row r="70" spans="1:11" s="10" customFormat="1" ht="13" x14ac:dyDescent="0.3">
      <c r="A70" s="71">
        <v>5310</v>
      </c>
      <c r="B70" s="71" t="s">
        <v>709</v>
      </c>
      <c r="C70" s="71">
        <v>4379</v>
      </c>
      <c r="D70" s="71" t="s">
        <v>468</v>
      </c>
      <c r="E70" s="71" t="s">
        <v>720</v>
      </c>
      <c r="F70" s="71" t="s">
        <v>1615</v>
      </c>
      <c r="G70" s="71" t="s">
        <v>733</v>
      </c>
      <c r="H70" s="73">
        <v>45534</v>
      </c>
      <c r="I70" s="71" t="s">
        <v>9</v>
      </c>
      <c r="J70" s="71" t="s">
        <v>10</v>
      </c>
      <c r="K70" s="71" t="s">
        <v>728</v>
      </c>
    </row>
    <row r="71" spans="1:11" s="10" customFormat="1" ht="13" x14ac:dyDescent="0.3">
      <c r="A71" s="71">
        <v>4337</v>
      </c>
      <c r="B71" s="71" t="s">
        <v>710</v>
      </c>
      <c r="C71" s="71">
        <v>4379</v>
      </c>
      <c r="D71" s="71" t="s">
        <v>468</v>
      </c>
      <c r="E71" s="71" t="s">
        <v>720</v>
      </c>
      <c r="F71" s="71" t="s">
        <v>1615</v>
      </c>
      <c r="G71" s="71" t="s">
        <v>733</v>
      </c>
      <c r="H71" s="73">
        <v>45534</v>
      </c>
      <c r="I71" s="71" t="s">
        <v>53</v>
      </c>
      <c r="J71" s="71" t="s">
        <v>251</v>
      </c>
      <c r="K71" s="71" t="s">
        <v>728</v>
      </c>
    </row>
    <row r="72" spans="1:11" s="10" customFormat="1" ht="13" x14ac:dyDescent="0.3">
      <c r="A72" s="71">
        <v>6638</v>
      </c>
      <c r="B72" s="71" t="s">
        <v>371</v>
      </c>
      <c r="C72" s="71">
        <v>4379</v>
      </c>
      <c r="D72" s="71" t="s">
        <v>468</v>
      </c>
      <c r="E72" s="71" t="s">
        <v>720</v>
      </c>
      <c r="F72" s="71" t="s">
        <v>1615</v>
      </c>
      <c r="G72" s="71" t="s">
        <v>733</v>
      </c>
      <c r="H72" s="73">
        <v>45534</v>
      </c>
      <c r="I72" s="71" t="s">
        <v>9</v>
      </c>
      <c r="J72" s="71" t="s">
        <v>10</v>
      </c>
      <c r="K72" s="71" t="s">
        <v>728</v>
      </c>
    </row>
    <row r="73" spans="1:11" s="10" customFormat="1" ht="13" x14ac:dyDescent="0.3">
      <c r="A73" s="71">
        <v>6375</v>
      </c>
      <c r="B73" s="71" t="s">
        <v>17</v>
      </c>
      <c r="C73" s="71">
        <v>4379</v>
      </c>
      <c r="D73" s="71" t="s">
        <v>468</v>
      </c>
      <c r="E73" s="71" t="s">
        <v>720</v>
      </c>
      <c r="F73" s="71" t="s">
        <v>1615</v>
      </c>
      <c r="G73" s="71" t="s">
        <v>733</v>
      </c>
      <c r="H73" s="73">
        <v>45534</v>
      </c>
      <c r="I73" s="71" t="s">
        <v>9</v>
      </c>
      <c r="J73" s="71" t="s">
        <v>10</v>
      </c>
      <c r="K73" s="71" t="s">
        <v>728</v>
      </c>
    </row>
    <row r="74" spans="1:11" s="10" customFormat="1" ht="13" x14ac:dyDescent="0.3">
      <c r="A74" s="71">
        <v>4380</v>
      </c>
      <c r="B74" s="71" t="s">
        <v>281</v>
      </c>
      <c r="C74" s="71">
        <v>4379</v>
      </c>
      <c r="D74" s="71" t="s">
        <v>468</v>
      </c>
      <c r="E74" s="71" t="s">
        <v>720</v>
      </c>
      <c r="F74" s="71" t="s">
        <v>1615</v>
      </c>
      <c r="G74" s="71" t="s">
        <v>733</v>
      </c>
      <c r="H74" s="73">
        <v>45534</v>
      </c>
      <c r="I74" s="71" t="s">
        <v>9</v>
      </c>
      <c r="J74" s="71" t="s">
        <v>10</v>
      </c>
      <c r="K74" s="71" t="s">
        <v>728</v>
      </c>
    </row>
    <row r="75" spans="1:11" s="10" customFormat="1" ht="13" x14ac:dyDescent="0.3">
      <c r="A75" s="71">
        <v>4174</v>
      </c>
      <c r="B75" s="71" t="s">
        <v>620</v>
      </c>
      <c r="C75" s="71">
        <v>4379</v>
      </c>
      <c r="D75" s="71" t="s">
        <v>468</v>
      </c>
      <c r="E75" s="71" t="s">
        <v>720</v>
      </c>
      <c r="F75" s="71" t="s">
        <v>1615</v>
      </c>
      <c r="G75" s="71" t="s">
        <v>733</v>
      </c>
      <c r="H75" s="73">
        <v>45534</v>
      </c>
      <c r="I75" s="71" t="s">
        <v>53</v>
      </c>
      <c r="J75" s="71" t="s">
        <v>32</v>
      </c>
      <c r="K75" s="71" t="s">
        <v>728</v>
      </c>
    </row>
    <row r="76" spans="1:11" s="10" customFormat="1" ht="13" x14ac:dyDescent="0.3">
      <c r="A76" s="71">
        <v>3265</v>
      </c>
      <c r="B76" s="71" t="s">
        <v>305</v>
      </c>
      <c r="C76" s="71">
        <v>4379</v>
      </c>
      <c r="D76" s="71" t="s">
        <v>468</v>
      </c>
      <c r="E76" s="71" t="s">
        <v>720</v>
      </c>
      <c r="F76" s="71" t="s">
        <v>1615</v>
      </c>
      <c r="G76" s="71" t="s">
        <v>733</v>
      </c>
      <c r="H76" s="73">
        <v>45534</v>
      </c>
      <c r="I76" s="71" t="s">
        <v>24</v>
      </c>
      <c r="J76" s="71" t="s">
        <v>10</v>
      </c>
      <c r="K76" s="71" t="s">
        <v>728</v>
      </c>
    </row>
    <row r="77" spans="1:11" s="10" customFormat="1" ht="13" x14ac:dyDescent="0.3">
      <c r="A77" s="71">
        <v>3978</v>
      </c>
      <c r="B77" s="71" t="s">
        <v>475</v>
      </c>
      <c r="C77" s="71">
        <v>4379</v>
      </c>
      <c r="D77" s="71" t="s">
        <v>468</v>
      </c>
      <c r="E77" s="71" t="s">
        <v>720</v>
      </c>
      <c r="F77" s="71" t="s">
        <v>1615</v>
      </c>
      <c r="G77" s="71" t="s">
        <v>733</v>
      </c>
      <c r="H77" s="73">
        <v>45534</v>
      </c>
      <c r="I77" s="71" t="s">
        <v>53</v>
      </c>
      <c r="J77" s="71" t="s">
        <v>32</v>
      </c>
      <c r="K77" s="71" t="s">
        <v>728</v>
      </c>
    </row>
    <row r="78" spans="1:11" s="10" customFormat="1" ht="13" x14ac:dyDescent="0.3">
      <c r="A78" s="71">
        <v>7347</v>
      </c>
      <c r="B78" s="71" t="s">
        <v>51</v>
      </c>
      <c r="C78" s="71">
        <v>4379</v>
      </c>
      <c r="D78" s="71" t="s">
        <v>468</v>
      </c>
      <c r="E78" s="71" t="s">
        <v>720</v>
      </c>
      <c r="F78" s="71" t="s">
        <v>1615</v>
      </c>
      <c r="G78" s="71" t="s">
        <v>733</v>
      </c>
      <c r="H78" s="73">
        <v>45534</v>
      </c>
      <c r="I78" s="71" t="s">
        <v>53</v>
      </c>
      <c r="J78" s="71" t="s">
        <v>54</v>
      </c>
      <c r="K78" s="71" t="s">
        <v>728</v>
      </c>
    </row>
    <row r="79" spans="1:11" s="10" customFormat="1" ht="13" x14ac:dyDescent="0.3">
      <c r="A79" s="71">
        <v>5780</v>
      </c>
      <c r="B79" s="71" t="s">
        <v>483</v>
      </c>
      <c r="C79" s="71">
        <v>6435</v>
      </c>
      <c r="D79" s="71" t="s">
        <v>471</v>
      </c>
      <c r="E79" s="71" t="s">
        <v>723</v>
      </c>
      <c r="F79" s="71" t="s">
        <v>1616</v>
      </c>
      <c r="G79" s="71" t="s">
        <v>733</v>
      </c>
      <c r="H79" s="73">
        <v>45503</v>
      </c>
      <c r="I79" s="71" t="s">
        <v>9</v>
      </c>
      <c r="J79" s="71" t="s">
        <v>10</v>
      </c>
      <c r="K79" s="71" t="s">
        <v>730</v>
      </c>
    </row>
    <row r="80" spans="1:11" s="10" customFormat="1" ht="13" x14ac:dyDescent="0.3">
      <c r="A80" s="71">
        <v>6890</v>
      </c>
      <c r="B80" s="71" t="s">
        <v>302</v>
      </c>
      <c r="C80" s="71">
        <v>6435</v>
      </c>
      <c r="D80" s="71" t="s">
        <v>471</v>
      </c>
      <c r="E80" s="71" t="s">
        <v>723</v>
      </c>
      <c r="F80" s="71" t="s">
        <v>1616</v>
      </c>
      <c r="G80" s="71" t="s">
        <v>733</v>
      </c>
      <c r="H80" s="73">
        <v>45503</v>
      </c>
      <c r="I80" s="71" t="s">
        <v>9</v>
      </c>
      <c r="J80" s="71" t="s">
        <v>10</v>
      </c>
      <c r="K80" s="71" t="s">
        <v>730</v>
      </c>
    </row>
    <row r="81" spans="1:11" s="10" customFormat="1" ht="13" x14ac:dyDescent="0.3">
      <c r="A81" s="71">
        <v>4926</v>
      </c>
      <c r="B81" s="71" t="s">
        <v>364</v>
      </c>
      <c r="C81" s="71">
        <v>6435</v>
      </c>
      <c r="D81" s="71" t="s">
        <v>471</v>
      </c>
      <c r="E81" s="71" t="s">
        <v>723</v>
      </c>
      <c r="F81" s="71" t="s">
        <v>1616</v>
      </c>
      <c r="G81" s="71" t="s">
        <v>733</v>
      </c>
      <c r="H81" s="73">
        <v>45503</v>
      </c>
      <c r="I81" s="71" t="s">
        <v>9</v>
      </c>
      <c r="J81" s="71" t="s">
        <v>10</v>
      </c>
      <c r="K81" s="71" t="s">
        <v>730</v>
      </c>
    </row>
    <row r="82" spans="1:11" s="10" customFormat="1" ht="13" x14ac:dyDescent="0.3">
      <c r="A82" s="71">
        <v>2477</v>
      </c>
      <c r="B82" s="71" t="s">
        <v>367</v>
      </c>
      <c r="C82" s="71">
        <v>6435</v>
      </c>
      <c r="D82" s="71" t="s">
        <v>471</v>
      </c>
      <c r="E82" s="71" t="s">
        <v>723</v>
      </c>
      <c r="F82" s="71" t="s">
        <v>1616</v>
      </c>
      <c r="G82" s="71" t="s">
        <v>733</v>
      </c>
      <c r="H82" s="73">
        <v>45503</v>
      </c>
      <c r="I82" s="71" t="s">
        <v>9</v>
      </c>
      <c r="J82" s="71" t="s">
        <v>54</v>
      </c>
      <c r="K82" s="71" t="s">
        <v>730</v>
      </c>
    </row>
    <row r="83" spans="1:11" s="10" customFormat="1" ht="13" x14ac:dyDescent="0.3">
      <c r="A83" s="71">
        <v>7268</v>
      </c>
      <c r="B83" s="71" t="s">
        <v>255</v>
      </c>
      <c r="C83" s="71">
        <v>6435</v>
      </c>
      <c r="D83" s="71" t="s">
        <v>471</v>
      </c>
      <c r="E83" s="71" t="s">
        <v>723</v>
      </c>
      <c r="F83" s="71" t="s">
        <v>1616</v>
      </c>
      <c r="G83" s="71" t="s">
        <v>733</v>
      </c>
      <c r="H83" s="73">
        <v>45503</v>
      </c>
      <c r="I83" s="71" t="s">
        <v>9</v>
      </c>
      <c r="J83" s="71" t="s">
        <v>54</v>
      </c>
      <c r="K83" s="71" t="s">
        <v>730</v>
      </c>
    </row>
    <row r="84" spans="1:11" s="10" customFormat="1" ht="13" x14ac:dyDescent="0.3">
      <c r="A84" s="71">
        <v>7290</v>
      </c>
      <c r="B84" s="71" t="s">
        <v>711</v>
      </c>
      <c r="C84" s="71">
        <v>6435</v>
      </c>
      <c r="D84" s="71" t="s">
        <v>471</v>
      </c>
      <c r="E84" s="71" t="s">
        <v>723</v>
      </c>
      <c r="F84" s="71" t="s">
        <v>1616</v>
      </c>
      <c r="G84" s="71" t="s">
        <v>733</v>
      </c>
      <c r="H84" s="73">
        <v>45503</v>
      </c>
      <c r="I84" s="71" t="s">
        <v>9</v>
      </c>
      <c r="J84" s="71" t="s">
        <v>10</v>
      </c>
      <c r="K84" s="71" t="s">
        <v>730</v>
      </c>
    </row>
    <row r="85" spans="1:11" s="10" customFormat="1" ht="13" x14ac:dyDescent="0.3">
      <c r="A85" s="71">
        <v>4379</v>
      </c>
      <c r="B85" s="71" t="s">
        <v>468</v>
      </c>
      <c r="C85" s="71">
        <v>6435</v>
      </c>
      <c r="D85" s="71" t="s">
        <v>471</v>
      </c>
      <c r="E85" s="71" t="s">
        <v>723</v>
      </c>
      <c r="F85" s="71" t="s">
        <v>1616</v>
      </c>
      <c r="G85" s="71" t="s">
        <v>733</v>
      </c>
      <c r="H85" s="73">
        <v>45503</v>
      </c>
      <c r="I85" s="71" t="s">
        <v>9</v>
      </c>
      <c r="J85" s="71" t="s">
        <v>10</v>
      </c>
      <c r="K85" s="71" t="s">
        <v>730</v>
      </c>
    </row>
    <row r="86" spans="1:11" s="10" customFormat="1" ht="13" x14ac:dyDescent="0.3">
      <c r="A86" s="71">
        <v>7095</v>
      </c>
      <c r="B86" s="71" t="s">
        <v>589</v>
      </c>
      <c r="C86" s="71">
        <v>6435</v>
      </c>
      <c r="D86" s="71" t="s">
        <v>471</v>
      </c>
      <c r="E86" s="71" t="s">
        <v>723</v>
      </c>
      <c r="F86" s="71" t="s">
        <v>1616</v>
      </c>
      <c r="G86" s="71" t="s">
        <v>733</v>
      </c>
      <c r="H86" s="73">
        <v>45503</v>
      </c>
      <c r="I86" s="71" t="s">
        <v>9</v>
      </c>
      <c r="J86" s="71" t="s">
        <v>10</v>
      </c>
      <c r="K86" s="71" t="s">
        <v>730</v>
      </c>
    </row>
    <row r="87" spans="1:11" s="10" customFormat="1" ht="13" x14ac:dyDescent="0.3">
      <c r="A87" s="71">
        <v>5325</v>
      </c>
      <c r="B87" s="71" t="s">
        <v>586</v>
      </c>
      <c r="C87" s="71">
        <v>6435</v>
      </c>
      <c r="D87" s="71" t="s">
        <v>471</v>
      </c>
      <c r="E87" s="71" t="s">
        <v>723</v>
      </c>
      <c r="F87" s="71" t="s">
        <v>1616</v>
      </c>
      <c r="G87" s="71" t="s">
        <v>733</v>
      </c>
      <c r="H87" s="73">
        <v>45503</v>
      </c>
      <c r="I87" s="71" t="s">
        <v>9</v>
      </c>
      <c r="J87" s="71" t="s">
        <v>10</v>
      </c>
      <c r="K87" s="71" t="s">
        <v>730</v>
      </c>
    </row>
    <row r="88" spans="1:11" s="10" customFormat="1" ht="13" x14ac:dyDescent="0.3">
      <c r="A88" s="71">
        <v>7455</v>
      </c>
      <c r="B88" s="71" t="s">
        <v>712</v>
      </c>
      <c r="C88" s="71">
        <v>6435</v>
      </c>
      <c r="D88" s="71" t="s">
        <v>471</v>
      </c>
      <c r="E88" s="71" t="s">
        <v>723</v>
      </c>
      <c r="F88" s="71" t="s">
        <v>1616</v>
      </c>
      <c r="G88" s="71" t="s">
        <v>733</v>
      </c>
      <c r="H88" s="73">
        <v>45503</v>
      </c>
      <c r="I88" s="71" t="s">
        <v>9</v>
      </c>
      <c r="J88" s="71" t="s">
        <v>10</v>
      </c>
      <c r="K88" s="71" t="s">
        <v>730</v>
      </c>
    </row>
    <row r="89" spans="1:11" s="10" customFormat="1" ht="13" x14ac:dyDescent="0.3">
      <c r="A89" s="71">
        <v>7212</v>
      </c>
      <c r="B89" s="71" t="s">
        <v>599</v>
      </c>
      <c r="C89" s="71">
        <v>6435</v>
      </c>
      <c r="D89" s="71" t="s">
        <v>471</v>
      </c>
      <c r="E89" s="71" t="s">
        <v>723</v>
      </c>
      <c r="F89" s="71" t="s">
        <v>1616</v>
      </c>
      <c r="G89" s="71" t="s">
        <v>733</v>
      </c>
      <c r="H89" s="73">
        <v>45503</v>
      </c>
      <c r="I89" s="71" t="s">
        <v>9</v>
      </c>
      <c r="J89" s="71" t="s">
        <v>54</v>
      </c>
      <c r="K89" s="71" t="s">
        <v>730</v>
      </c>
    </row>
    <row r="90" spans="1:11" s="10" customFormat="1" ht="13" x14ac:dyDescent="0.3">
      <c r="A90" s="71">
        <v>7640</v>
      </c>
      <c r="B90" s="71" t="s">
        <v>6</v>
      </c>
      <c r="C90" s="71">
        <v>6435</v>
      </c>
      <c r="D90" s="71" t="s">
        <v>471</v>
      </c>
      <c r="E90" s="71" t="s">
        <v>723</v>
      </c>
      <c r="F90" s="71" t="s">
        <v>1616</v>
      </c>
      <c r="G90" s="71" t="s">
        <v>733</v>
      </c>
      <c r="H90" s="73">
        <v>45503</v>
      </c>
      <c r="I90" s="71" t="s">
        <v>9</v>
      </c>
      <c r="J90" s="71" t="s">
        <v>10</v>
      </c>
      <c r="K90" s="71" t="s">
        <v>730</v>
      </c>
    </row>
    <row r="91" spans="1:11" s="10" customFormat="1" ht="13" x14ac:dyDescent="0.3">
      <c r="A91" s="71">
        <v>7653</v>
      </c>
      <c r="B91" s="71" t="s">
        <v>694</v>
      </c>
      <c r="C91" s="71">
        <v>6435</v>
      </c>
      <c r="D91" s="71" t="s">
        <v>471</v>
      </c>
      <c r="E91" s="71" t="s">
        <v>723</v>
      </c>
      <c r="F91" s="71" t="s">
        <v>1616</v>
      </c>
      <c r="G91" s="71" t="s">
        <v>733</v>
      </c>
      <c r="H91" s="73">
        <v>45503</v>
      </c>
      <c r="I91" s="71" t="s">
        <v>9</v>
      </c>
      <c r="J91" s="71" t="s">
        <v>54</v>
      </c>
      <c r="K91" s="71" t="s">
        <v>730</v>
      </c>
    </row>
    <row r="92" spans="1:11" s="10" customFormat="1" ht="13" x14ac:dyDescent="0.3">
      <c r="A92" s="71">
        <v>6481</v>
      </c>
      <c r="B92" s="71" t="s">
        <v>126</v>
      </c>
      <c r="C92" s="71">
        <v>6435</v>
      </c>
      <c r="D92" s="71" t="s">
        <v>471</v>
      </c>
      <c r="E92" s="71" t="s">
        <v>723</v>
      </c>
      <c r="F92" s="71" t="s">
        <v>1616</v>
      </c>
      <c r="G92" s="71" t="s">
        <v>733</v>
      </c>
      <c r="H92" s="73">
        <v>45503</v>
      </c>
      <c r="I92" s="71" t="s">
        <v>21</v>
      </c>
      <c r="J92" s="71" t="s">
        <v>10</v>
      </c>
      <c r="K92" s="71" t="s">
        <v>730</v>
      </c>
    </row>
    <row r="93" spans="1:11" s="10" customFormat="1" ht="13" x14ac:dyDescent="0.3">
      <c r="A93" s="71">
        <v>7791</v>
      </c>
      <c r="B93" s="71" t="s">
        <v>631</v>
      </c>
      <c r="C93" s="71">
        <v>7689</v>
      </c>
      <c r="D93" s="71" t="s">
        <v>658</v>
      </c>
      <c r="E93" s="71" t="s">
        <v>724</v>
      </c>
      <c r="F93" s="71" t="s">
        <v>1616</v>
      </c>
      <c r="G93" s="71" t="s">
        <v>733</v>
      </c>
      <c r="H93" s="73">
        <v>45503</v>
      </c>
      <c r="I93" s="71" t="s">
        <v>40</v>
      </c>
      <c r="J93" s="71" t="s">
        <v>251</v>
      </c>
      <c r="K93" s="71" t="s">
        <v>731</v>
      </c>
    </row>
    <row r="94" spans="1:11" s="10" customFormat="1" ht="13" x14ac:dyDescent="0.3">
      <c r="A94" s="71">
        <v>6203</v>
      </c>
      <c r="B94" s="71" t="s">
        <v>713</v>
      </c>
      <c r="C94" s="71">
        <v>7689</v>
      </c>
      <c r="D94" s="71" t="s">
        <v>658</v>
      </c>
      <c r="E94" s="71" t="s">
        <v>724</v>
      </c>
      <c r="F94" s="71" t="s">
        <v>1616</v>
      </c>
      <c r="G94" s="71" t="s">
        <v>733</v>
      </c>
      <c r="H94" s="73">
        <v>45503</v>
      </c>
      <c r="I94" s="71" t="s">
        <v>73</v>
      </c>
      <c r="J94" s="71" t="s">
        <v>251</v>
      </c>
      <c r="K94" s="71" t="s">
        <v>731</v>
      </c>
    </row>
    <row r="95" spans="1:11" s="10" customFormat="1" ht="13" x14ac:dyDescent="0.3">
      <c r="A95" s="71">
        <v>6620</v>
      </c>
      <c r="B95" s="71" t="s">
        <v>634</v>
      </c>
      <c r="C95" s="71">
        <v>7689</v>
      </c>
      <c r="D95" s="71" t="s">
        <v>658</v>
      </c>
      <c r="E95" s="71" t="s">
        <v>724</v>
      </c>
      <c r="F95" s="71" t="s">
        <v>1616</v>
      </c>
      <c r="G95" s="71" t="s">
        <v>733</v>
      </c>
      <c r="H95" s="73">
        <v>45503</v>
      </c>
      <c r="I95" s="71" t="s">
        <v>40</v>
      </c>
      <c r="J95" s="71" t="s">
        <v>251</v>
      </c>
      <c r="K95" s="71" t="s">
        <v>731</v>
      </c>
    </row>
    <row r="96" spans="1:11" s="10" customFormat="1" ht="13" x14ac:dyDescent="0.3">
      <c r="A96" s="71">
        <v>5694</v>
      </c>
      <c r="B96" s="71" t="s">
        <v>630</v>
      </c>
      <c r="C96" s="71">
        <v>7689</v>
      </c>
      <c r="D96" s="71" t="s">
        <v>658</v>
      </c>
      <c r="E96" s="71" t="s">
        <v>724</v>
      </c>
      <c r="F96" s="71" t="s">
        <v>1616</v>
      </c>
      <c r="G96" s="71" t="s">
        <v>733</v>
      </c>
      <c r="H96" s="73">
        <v>45503</v>
      </c>
      <c r="I96" s="71" t="s">
        <v>40</v>
      </c>
      <c r="J96" s="71" t="s">
        <v>251</v>
      </c>
      <c r="K96" s="71" t="s">
        <v>731</v>
      </c>
    </row>
    <row r="97" spans="1:11" s="10" customFormat="1" ht="13" x14ac:dyDescent="0.3">
      <c r="A97" s="71">
        <v>7800</v>
      </c>
      <c r="B97" s="71" t="s">
        <v>356</v>
      </c>
      <c r="C97" s="71">
        <v>7513</v>
      </c>
      <c r="D97" s="71" t="s">
        <v>717</v>
      </c>
      <c r="E97" s="72" t="s">
        <v>725</v>
      </c>
      <c r="F97" s="71" t="s">
        <v>1616</v>
      </c>
      <c r="G97" s="71" t="s">
        <v>733</v>
      </c>
      <c r="H97" s="73">
        <v>45503</v>
      </c>
      <c r="I97" s="71" t="s">
        <v>13</v>
      </c>
      <c r="J97" s="71" t="s">
        <v>10</v>
      </c>
      <c r="K97" s="71" t="s">
        <v>732</v>
      </c>
    </row>
    <row r="98" spans="1:11" s="10" customFormat="1" ht="13" x14ac:dyDescent="0.3">
      <c r="A98" s="71">
        <v>6804</v>
      </c>
      <c r="B98" s="71" t="s">
        <v>304</v>
      </c>
      <c r="C98" s="71">
        <v>7513</v>
      </c>
      <c r="D98" s="71" t="s">
        <v>717</v>
      </c>
      <c r="E98" s="72" t="s">
        <v>725</v>
      </c>
      <c r="F98" s="71" t="s">
        <v>1616</v>
      </c>
      <c r="G98" s="71" t="s">
        <v>733</v>
      </c>
      <c r="H98" s="73">
        <v>45503</v>
      </c>
      <c r="I98" s="71" t="s">
        <v>24</v>
      </c>
      <c r="J98" s="71" t="s">
        <v>10</v>
      </c>
      <c r="K98" s="71" t="s">
        <v>732</v>
      </c>
    </row>
    <row r="99" spans="1:11" s="10" customFormat="1" ht="13" x14ac:dyDescent="0.3">
      <c r="A99" s="71">
        <v>3619</v>
      </c>
      <c r="B99" s="71" t="s">
        <v>714</v>
      </c>
      <c r="C99" s="71">
        <v>7513</v>
      </c>
      <c r="D99" s="71" t="s">
        <v>717</v>
      </c>
      <c r="E99" s="72" t="s">
        <v>725</v>
      </c>
      <c r="F99" s="71" t="s">
        <v>1616</v>
      </c>
      <c r="G99" s="71" t="s">
        <v>733</v>
      </c>
      <c r="H99" s="73">
        <v>45503</v>
      </c>
      <c r="I99" s="71" t="s">
        <v>73</v>
      </c>
      <c r="J99" s="71" t="s">
        <v>32</v>
      </c>
      <c r="K99" s="71" t="s">
        <v>732</v>
      </c>
    </row>
    <row r="100" spans="1:11" s="10" customFormat="1" ht="13" x14ac:dyDescent="0.3">
      <c r="A100" s="71">
        <v>3265</v>
      </c>
      <c r="B100" s="71" t="s">
        <v>305</v>
      </c>
      <c r="C100" s="71">
        <v>7513</v>
      </c>
      <c r="D100" s="71" t="s">
        <v>717</v>
      </c>
      <c r="E100" s="72" t="s">
        <v>725</v>
      </c>
      <c r="F100" s="71" t="s">
        <v>1616</v>
      </c>
      <c r="G100" s="71" t="s">
        <v>733</v>
      </c>
      <c r="H100" s="73">
        <v>45503</v>
      </c>
      <c r="I100" s="71" t="s">
        <v>24</v>
      </c>
      <c r="J100" s="71" t="s">
        <v>10</v>
      </c>
      <c r="K100" s="71" t="s">
        <v>732</v>
      </c>
    </row>
    <row r="101" spans="1:11" s="10" customFormat="1" ht="13" x14ac:dyDescent="0.3">
      <c r="A101" s="71">
        <v>7408</v>
      </c>
      <c r="B101" s="71" t="s">
        <v>372</v>
      </c>
      <c r="C101" s="71">
        <v>7513</v>
      </c>
      <c r="D101" s="71" t="s">
        <v>717</v>
      </c>
      <c r="E101" s="72" t="s">
        <v>725</v>
      </c>
      <c r="F101" s="71" t="s">
        <v>1616</v>
      </c>
      <c r="G101" s="71" t="s">
        <v>733</v>
      </c>
      <c r="H101" s="73">
        <v>45503</v>
      </c>
      <c r="I101" s="71" t="s">
        <v>13</v>
      </c>
      <c r="J101" s="71" t="s">
        <v>10</v>
      </c>
      <c r="K101" s="71" t="s">
        <v>732</v>
      </c>
    </row>
    <row r="102" spans="1:11" s="10" customFormat="1" ht="13" x14ac:dyDescent="0.3">
      <c r="A102" s="71">
        <v>6409</v>
      </c>
      <c r="B102" s="71" t="s">
        <v>643</v>
      </c>
      <c r="C102" s="71">
        <v>6435</v>
      </c>
      <c r="D102" s="71" t="s">
        <v>471</v>
      </c>
      <c r="E102" s="71" t="s">
        <v>723</v>
      </c>
      <c r="F102" s="71" t="s">
        <v>1616</v>
      </c>
      <c r="G102" s="71" t="s">
        <v>733</v>
      </c>
      <c r="H102" s="73">
        <v>45503</v>
      </c>
      <c r="I102" s="71" t="s">
        <v>9</v>
      </c>
      <c r="J102" s="71" t="s">
        <v>10</v>
      </c>
      <c r="K102" s="71" t="s">
        <v>730</v>
      </c>
    </row>
    <row r="103" spans="1:11" s="10" customFormat="1" ht="13" x14ac:dyDescent="0.3">
      <c r="A103" s="71">
        <v>4004</v>
      </c>
      <c r="B103" s="71" t="s">
        <v>172</v>
      </c>
      <c r="C103" s="71">
        <v>6435</v>
      </c>
      <c r="D103" s="71" t="s">
        <v>471</v>
      </c>
      <c r="E103" s="71" t="s">
        <v>723</v>
      </c>
      <c r="F103" s="71" t="s">
        <v>1616</v>
      </c>
      <c r="G103" s="71" t="s">
        <v>733</v>
      </c>
      <c r="H103" s="73">
        <v>45503</v>
      </c>
      <c r="I103" s="71" t="s">
        <v>9</v>
      </c>
      <c r="J103" s="71" t="s">
        <v>54</v>
      </c>
      <c r="K103" s="71" t="s">
        <v>730</v>
      </c>
    </row>
    <row r="104" spans="1:11" s="10" customFormat="1" ht="13" x14ac:dyDescent="0.3">
      <c r="A104" s="71">
        <v>6110</v>
      </c>
      <c r="B104" s="71" t="s">
        <v>715</v>
      </c>
      <c r="C104" s="71">
        <v>6435</v>
      </c>
      <c r="D104" s="71" t="s">
        <v>471</v>
      </c>
      <c r="E104" s="71" t="s">
        <v>723</v>
      </c>
      <c r="F104" s="71" t="s">
        <v>1616</v>
      </c>
      <c r="G104" s="71" t="s">
        <v>733</v>
      </c>
      <c r="H104" s="73">
        <v>45503</v>
      </c>
      <c r="I104" s="71" t="s">
        <v>9</v>
      </c>
      <c r="J104" s="71" t="s">
        <v>54</v>
      </c>
      <c r="K104" s="71" t="s">
        <v>730</v>
      </c>
    </row>
    <row r="105" spans="1:11" s="10" customFormat="1" ht="13" x14ac:dyDescent="0.3">
      <c r="A105" s="71">
        <v>5310</v>
      </c>
      <c r="B105" s="71" t="s">
        <v>709</v>
      </c>
      <c r="C105" s="71">
        <v>6435</v>
      </c>
      <c r="D105" s="71" t="s">
        <v>471</v>
      </c>
      <c r="E105" s="71" t="s">
        <v>723</v>
      </c>
      <c r="F105" s="71" t="s">
        <v>1616</v>
      </c>
      <c r="G105" s="71" t="s">
        <v>733</v>
      </c>
      <c r="H105" s="73">
        <v>45503</v>
      </c>
      <c r="I105" s="71" t="s">
        <v>9</v>
      </c>
      <c r="J105" s="71" t="s">
        <v>10</v>
      </c>
      <c r="K105" s="71" t="s">
        <v>730</v>
      </c>
    </row>
    <row r="106" spans="1:11" s="10" customFormat="1" ht="13" x14ac:dyDescent="0.3">
      <c r="A106" s="71">
        <v>7658</v>
      </c>
      <c r="B106" s="71" t="s">
        <v>59</v>
      </c>
      <c r="C106" s="71">
        <v>6435</v>
      </c>
      <c r="D106" s="71" t="s">
        <v>471</v>
      </c>
      <c r="E106" s="71" t="s">
        <v>723</v>
      </c>
      <c r="F106" s="71" t="s">
        <v>1616</v>
      </c>
      <c r="G106" s="71" t="s">
        <v>733</v>
      </c>
      <c r="H106" s="73">
        <v>45503</v>
      </c>
      <c r="I106" s="71" t="s">
        <v>9</v>
      </c>
      <c r="J106" s="71" t="s">
        <v>54</v>
      </c>
      <c r="K106" s="71" t="s">
        <v>730</v>
      </c>
    </row>
    <row r="107" spans="1:11" x14ac:dyDescent="0.35">
      <c r="A107" s="71">
        <v>5271</v>
      </c>
      <c r="B107" s="71" t="s">
        <v>855</v>
      </c>
      <c r="C107" s="71">
        <v>6409</v>
      </c>
      <c r="D107" s="71" t="s">
        <v>643</v>
      </c>
      <c r="E107" s="71" t="s">
        <v>1728</v>
      </c>
      <c r="F107" s="71" t="s">
        <v>1729</v>
      </c>
      <c r="G107" s="71" t="s">
        <v>733</v>
      </c>
      <c r="H107" s="73">
        <v>45672</v>
      </c>
      <c r="I107" s="71" t="s">
        <v>53</v>
      </c>
      <c r="J107" s="71" t="s">
        <v>32</v>
      </c>
      <c r="K107" s="71" t="s">
        <v>1732</v>
      </c>
    </row>
    <row r="108" spans="1:11" x14ac:dyDescent="0.35">
      <c r="A108" s="71">
        <v>5201</v>
      </c>
      <c r="B108" s="71" t="s">
        <v>588</v>
      </c>
      <c r="C108" s="71">
        <v>6409</v>
      </c>
      <c r="D108" s="71" t="s">
        <v>643</v>
      </c>
      <c r="E108" s="71" t="s">
        <v>1728</v>
      </c>
      <c r="F108" s="71" t="s">
        <v>1729</v>
      </c>
      <c r="G108" s="71" t="s">
        <v>733</v>
      </c>
      <c r="H108" s="73">
        <v>45672</v>
      </c>
      <c r="I108" s="71" t="s">
        <v>9</v>
      </c>
      <c r="J108" s="71" t="s">
        <v>9</v>
      </c>
      <c r="K108" s="71" t="s">
        <v>1732</v>
      </c>
    </row>
    <row r="109" spans="1:11" x14ac:dyDescent="0.35">
      <c r="A109" s="71">
        <v>7567</v>
      </c>
      <c r="B109" s="71" t="s">
        <v>411</v>
      </c>
      <c r="C109" s="71">
        <v>6409</v>
      </c>
      <c r="D109" s="71" t="s">
        <v>643</v>
      </c>
      <c r="E109" s="71" t="s">
        <v>1728</v>
      </c>
      <c r="F109" s="71" t="s">
        <v>1729</v>
      </c>
      <c r="G109" s="71" t="s">
        <v>733</v>
      </c>
      <c r="H109" s="73">
        <v>45672</v>
      </c>
      <c r="I109" s="71" t="s">
        <v>9</v>
      </c>
      <c r="J109" s="71" t="s">
        <v>9</v>
      </c>
      <c r="K109" s="71" t="s">
        <v>1732</v>
      </c>
    </row>
    <row r="110" spans="1:11" x14ac:dyDescent="0.35">
      <c r="A110" s="71">
        <v>6519</v>
      </c>
      <c r="B110" s="71" t="s">
        <v>748</v>
      </c>
      <c r="C110" s="71">
        <v>6409</v>
      </c>
      <c r="D110" s="71" t="s">
        <v>643</v>
      </c>
      <c r="E110" s="71" t="s">
        <v>1728</v>
      </c>
      <c r="F110" s="71" t="s">
        <v>1729</v>
      </c>
      <c r="G110" s="71" t="s">
        <v>733</v>
      </c>
      <c r="H110" s="73">
        <v>45672</v>
      </c>
      <c r="I110" s="71" t="s">
        <v>395</v>
      </c>
      <c r="J110" s="71" t="s">
        <v>395</v>
      </c>
      <c r="K110" s="71" t="s">
        <v>1732</v>
      </c>
    </row>
    <row r="111" spans="1:11" x14ac:dyDescent="0.35">
      <c r="A111" s="71">
        <v>4380</v>
      </c>
      <c r="B111" s="71" t="s">
        <v>281</v>
      </c>
      <c r="C111" s="71">
        <v>6409</v>
      </c>
      <c r="D111" s="71" t="s">
        <v>643</v>
      </c>
      <c r="E111" s="71" t="s">
        <v>1728</v>
      </c>
      <c r="F111" s="71" t="s">
        <v>1729</v>
      </c>
      <c r="G111" s="71" t="s">
        <v>733</v>
      </c>
      <c r="H111" s="73">
        <v>45672</v>
      </c>
      <c r="I111" s="71" t="s">
        <v>9</v>
      </c>
      <c r="J111" s="71" t="s">
        <v>9</v>
      </c>
      <c r="K111" s="71" t="s">
        <v>1732</v>
      </c>
    </row>
    <row r="112" spans="1:11" x14ac:dyDescent="0.35">
      <c r="A112" s="71">
        <v>4011</v>
      </c>
      <c r="B112" s="71" t="s">
        <v>1730</v>
      </c>
      <c r="C112" s="71">
        <v>6409</v>
      </c>
      <c r="D112" s="71" t="s">
        <v>643</v>
      </c>
      <c r="E112" s="71" t="s">
        <v>1728</v>
      </c>
      <c r="F112" s="71" t="s">
        <v>1729</v>
      </c>
      <c r="G112" s="71" t="s">
        <v>733</v>
      </c>
      <c r="H112" s="73">
        <v>45672</v>
      </c>
      <c r="I112" s="71" t="s">
        <v>9</v>
      </c>
      <c r="J112" s="71" t="s">
        <v>9</v>
      </c>
      <c r="K112" s="71" t="s">
        <v>1732</v>
      </c>
    </row>
    <row r="113" spans="1:11" x14ac:dyDescent="0.35">
      <c r="A113" s="71">
        <v>1591</v>
      </c>
      <c r="B113" s="71" t="s">
        <v>590</v>
      </c>
      <c r="C113" s="71">
        <v>6409</v>
      </c>
      <c r="D113" s="71" t="s">
        <v>643</v>
      </c>
      <c r="E113" s="71" t="s">
        <v>1728</v>
      </c>
      <c r="F113" s="71" t="s">
        <v>1729</v>
      </c>
      <c r="G113" s="71" t="s">
        <v>733</v>
      </c>
      <c r="H113" s="73">
        <v>45672</v>
      </c>
      <c r="I113" s="71" t="s">
        <v>9</v>
      </c>
      <c r="J113" s="71" t="s">
        <v>9</v>
      </c>
      <c r="K113" s="71" t="s">
        <v>1732</v>
      </c>
    </row>
    <row r="114" spans="1:11" x14ac:dyDescent="0.35">
      <c r="A114" s="71">
        <v>7426</v>
      </c>
      <c r="B114" s="71" t="s">
        <v>19</v>
      </c>
      <c r="C114" s="71">
        <v>6409</v>
      </c>
      <c r="D114" s="71" t="s">
        <v>643</v>
      </c>
      <c r="E114" s="71" t="s">
        <v>1728</v>
      </c>
      <c r="F114" s="71" t="s">
        <v>1729</v>
      </c>
      <c r="G114" s="71" t="s">
        <v>733</v>
      </c>
      <c r="H114" s="73">
        <v>45672</v>
      </c>
      <c r="I114" s="71" t="s">
        <v>21</v>
      </c>
      <c r="J114" s="71" t="s">
        <v>21</v>
      </c>
      <c r="K114" s="71" t="s">
        <v>1732</v>
      </c>
    </row>
    <row r="115" spans="1:11" x14ac:dyDescent="0.35">
      <c r="A115" s="71">
        <v>7462</v>
      </c>
      <c r="B115" s="71" t="s">
        <v>628</v>
      </c>
      <c r="C115" s="71">
        <v>6409</v>
      </c>
      <c r="D115" s="71" t="s">
        <v>643</v>
      </c>
      <c r="E115" s="71" t="s">
        <v>1728</v>
      </c>
      <c r="F115" s="71" t="s">
        <v>1729</v>
      </c>
      <c r="G115" s="71" t="s">
        <v>733</v>
      </c>
      <c r="H115" s="73">
        <v>45672</v>
      </c>
      <c r="I115" s="71" t="s">
        <v>53</v>
      </c>
      <c r="J115" s="71" t="s">
        <v>53</v>
      </c>
      <c r="K115" s="71" t="s">
        <v>1732</v>
      </c>
    </row>
    <row r="116" spans="1:11" x14ac:dyDescent="0.35">
      <c r="A116" s="71">
        <v>7654</v>
      </c>
      <c r="B116" s="71" t="s">
        <v>55</v>
      </c>
      <c r="C116" s="71">
        <v>6409</v>
      </c>
      <c r="D116" s="71" t="s">
        <v>643</v>
      </c>
      <c r="E116" s="71" t="s">
        <v>1728</v>
      </c>
      <c r="F116" s="71" t="s">
        <v>1729</v>
      </c>
      <c r="G116" s="71" t="s">
        <v>733</v>
      </c>
      <c r="H116" s="73">
        <v>45672</v>
      </c>
      <c r="I116" s="71" t="s">
        <v>16</v>
      </c>
      <c r="J116" s="71" t="s">
        <v>16</v>
      </c>
      <c r="K116" s="71" t="s">
        <v>1732</v>
      </c>
    </row>
    <row r="117" spans="1:11" x14ac:dyDescent="0.35">
      <c r="A117" s="71">
        <v>2397</v>
      </c>
      <c r="B117" s="71" t="s">
        <v>801</v>
      </c>
      <c r="C117" s="71">
        <v>6409</v>
      </c>
      <c r="D117" s="71" t="s">
        <v>643</v>
      </c>
      <c r="E117" s="71" t="s">
        <v>1728</v>
      </c>
      <c r="F117" s="71" t="s">
        <v>1729</v>
      </c>
      <c r="G117" s="71" t="s">
        <v>733</v>
      </c>
      <c r="H117" s="73">
        <v>45672</v>
      </c>
      <c r="I117" s="71" t="s">
        <v>16</v>
      </c>
      <c r="J117" s="71" t="s">
        <v>16</v>
      </c>
      <c r="K117" s="71" t="s">
        <v>1732</v>
      </c>
    </row>
    <row r="118" spans="1:11" x14ac:dyDescent="0.35">
      <c r="A118" s="71">
        <v>7756</v>
      </c>
      <c r="B118" s="71" t="s">
        <v>65</v>
      </c>
      <c r="C118" s="71">
        <v>6409</v>
      </c>
      <c r="D118" s="71" t="s">
        <v>643</v>
      </c>
      <c r="E118" s="71" t="s">
        <v>1728</v>
      </c>
      <c r="F118" s="71" t="s">
        <v>1729</v>
      </c>
      <c r="G118" s="71" t="s">
        <v>733</v>
      </c>
      <c r="H118" s="73">
        <v>45672</v>
      </c>
      <c r="I118" s="71" t="s">
        <v>9</v>
      </c>
      <c r="J118" s="71" t="s">
        <v>9</v>
      </c>
      <c r="K118" s="71" t="s">
        <v>1732</v>
      </c>
    </row>
    <row r="119" spans="1:11" x14ac:dyDescent="0.35">
      <c r="A119" s="71">
        <v>7748</v>
      </c>
      <c r="B119" s="71" t="s">
        <v>342</v>
      </c>
      <c r="C119" s="71">
        <v>6409</v>
      </c>
      <c r="D119" s="71" t="s">
        <v>643</v>
      </c>
      <c r="E119" s="71" t="s">
        <v>1728</v>
      </c>
      <c r="F119" s="71" t="s">
        <v>1729</v>
      </c>
      <c r="G119" s="71" t="s">
        <v>733</v>
      </c>
      <c r="H119" s="73">
        <v>45672</v>
      </c>
      <c r="I119" s="71" t="s">
        <v>9</v>
      </c>
      <c r="J119" s="71" t="s">
        <v>9</v>
      </c>
      <c r="K119" s="71" t="s">
        <v>1732</v>
      </c>
    </row>
    <row r="120" spans="1:11" x14ac:dyDescent="0.35">
      <c r="A120" s="71">
        <v>7512</v>
      </c>
      <c r="B120" s="71" t="s">
        <v>646</v>
      </c>
      <c r="C120" s="71">
        <v>6409</v>
      </c>
      <c r="D120" s="71" t="s">
        <v>643</v>
      </c>
      <c r="E120" s="71" t="s">
        <v>1728</v>
      </c>
      <c r="F120" s="71" t="s">
        <v>1729</v>
      </c>
      <c r="G120" s="71" t="s">
        <v>733</v>
      </c>
      <c r="H120" s="73">
        <v>45672</v>
      </c>
      <c r="I120" s="71" t="s">
        <v>9</v>
      </c>
      <c r="J120" s="71" t="s">
        <v>9</v>
      </c>
      <c r="K120" s="71" t="s">
        <v>1732</v>
      </c>
    </row>
    <row r="121" spans="1:11" x14ac:dyDescent="0.35">
      <c r="A121" s="71">
        <v>7457</v>
      </c>
      <c r="B121" s="71" t="s">
        <v>1731</v>
      </c>
      <c r="C121" s="71">
        <v>6409</v>
      </c>
      <c r="D121" s="71" t="s">
        <v>643</v>
      </c>
      <c r="E121" s="71" t="s">
        <v>1728</v>
      </c>
      <c r="F121" s="71" t="s">
        <v>1729</v>
      </c>
      <c r="G121" s="71" t="s">
        <v>733</v>
      </c>
      <c r="H121" s="73">
        <v>45672</v>
      </c>
      <c r="I121" s="71" t="s">
        <v>9</v>
      </c>
      <c r="J121" s="71" t="s">
        <v>54</v>
      </c>
      <c r="K121" s="71" t="s">
        <v>1732</v>
      </c>
    </row>
    <row r="122" spans="1:11" x14ac:dyDescent="0.35">
      <c r="A122" s="71">
        <v>4013</v>
      </c>
      <c r="B122" s="71" t="s">
        <v>268</v>
      </c>
      <c r="C122" s="71">
        <v>3469</v>
      </c>
      <c r="D122" s="71" t="s">
        <v>459</v>
      </c>
      <c r="E122" s="71" t="s">
        <v>2098</v>
      </c>
      <c r="F122" s="71" t="s">
        <v>2085</v>
      </c>
      <c r="G122" s="71" t="s">
        <v>733</v>
      </c>
      <c r="H122" s="73">
        <v>45792</v>
      </c>
      <c r="I122" s="71" t="s">
        <v>9</v>
      </c>
      <c r="J122" s="71" t="s">
        <v>54</v>
      </c>
      <c r="K122" s="55">
        <v>500</v>
      </c>
    </row>
    <row r="123" spans="1:11" x14ac:dyDescent="0.35">
      <c r="A123" s="71">
        <v>5517</v>
      </c>
      <c r="B123" s="71" t="s">
        <v>363</v>
      </c>
      <c r="C123" s="71">
        <v>3469</v>
      </c>
      <c r="D123" s="71" t="s">
        <v>459</v>
      </c>
      <c r="E123" s="71" t="s">
        <v>2098</v>
      </c>
      <c r="F123" s="71" t="s">
        <v>2085</v>
      </c>
      <c r="G123" s="71" t="s">
        <v>733</v>
      </c>
      <c r="H123" s="73">
        <v>45792</v>
      </c>
      <c r="I123" s="71" t="s">
        <v>9</v>
      </c>
      <c r="J123" s="71" t="s">
        <v>10</v>
      </c>
      <c r="K123" s="55">
        <v>500</v>
      </c>
    </row>
    <row r="124" spans="1:11" x14ac:dyDescent="0.35">
      <c r="A124" s="71">
        <v>7943</v>
      </c>
      <c r="B124" s="71" t="s">
        <v>2076</v>
      </c>
      <c r="C124" s="71">
        <v>3469</v>
      </c>
      <c r="D124" s="71" t="s">
        <v>459</v>
      </c>
      <c r="E124" s="71" t="s">
        <v>2098</v>
      </c>
      <c r="F124" s="71" t="s">
        <v>2085</v>
      </c>
      <c r="G124" s="71" t="s">
        <v>733</v>
      </c>
      <c r="H124" s="73">
        <v>45792</v>
      </c>
      <c r="I124" s="71" t="s">
        <v>9</v>
      </c>
      <c r="J124" s="71" t="s">
        <v>10</v>
      </c>
      <c r="K124" s="55">
        <v>500</v>
      </c>
    </row>
    <row r="125" spans="1:11" x14ac:dyDescent="0.35">
      <c r="A125" s="71">
        <v>6409</v>
      </c>
      <c r="B125" s="71" t="s">
        <v>643</v>
      </c>
      <c r="C125" s="71">
        <v>3469</v>
      </c>
      <c r="D125" s="71" t="s">
        <v>459</v>
      </c>
      <c r="E125" s="71" t="s">
        <v>2098</v>
      </c>
      <c r="F125" s="71" t="s">
        <v>2085</v>
      </c>
      <c r="G125" s="71" t="s">
        <v>733</v>
      </c>
      <c r="H125" s="73">
        <v>45792</v>
      </c>
      <c r="I125" s="71" t="s">
        <v>9</v>
      </c>
      <c r="J125" s="71" t="s">
        <v>10</v>
      </c>
      <c r="K125" s="55">
        <v>500</v>
      </c>
    </row>
    <row r="126" spans="1:11" x14ac:dyDescent="0.35">
      <c r="A126" s="71">
        <v>7250</v>
      </c>
      <c r="B126" s="71" t="s">
        <v>288</v>
      </c>
      <c r="C126" s="71">
        <v>3469</v>
      </c>
      <c r="D126" s="71" t="s">
        <v>459</v>
      </c>
      <c r="E126" s="71" t="s">
        <v>2098</v>
      </c>
      <c r="F126" s="71" t="s">
        <v>2085</v>
      </c>
      <c r="G126" s="71" t="s">
        <v>733</v>
      </c>
      <c r="H126" s="73">
        <v>45792</v>
      </c>
      <c r="I126" s="71" t="s">
        <v>9</v>
      </c>
      <c r="J126" s="71" t="s">
        <v>10</v>
      </c>
      <c r="K126" s="55">
        <v>500</v>
      </c>
    </row>
    <row r="127" spans="1:11" x14ac:dyDescent="0.35">
      <c r="A127" s="71">
        <v>7969</v>
      </c>
      <c r="B127" s="71" t="s">
        <v>2042</v>
      </c>
      <c r="C127" s="71">
        <v>3469</v>
      </c>
      <c r="D127" s="71" t="s">
        <v>459</v>
      </c>
      <c r="E127" s="71" t="s">
        <v>2098</v>
      </c>
      <c r="F127" s="71" t="s">
        <v>2085</v>
      </c>
      <c r="G127" s="71" t="s">
        <v>733</v>
      </c>
      <c r="H127" s="73">
        <v>45792</v>
      </c>
      <c r="I127" s="71" t="s">
        <v>9</v>
      </c>
      <c r="J127" s="71" t="s">
        <v>10</v>
      </c>
      <c r="K127" s="55">
        <v>500</v>
      </c>
    </row>
    <row r="128" spans="1:11" x14ac:dyDescent="0.35">
      <c r="A128" s="71">
        <v>7807</v>
      </c>
      <c r="B128" s="71" t="s">
        <v>458</v>
      </c>
      <c r="C128" s="71">
        <v>3469</v>
      </c>
      <c r="D128" s="71" t="s">
        <v>459</v>
      </c>
      <c r="E128" s="71" t="s">
        <v>2098</v>
      </c>
      <c r="F128" s="71" t="s">
        <v>2085</v>
      </c>
      <c r="G128" s="71" t="s">
        <v>733</v>
      </c>
      <c r="H128" s="73">
        <v>45792</v>
      </c>
      <c r="I128" s="71" t="s">
        <v>21</v>
      </c>
      <c r="J128" s="71" t="s">
        <v>10</v>
      </c>
      <c r="K128" s="55">
        <v>500</v>
      </c>
    </row>
    <row r="129" spans="1:11" x14ac:dyDescent="0.35">
      <c r="A129" s="71">
        <v>7974</v>
      </c>
      <c r="B129" s="71" t="s">
        <v>2089</v>
      </c>
      <c r="C129" s="71">
        <v>3469</v>
      </c>
      <c r="D129" s="71" t="s">
        <v>459</v>
      </c>
      <c r="E129" s="71" t="s">
        <v>2098</v>
      </c>
      <c r="F129" s="71" t="s">
        <v>2085</v>
      </c>
      <c r="G129" s="71" t="s">
        <v>733</v>
      </c>
      <c r="H129" s="73">
        <v>45792</v>
      </c>
      <c r="I129" s="71" t="s">
        <v>21</v>
      </c>
      <c r="J129" s="71" t="s">
        <v>10</v>
      </c>
      <c r="K129" s="55">
        <v>500</v>
      </c>
    </row>
    <row r="130" spans="1:11" x14ac:dyDescent="0.35">
      <c r="A130" s="71">
        <v>4011</v>
      </c>
      <c r="B130" s="71" t="s">
        <v>1730</v>
      </c>
      <c r="C130" s="71">
        <v>3469</v>
      </c>
      <c r="D130" s="71" t="s">
        <v>459</v>
      </c>
      <c r="E130" s="71" t="s">
        <v>2098</v>
      </c>
      <c r="F130" s="71" t="s">
        <v>2085</v>
      </c>
      <c r="G130" s="71" t="s">
        <v>733</v>
      </c>
      <c r="H130" s="73">
        <v>45792</v>
      </c>
      <c r="I130" s="71" t="s">
        <v>9</v>
      </c>
      <c r="J130" s="71" t="s">
        <v>54</v>
      </c>
      <c r="K130" s="55">
        <v>500</v>
      </c>
    </row>
    <row r="131" spans="1:11" x14ac:dyDescent="0.35">
      <c r="A131" s="71">
        <v>7834</v>
      </c>
      <c r="B131" s="71" t="s">
        <v>347</v>
      </c>
      <c r="C131" s="71">
        <v>3469</v>
      </c>
      <c r="D131" s="71" t="s">
        <v>459</v>
      </c>
      <c r="E131" s="71" t="s">
        <v>2098</v>
      </c>
      <c r="F131" s="71" t="s">
        <v>2085</v>
      </c>
      <c r="G131" s="71" t="s">
        <v>733</v>
      </c>
      <c r="H131" s="73">
        <v>45792</v>
      </c>
      <c r="I131" s="71" t="s">
        <v>9</v>
      </c>
      <c r="J131" s="71" t="s">
        <v>54</v>
      </c>
      <c r="K131" s="55">
        <v>500</v>
      </c>
    </row>
    <row r="132" spans="1:11" x14ac:dyDescent="0.35">
      <c r="A132" s="71">
        <v>4763</v>
      </c>
      <c r="B132" s="71" t="s">
        <v>369</v>
      </c>
      <c r="C132" s="71">
        <v>3469</v>
      </c>
      <c r="D132" s="71" t="s">
        <v>459</v>
      </c>
      <c r="E132" s="71" t="s">
        <v>2098</v>
      </c>
      <c r="F132" s="71" t="s">
        <v>2085</v>
      </c>
      <c r="G132" s="71" t="s">
        <v>733</v>
      </c>
      <c r="H132" s="73">
        <v>45792</v>
      </c>
      <c r="I132" s="71" t="s">
        <v>395</v>
      </c>
      <c r="J132" s="71" t="s">
        <v>10</v>
      </c>
      <c r="K132" s="55">
        <v>500</v>
      </c>
    </row>
    <row r="133" spans="1:11" x14ac:dyDescent="0.35">
      <c r="A133" s="71">
        <v>7162</v>
      </c>
      <c r="B133" s="71" t="s">
        <v>400</v>
      </c>
      <c r="C133" s="71">
        <v>3469</v>
      </c>
      <c r="D133" s="71" t="s">
        <v>459</v>
      </c>
      <c r="E133" s="71" t="s">
        <v>2098</v>
      </c>
      <c r="F133" s="71" t="s">
        <v>2085</v>
      </c>
      <c r="G133" s="71" t="s">
        <v>733</v>
      </c>
      <c r="H133" s="73">
        <v>45792</v>
      </c>
      <c r="I133" s="71" t="s">
        <v>249</v>
      </c>
      <c r="J133" s="71" t="s">
        <v>10</v>
      </c>
      <c r="K133" s="55">
        <v>500</v>
      </c>
    </row>
    <row r="134" spans="1:11" x14ac:dyDescent="0.35">
      <c r="A134" s="71">
        <v>7936</v>
      </c>
      <c r="B134" s="71" t="s">
        <v>2090</v>
      </c>
      <c r="C134" s="71">
        <v>3469</v>
      </c>
      <c r="D134" s="71" t="s">
        <v>459</v>
      </c>
      <c r="E134" s="71" t="s">
        <v>2098</v>
      </c>
      <c r="F134" s="71" t="s">
        <v>2085</v>
      </c>
      <c r="G134" s="71" t="s">
        <v>733</v>
      </c>
      <c r="H134" s="73">
        <v>45792</v>
      </c>
      <c r="I134" s="71" t="s">
        <v>43</v>
      </c>
      <c r="J134" s="71" t="s">
        <v>10</v>
      </c>
      <c r="K134" s="55">
        <v>500</v>
      </c>
    </row>
    <row r="135" spans="1:11" x14ac:dyDescent="0.35">
      <c r="A135" s="71">
        <v>2980</v>
      </c>
      <c r="B135" s="71" t="s">
        <v>770</v>
      </c>
      <c r="C135" s="71">
        <v>3469</v>
      </c>
      <c r="D135" s="71" t="s">
        <v>459</v>
      </c>
      <c r="E135" s="71" t="s">
        <v>2098</v>
      </c>
      <c r="F135" s="71" t="s">
        <v>2085</v>
      </c>
      <c r="G135" s="71" t="s">
        <v>733</v>
      </c>
      <c r="H135" s="73">
        <v>45792</v>
      </c>
      <c r="I135" s="71" t="s">
        <v>35</v>
      </c>
      <c r="J135" s="71" t="s">
        <v>32</v>
      </c>
      <c r="K135" s="55">
        <v>500</v>
      </c>
    </row>
    <row r="136" spans="1:11" x14ac:dyDescent="0.35">
      <c r="A136" s="71">
        <v>5546</v>
      </c>
      <c r="B136" s="71" t="s">
        <v>466</v>
      </c>
      <c r="C136" s="71">
        <v>3469</v>
      </c>
      <c r="D136" s="71" t="s">
        <v>459</v>
      </c>
      <c r="E136" s="71" t="s">
        <v>2098</v>
      </c>
      <c r="F136" s="71" t="s">
        <v>2085</v>
      </c>
      <c r="G136" s="71" t="s">
        <v>733</v>
      </c>
      <c r="H136" s="73">
        <v>45792</v>
      </c>
      <c r="I136" s="71" t="s">
        <v>35</v>
      </c>
      <c r="J136" s="71" t="s">
        <v>32</v>
      </c>
      <c r="K136" s="55">
        <v>500</v>
      </c>
    </row>
    <row r="137" spans="1:11" x14ac:dyDescent="0.35">
      <c r="A137" s="71">
        <v>2874</v>
      </c>
      <c r="B137" s="71" t="s">
        <v>2091</v>
      </c>
      <c r="C137" s="71">
        <v>3469</v>
      </c>
      <c r="D137" s="71" t="s">
        <v>459</v>
      </c>
      <c r="E137" s="71" t="s">
        <v>2098</v>
      </c>
      <c r="F137" s="71" t="s">
        <v>2085</v>
      </c>
      <c r="G137" s="71" t="s">
        <v>733</v>
      </c>
      <c r="H137" s="73">
        <v>45792</v>
      </c>
      <c r="I137" s="71" t="s">
        <v>35</v>
      </c>
      <c r="J137" s="71" t="s">
        <v>32</v>
      </c>
      <c r="K137" s="55">
        <v>500</v>
      </c>
    </row>
    <row r="138" spans="1:11" x14ac:dyDescent="0.35">
      <c r="A138" s="71">
        <v>7690</v>
      </c>
      <c r="B138" s="71" t="s">
        <v>359</v>
      </c>
      <c r="C138" s="71">
        <v>3469</v>
      </c>
      <c r="D138" s="71" t="s">
        <v>459</v>
      </c>
      <c r="E138" s="71" t="s">
        <v>2098</v>
      </c>
      <c r="F138" s="71" t="s">
        <v>2085</v>
      </c>
      <c r="G138" s="71" t="s">
        <v>733</v>
      </c>
      <c r="H138" s="73">
        <v>45792</v>
      </c>
      <c r="I138" s="71" t="s">
        <v>21</v>
      </c>
      <c r="J138" s="71" t="s">
        <v>10</v>
      </c>
      <c r="K138" s="55">
        <v>500</v>
      </c>
    </row>
    <row r="139" spans="1:11" x14ac:dyDescent="0.35">
      <c r="A139" s="71">
        <v>7742</v>
      </c>
      <c r="B139" s="71" t="s">
        <v>339</v>
      </c>
      <c r="C139" s="71">
        <v>3469</v>
      </c>
      <c r="D139" s="71" t="s">
        <v>459</v>
      </c>
      <c r="E139" s="71" t="s">
        <v>2098</v>
      </c>
      <c r="F139" s="71" t="s">
        <v>2085</v>
      </c>
      <c r="G139" s="71" t="s">
        <v>733</v>
      </c>
      <c r="H139" s="73">
        <v>45792</v>
      </c>
      <c r="I139" s="71" t="s">
        <v>21</v>
      </c>
      <c r="J139" s="71" t="s">
        <v>10</v>
      </c>
      <c r="K139" s="55">
        <v>500</v>
      </c>
    </row>
    <row r="140" spans="1:11" x14ac:dyDescent="0.35">
      <c r="A140" s="71">
        <v>5325</v>
      </c>
      <c r="B140" s="71" t="s">
        <v>586</v>
      </c>
      <c r="C140" s="71">
        <v>3469</v>
      </c>
      <c r="D140" s="71" t="s">
        <v>459</v>
      </c>
      <c r="E140" s="71" t="s">
        <v>2098</v>
      </c>
      <c r="F140" s="71" t="s">
        <v>2085</v>
      </c>
      <c r="G140" s="71" t="s">
        <v>733</v>
      </c>
      <c r="H140" s="73">
        <v>45792</v>
      </c>
      <c r="I140" s="71" t="s">
        <v>9</v>
      </c>
      <c r="J140" s="71" t="s">
        <v>10</v>
      </c>
      <c r="K140" s="55">
        <v>500</v>
      </c>
    </row>
    <row r="141" spans="1:11" x14ac:dyDescent="0.35">
      <c r="A141" s="71">
        <v>7653</v>
      </c>
      <c r="B141" s="71" t="s">
        <v>694</v>
      </c>
      <c r="C141" s="71">
        <v>3469</v>
      </c>
      <c r="D141" s="71" t="s">
        <v>459</v>
      </c>
      <c r="E141" s="71" t="s">
        <v>2098</v>
      </c>
      <c r="F141" s="71" t="s">
        <v>2085</v>
      </c>
      <c r="G141" s="71" t="s">
        <v>733</v>
      </c>
      <c r="H141" s="73">
        <v>45792</v>
      </c>
      <c r="I141" s="71" t="s">
        <v>9</v>
      </c>
      <c r="J141" s="71" t="s">
        <v>54</v>
      </c>
      <c r="K141" s="55">
        <v>500</v>
      </c>
    </row>
    <row r="142" spans="1:11" x14ac:dyDescent="0.35">
      <c r="A142" s="71">
        <v>1845</v>
      </c>
      <c r="B142" s="71" t="s">
        <v>917</v>
      </c>
      <c r="C142" s="71">
        <v>5517</v>
      </c>
      <c r="D142" s="71" t="s">
        <v>363</v>
      </c>
      <c r="E142" s="71" t="s">
        <v>2099</v>
      </c>
      <c r="F142" s="71" t="s">
        <v>2085</v>
      </c>
      <c r="G142" s="71" t="s">
        <v>733</v>
      </c>
      <c r="H142" s="73">
        <v>45757</v>
      </c>
      <c r="I142" s="71" t="s">
        <v>35</v>
      </c>
      <c r="J142" s="71" t="s">
        <v>32</v>
      </c>
      <c r="K142" s="55">
        <v>625</v>
      </c>
    </row>
    <row r="143" spans="1:11" x14ac:dyDescent="0.35">
      <c r="A143" s="71">
        <v>7387</v>
      </c>
      <c r="B143" s="71" t="s">
        <v>704</v>
      </c>
      <c r="C143" s="71">
        <v>5517</v>
      </c>
      <c r="D143" s="71" t="s">
        <v>363</v>
      </c>
      <c r="E143" s="71" t="s">
        <v>2099</v>
      </c>
      <c r="F143" s="71" t="s">
        <v>2085</v>
      </c>
      <c r="G143" s="71" t="s">
        <v>733</v>
      </c>
      <c r="H143" s="73">
        <v>45757</v>
      </c>
      <c r="I143" s="71" t="s">
        <v>35</v>
      </c>
      <c r="J143" s="71" t="s">
        <v>32</v>
      </c>
      <c r="K143" s="55">
        <v>625</v>
      </c>
    </row>
    <row r="144" spans="1:11" x14ac:dyDescent="0.35">
      <c r="A144" s="71">
        <v>5201</v>
      </c>
      <c r="B144" s="71" t="s">
        <v>588</v>
      </c>
      <c r="C144" s="71">
        <v>5517</v>
      </c>
      <c r="D144" s="71" t="s">
        <v>363</v>
      </c>
      <c r="E144" s="71" t="s">
        <v>2099</v>
      </c>
      <c r="F144" s="71" t="s">
        <v>2085</v>
      </c>
      <c r="G144" s="71" t="s">
        <v>733</v>
      </c>
      <c r="H144" s="73">
        <v>45757</v>
      </c>
      <c r="I144" s="71" t="s">
        <v>9</v>
      </c>
      <c r="J144" s="71" t="s">
        <v>54</v>
      </c>
      <c r="K144" s="55">
        <v>625</v>
      </c>
    </row>
    <row r="145" spans="1:11" x14ac:dyDescent="0.35">
      <c r="A145" s="71">
        <v>7834</v>
      </c>
      <c r="B145" s="71" t="s">
        <v>347</v>
      </c>
      <c r="C145" s="71">
        <v>5517</v>
      </c>
      <c r="D145" s="71" t="s">
        <v>363</v>
      </c>
      <c r="E145" s="71" t="s">
        <v>2099</v>
      </c>
      <c r="F145" s="71" t="s">
        <v>2085</v>
      </c>
      <c r="G145" s="71" t="s">
        <v>733</v>
      </c>
      <c r="H145" s="73">
        <v>45757</v>
      </c>
      <c r="I145" s="71" t="s">
        <v>9</v>
      </c>
      <c r="J145" s="71" t="s">
        <v>54</v>
      </c>
      <c r="K145" s="55">
        <v>625</v>
      </c>
    </row>
    <row r="146" spans="1:11" x14ac:dyDescent="0.35">
      <c r="A146" s="71">
        <v>7567</v>
      </c>
      <c r="B146" s="71" t="s">
        <v>411</v>
      </c>
      <c r="C146" s="71">
        <v>5517</v>
      </c>
      <c r="D146" s="71" t="s">
        <v>363</v>
      </c>
      <c r="E146" s="71" t="s">
        <v>2099</v>
      </c>
      <c r="F146" s="71" t="s">
        <v>2085</v>
      </c>
      <c r="G146" s="71" t="s">
        <v>733</v>
      </c>
      <c r="H146" s="73">
        <v>45757</v>
      </c>
      <c r="I146" s="71" t="s">
        <v>9</v>
      </c>
      <c r="J146" s="71" t="s">
        <v>10</v>
      </c>
      <c r="K146" s="55">
        <v>625</v>
      </c>
    </row>
    <row r="147" spans="1:11" x14ac:dyDescent="0.35">
      <c r="A147" s="71">
        <v>7018</v>
      </c>
      <c r="B147" s="71" t="s">
        <v>696</v>
      </c>
      <c r="C147" s="71">
        <v>5517</v>
      </c>
      <c r="D147" s="71" t="s">
        <v>363</v>
      </c>
      <c r="E147" s="71" t="s">
        <v>2099</v>
      </c>
      <c r="F147" s="71" t="s">
        <v>2085</v>
      </c>
      <c r="G147" s="71" t="s">
        <v>733</v>
      </c>
      <c r="H147" s="73">
        <v>45757</v>
      </c>
      <c r="I147" s="71" t="s">
        <v>35</v>
      </c>
      <c r="J147" s="71" t="s">
        <v>32</v>
      </c>
      <c r="K147" s="55">
        <v>625</v>
      </c>
    </row>
    <row r="148" spans="1:11" x14ac:dyDescent="0.35">
      <c r="A148" s="71">
        <v>1591</v>
      </c>
      <c r="B148" s="71" t="s">
        <v>590</v>
      </c>
      <c r="C148" s="71">
        <v>5517</v>
      </c>
      <c r="D148" s="71" t="s">
        <v>363</v>
      </c>
      <c r="E148" s="71" t="s">
        <v>2099</v>
      </c>
      <c r="F148" s="71" t="s">
        <v>2085</v>
      </c>
      <c r="G148" s="71" t="s">
        <v>733</v>
      </c>
      <c r="H148" s="73">
        <v>45757</v>
      </c>
      <c r="I148" s="71" t="s">
        <v>9</v>
      </c>
      <c r="J148" s="71" t="s">
        <v>54</v>
      </c>
      <c r="K148" s="55">
        <v>625</v>
      </c>
    </row>
    <row r="149" spans="1:11" x14ac:dyDescent="0.35">
      <c r="A149" s="71">
        <v>3447</v>
      </c>
      <c r="B149" s="71" t="s">
        <v>179</v>
      </c>
      <c r="C149" s="71">
        <v>5517</v>
      </c>
      <c r="D149" s="71" t="s">
        <v>363</v>
      </c>
      <c r="E149" s="71" t="s">
        <v>2099</v>
      </c>
      <c r="F149" s="71" t="s">
        <v>2085</v>
      </c>
      <c r="G149" s="71" t="s">
        <v>733</v>
      </c>
      <c r="H149" s="73">
        <v>45757</v>
      </c>
      <c r="I149" s="71" t="s">
        <v>9</v>
      </c>
      <c r="J149" s="71" t="s">
        <v>54</v>
      </c>
      <c r="K149" s="55">
        <v>625</v>
      </c>
    </row>
    <row r="150" spans="1:11" x14ac:dyDescent="0.35">
      <c r="A150" s="71">
        <v>7840</v>
      </c>
      <c r="B150" s="71" t="s">
        <v>700</v>
      </c>
      <c r="C150" s="71">
        <v>5517</v>
      </c>
      <c r="D150" s="71" t="s">
        <v>363</v>
      </c>
      <c r="E150" s="71" t="s">
        <v>2099</v>
      </c>
      <c r="F150" s="71" t="s">
        <v>2085</v>
      </c>
      <c r="G150" s="71" t="s">
        <v>733</v>
      </c>
      <c r="H150" s="73">
        <v>45757</v>
      </c>
      <c r="I150" s="71" t="s">
        <v>35</v>
      </c>
      <c r="J150" s="71" t="s">
        <v>32</v>
      </c>
      <c r="K150" s="55">
        <v>625</v>
      </c>
    </row>
    <row r="151" spans="1:11" x14ac:dyDescent="0.35">
      <c r="A151" s="71">
        <v>6787</v>
      </c>
      <c r="B151" s="71" t="s">
        <v>642</v>
      </c>
      <c r="C151" s="71">
        <v>5517</v>
      </c>
      <c r="D151" s="71" t="s">
        <v>363</v>
      </c>
      <c r="E151" s="71" t="s">
        <v>2099</v>
      </c>
      <c r="F151" s="71" t="s">
        <v>2085</v>
      </c>
      <c r="G151" s="71" t="s">
        <v>733</v>
      </c>
      <c r="H151" s="73">
        <v>45757</v>
      </c>
      <c r="I151" s="71" t="s">
        <v>9</v>
      </c>
      <c r="J151" s="71" t="s">
        <v>54</v>
      </c>
      <c r="K151" s="55">
        <v>625</v>
      </c>
    </row>
    <row r="152" spans="1:11" x14ac:dyDescent="0.35">
      <c r="A152" s="71">
        <v>7969</v>
      </c>
      <c r="B152" s="71" t="s">
        <v>2042</v>
      </c>
      <c r="C152" s="71">
        <v>5517</v>
      </c>
      <c r="D152" s="71" t="s">
        <v>363</v>
      </c>
      <c r="E152" s="71" t="s">
        <v>2099</v>
      </c>
      <c r="F152" s="71" t="s">
        <v>2085</v>
      </c>
      <c r="G152" s="71" t="s">
        <v>733</v>
      </c>
      <c r="H152" s="73">
        <v>45757</v>
      </c>
      <c r="I152" s="71" t="s">
        <v>9</v>
      </c>
      <c r="J152" s="71" t="s">
        <v>10</v>
      </c>
      <c r="K152" s="55">
        <v>625</v>
      </c>
    </row>
    <row r="153" spans="1:11" x14ac:dyDescent="0.35">
      <c r="A153" s="71">
        <v>7015</v>
      </c>
      <c r="B153" s="71" t="s">
        <v>702</v>
      </c>
      <c r="C153" s="71">
        <v>5517</v>
      </c>
      <c r="D153" s="71" t="s">
        <v>363</v>
      </c>
      <c r="E153" s="71" t="s">
        <v>2099</v>
      </c>
      <c r="F153" s="71" t="s">
        <v>2085</v>
      </c>
      <c r="G153" s="71" t="s">
        <v>733</v>
      </c>
      <c r="H153" s="73">
        <v>45757</v>
      </c>
      <c r="I153" s="71" t="s">
        <v>35</v>
      </c>
      <c r="J153" s="71" t="s">
        <v>32</v>
      </c>
      <c r="K153" s="55">
        <v>625</v>
      </c>
    </row>
    <row r="154" spans="1:11" x14ac:dyDescent="0.35">
      <c r="A154" s="71">
        <v>7457</v>
      </c>
      <c r="B154" s="71" t="s">
        <v>1731</v>
      </c>
      <c r="C154" s="71">
        <v>5517</v>
      </c>
      <c r="D154" s="71" t="s">
        <v>363</v>
      </c>
      <c r="E154" s="71" t="s">
        <v>2099</v>
      </c>
      <c r="F154" s="71" t="s">
        <v>2085</v>
      </c>
      <c r="G154" s="71" t="s">
        <v>733</v>
      </c>
      <c r="H154" s="73">
        <v>45757</v>
      </c>
      <c r="I154" s="71" t="s">
        <v>9</v>
      </c>
      <c r="J154" s="71" t="s">
        <v>54</v>
      </c>
      <c r="K154" s="55">
        <v>625</v>
      </c>
    </row>
    <row r="155" spans="1:11" x14ac:dyDescent="0.35">
      <c r="A155" s="71">
        <v>7462</v>
      </c>
      <c r="B155" s="71" t="s">
        <v>628</v>
      </c>
      <c r="C155" s="71">
        <v>5517</v>
      </c>
      <c r="D155" s="71" t="s">
        <v>363</v>
      </c>
      <c r="E155" s="71" t="s">
        <v>2099</v>
      </c>
      <c r="F155" s="71" t="s">
        <v>2085</v>
      </c>
      <c r="G155" s="71" t="s">
        <v>733</v>
      </c>
      <c r="H155" s="73">
        <v>45757</v>
      </c>
      <c r="I155" s="71" t="s">
        <v>53</v>
      </c>
      <c r="J155" s="71" t="s">
        <v>74</v>
      </c>
      <c r="K155" s="55">
        <v>625</v>
      </c>
    </row>
    <row r="156" spans="1:11" x14ac:dyDescent="0.35">
      <c r="A156" s="71">
        <v>7656</v>
      </c>
      <c r="B156" s="71" t="s">
        <v>25</v>
      </c>
      <c r="C156" s="71">
        <v>5517</v>
      </c>
      <c r="D156" s="71" t="s">
        <v>363</v>
      </c>
      <c r="E156" s="71" t="s">
        <v>2099</v>
      </c>
      <c r="F156" s="71" t="s">
        <v>2085</v>
      </c>
      <c r="G156" s="71" t="s">
        <v>733</v>
      </c>
      <c r="H156" s="73">
        <v>45757</v>
      </c>
      <c r="I156" s="71" t="s">
        <v>21</v>
      </c>
      <c r="J156" s="71" t="s">
        <v>10</v>
      </c>
      <c r="K156" s="55">
        <v>625</v>
      </c>
    </row>
    <row r="157" spans="1:11" x14ac:dyDescent="0.35">
      <c r="A157" s="71">
        <v>7512</v>
      </c>
      <c r="B157" s="71" t="s">
        <v>646</v>
      </c>
      <c r="C157" s="71">
        <v>5517</v>
      </c>
      <c r="D157" s="71" t="s">
        <v>363</v>
      </c>
      <c r="E157" s="71" t="s">
        <v>2099</v>
      </c>
      <c r="F157" s="71" t="s">
        <v>2085</v>
      </c>
      <c r="G157" s="71" t="s">
        <v>733</v>
      </c>
      <c r="H157" s="73">
        <v>45757</v>
      </c>
      <c r="I157" s="71" t="s">
        <v>9</v>
      </c>
      <c r="J157" s="71" t="s">
        <v>10</v>
      </c>
      <c r="K157" s="55">
        <v>625</v>
      </c>
    </row>
    <row r="158" spans="1:11" x14ac:dyDescent="0.35">
      <c r="A158" s="71">
        <v>7811</v>
      </c>
      <c r="B158" s="71" t="s">
        <v>355</v>
      </c>
      <c r="C158" s="71">
        <v>4496</v>
      </c>
      <c r="D158" s="71" t="s">
        <v>655</v>
      </c>
      <c r="E158" s="71" t="s">
        <v>2100</v>
      </c>
      <c r="F158" s="71" t="s">
        <v>2085</v>
      </c>
      <c r="G158" s="71" t="s">
        <v>733</v>
      </c>
      <c r="H158" s="73">
        <v>45757</v>
      </c>
      <c r="I158" s="71" t="s">
        <v>21</v>
      </c>
      <c r="J158" s="71" t="s">
        <v>10</v>
      </c>
      <c r="K158" s="55">
        <v>830</v>
      </c>
    </row>
    <row r="159" spans="1:11" x14ac:dyDescent="0.35">
      <c r="A159" s="71">
        <v>7889</v>
      </c>
      <c r="B159" s="71" t="s">
        <v>2092</v>
      </c>
      <c r="C159" s="71">
        <v>4496</v>
      </c>
      <c r="D159" s="71" t="s">
        <v>655</v>
      </c>
      <c r="E159" s="71" t="s">
        <v>2100</v>
      </c>
      <c r="F159" s="71" t="s">
        <v>2085</v>
      </c>
      <c r="G159" s="71" t="s">
        <v>733</v>
      </c>
      <c r="H159" s="73">
        <v>45757</v>
      </c>
      <c r="I159" s="71" t="s">
        <v>21</v>
      </c>
      <c r="J159" s="71" t="s">
        <v>10</v>
      </c>
      <c r="K159" s="55">
        <v>830</v>
      </c>
    </row>
    <row r="160" spans="1:11" x14ac:dyDescent="0.35">
      <c r="A160" s="71">
        <v>7517</v>
      </c>
      <c r="B160" s="71" t="s">
        <v>108</v>
      </c>
      <c r="C160" s="71">
        <v>4496</v>
      </c>
      <c r="D160" s="71" t="s">
        <v>655</v>
      </c>
      <c r="E160" s="71" t="s">
        <v>2100</v>
      </c>
      <c r="F160" s="71" t="s">
        <v>2085</v>
      </c>
      <c r="G160" s="71" t="s">
        <v>733</v>
      </c>
      <c r="H160" s="73">
        <v>45757</v>
      </c>
      <c r="I160" s="71" t="s">
        <v>9</v>
      </c>
      <c r="J160" s="71" t="s">
        <v>10</v>
      </c>
      <c r="K160" s="55">
        <v>830</v>
      </c>
    </row>
    <row r="161" spans="1:11" x14ac:dyDescent="0.35">
      <c r="A161" s="71">
        <v>7024</v>
      </c>
      <c r="B161" s="71" t="s">
        <v>362</v>
      </c>
      <c r="C161" s="71">
        <v>4496</v>
      </c>
      <c r="D161" s="71" t="s">
        <v>655</v>
      </c>
      <c r="E161" s="71" t="s">
        <v>2100</v>
      </c>
      <c r="F161" s="71" t="s">
        <v>2085</v>
      </c>
      <c r="G161" s="71" t="s">
        <v>733</v>
      </c>
      <c r="H161" s="73">
        <v>45757</v>
      </c>
      <c r="I161" s="71" t="s">
        <v>9</v>
      </c>
      <c r="J161" s="71" t="s">
        <v>10</v>
      </c>
      <c r="K161" s="55">
        <v>830</v>
      </c>
    </row>
    <row r="162" spans="1:11" x14ac:dyDescent="0.35">
      <c r="A162" s="71">
        <v>7808</v>
      </c>
      <c r="B162" s="71" t="s">
        <v>177</v>
      </c>
      <c r="C162" s="71">
        <v>4496</v>
      </c>
      <c r="D162" s="71" t="s">
        <v>655</v>
      </c>
      <c r="E162" s="71" t="s">
        <v>2100</v>
      </c>
      <c r="F162" s="71" t="s">
        <v>2085</v>
      </c>
      <c r="G162" s="71" t="s">
        <v>733</v>
      </c>
      <c r="H162" s="73">
        <v>45757</v>
      </c>
      <c r="I162" s="71" t="s">
        <v>21</v>
      </c>
      <c r="J162" s="71" t="s">
        <v>10</v>
      </c>
      <c r="K162" s="55">
        <v>830</v>
      </c>
    </row>
    <row r="163" spans="1:11" x14ac:dyDescent="0.35">
      <c r="A163" s="71">
        <v>6289</v>
      </c>
      <c r="B163" s="71" t="s">
        <v>641</v>
      </c>
      <c r="C163" s="71">
        <v>4496</v>
      </c>
      <c r="D163" s="71" t="s">
        <v>655</v>
      </c>
      <c r="E163" s="71" t="s">
        <v>2100</v>
      </c>
      <c r="F163" s="71" t="s">
        <v>2085</v>
      </c>
      <c r="G163" s="71" t="s">
        <v>733</v>
      </c>
      <c r="H163" s="73">
        <v>45757</v>
      </c>
      <c r="I163" s="71" t="s">
        <v>9</v>
      </c>
      <c r="J163" s="71" t="s">
        <v>10</v>
      </c>
      <c r="K163" s="55">
        <v>830</v>
      </c>
    </row>
    <row r="164" spans="1:11" x14ac:dyDescent="0.35">
      <c r="A164" s="71">
        <v>5546</v>
      </c>
      <c r="B164" s="71" t="s">
        <v>466</v>
      </c>
      <c r="C164" s="71">
        <v>4496</v>
      </c>
      <c r="D164" s="71" t="s">
        <v>655</v>
      </c>
      <c r="E164" s="71" t="s">
        <v>2100</v>
      </c>
      <c r="F164" s="71" t="s">
        <v>2085</v>
      </c>
      <c r="G164" s="71" t="s">
        <v>733</v>
      </c>
      <c r="H164" s="73">
        <v>45757</v>
      </c>
      <c r="I164" s="71" t="s">
        <v>35</v>
      </c>
      <c r="J164" s="71" t="s">
        <v>32</v>
      </c>
      <c r="K164" s="55">
        <v>830</v>
      </c>
    </row>
    <row r="165" spans="1:11" x14ac:dyDescent="0.35">
      <c r="A165" s="71">
        <v>7748</v>
      </c>
      <c r="B165" s="71" t="s">
        <v>342</v>
      </c>
      <c r="C165" s="71">
        <v>4496</v>
      </c>
      <c r="D165" s="71" t="s">
        <v>655</v>
      </c>
      <c r="E165" s="71" t="s">
        <v>2100</v>
      </c>
      <c r="F165" s="71" t="s">
        <v>2085</v>
      </c>
      <c r="G165" s="71" t="s">
        <v>733</v>
      </c>
      <c r="H165" s="73">
        <v>45757</v>
      </c>
      <c r="I165" s="71" t="s">
        <v>9</v>
      </c>
      <c r="J165" s="71" t="s">
        <v>10</v>
      </c>
      <c r="K165" s="55">
        <v>830</v>
      </c>
    </row>
    <row r="166" spans="1:11" x14ac:dyDescent="0.35">
      <c r="A166" s="71">
        <v>4068</v>
      </c>
      <c r="B166" s="71" t="s">
        <v>178</v>
      </c>
      <c r="C166" s="71">
        <v>4496</v>
      </c>
      <c r="D166" s="71" t="s">
        <v>655</v>
      </c>
      <c r="E166" s="71" t="s">
        <v>2100</v>
      </c>
      <c r="F166" s="71" t="s">
        <v>2085</v>
      </c>
      <c r="G166" s="71" t="s">
        <v>733</v>
      </c>
      <c r="H166" s="73">
        <v>45757</v>
      </c>
      <c r="I166" s="71" t="s">
        <v>9</v>
      </c>
      <c r="J166" s="71" t="s">
        <v>54</v>
      </c>
      <c r="K166" s="55">
        <v>830</v>
      </c>
    </row>
    <row r="167" spans="1:11" x14ac:dyDescent="0.35">
      <c r="A167" s="71">
        <v>7653</v>
      </c>
      <c r="B167" s="71" t="s">
        <v>694</v>
      </c>
      <c r="C167" s="71">
        <v>4496</v>
      </c>
      <c r="D167" s="71" t="s">
        <v>655</v>
      </c>
      <c r="E167" s="71" t="s">
        <v>2100</v>
      </c>
      <c r="F167" s="71" t="s">
        <v>2085</v>
      </c>
      <c r="G167" s="71" t="s">
        <v>733</v>
      </c>
      <c r="H167" s="73">
        <v>45757</v>
      </c>
      <c r="I167" s="71" t="s">
        <v>9</v>
      </c>
      <c r="J167" s="71" t="s">
        <v>54</v>
      </c>
      <c r="K167" s="55">
        <v>830</v>
      </c>
    </row>
    <row r="168" spans="1:11" x14ac:dyDescent="0.35">
      <c r="A168" s="71">
        <v>6481</v>
      </c>
      <c r="B168" s="71" t="s">
        <v>126</v>
      </c>
      <c r="C168" s="71">
        <v>4496</v>
      </c>
      <c r="D168" s="71" t="s">
        <v>655</v>
      </c>
      <c r="E168" s="71" t="s">
        <v>2100</v>
      </c>
      <c r="F168" s="71" t="s">
        <v>2085</v>
      </c>
      <c r="G168" s="71" t="s">
        <v>733</v>
      </c>
      <c r="H168" s="73">
        <v>45757</v>
      </c>
      <c r="I168" s="71" t="s">
        <v>21</v>
      </c>
      <c r="J168" s="71" t="s">
        <v>10</v>
      </c>
      <c r="K168" s="55">
        <v>830</v>
      </c>
    </row>
    <row r="169" spans="1:11" x14ac:dyDescent="0.35">
      <c r="A169" s="71">
        <v>2826</v>
      </c>
      <c r="B169" s="71" t="s">
        <v>169</v>
      </c>
      <c r="C169" s="71">
        <v>4496</v>
      </c>
      <c r="D169" s="71" t="s">
        <v>655</v>
      </c>
      <c r="E169" s="71" t="s">
        <v>2100</v>
      </c>
      <c r="F169" s="71" t="s">
        <v>2085</v>
      </c>
      <c r="G169" s="71" t="s">
        <v>733</v>
      </c>
      <c r="H169" s="73">
        <v>45757</v>
      </c>
      <c r="I169" s="71" t="s">
        <v>9</v>
      </c>
      <c r="J169" s="71" t="s">
        <v>54</v>
      </c>
      <c r="K169" s="55">
        <v>830</v>
      </c>
    </row>
    <row r="170" spans="1:11" x14ac:dyDescent="0.35">
      <c r="A170" s="71">
        <v>7301</v>
      </c>
      <c r="B170" s="71" t="s">
        <v>2093</v>
      </c>
      <c r="C170" s="71">
        <v>5108</v>
      </c>
      <c r="D170" s="71" t="s">
        <v>1748</v>
      </c>
      <c r="E170" s="71" t="s">
        <v>2101</v>
      </c>
      <c r="F170" s="71" t="s">
        <v>2085</v>
      </c>
      <c r="G170" s="71" t="s">
        <v>733</v>
      </c>
      <c r="H170" s="73">
        <v>45755</v>
      </c>
      <c r="I170" s="71" t="s">
        <v>53</v>
      </c>
      <c r="J170" s="71" t="s">
        <v>54</v>
      </c>
      <c r="K170" s="55">
        <v>1000</v>
      </c>
    </row>
    <row r="171" spans="1:11" x14ac:dyDescent="0.35">
      <c r="A171" s="71">
        <v>4901</v>
      </c>
      <c r="B171" s="71" t="s">
        <v>1785</v>
      </c>
      <c r="C171" s="71">
        <v>5108</v>
      </c>
      <c r="D171" s="71" t="s">
        <v>1748</v>
      </c>
      <c r="E171" s="71" t="s">
        <v>2101</v>
      </c>
      <c r="F171" s="71" t="s">
        <v>2085</v>
      </c>
      <c r="G171" s="71" t="s">
        <v>733</v>
      </c>
      <c r="H171" s="73">
        <v>45755</v>
      </c>
      <c r="I171" s="71" t="s">
        <v>53</v>
      </c>
      <c r="J171" s="71" t="s">
        <v>54</v>
      </c>
      <c r="K171" s="55">
        <v>1000</v>
      </c>
    </row>
    <row r="172" spans="1:11" x14ac:dyDescent="0.35">
      <c r="A172" s="71">
        <v>7101</v>
      </c>
      <c r="B172" s="71" t="s">
        <v>619</v>
      </c>
      <c r="C172" s="71">
        <v>5108</v>
      </c>
      <c r="D172" s="71" t="s">
        <v>1748</v>
      </c>
      <c r="E172" s="71" t="s">
        <v>2101</v>
      </c>
      <c r="F172" s="71" t="s">
        <v>2085</v>
      </c>
      <c r="G172" s="71" t="s">
        <v>733</v>
      </c>
      <c r="H172" s="73">
        <v>45755</v>
      </c>
      <c r="I172" s="71" t="s">
        <v>53</v>
      </c>
      <c r="J172" s="71" t="s">
        <v>251</v>
      </c>
      <c r="K172" s="55">
        <v>1000</v>
      </c>
    </row>
    <row r="173" spans="1:11" x14ac:dyDescent="0.35">
      <c r="A173" s="71">
        <v>4174</v>
      </c>
      <c r="B173" s="71" t="s">
        <v>620</v>
      </c>
      <c r="C173" s="71">
        <v>5108</v>
      </c>
      <c r="D173" s="71" t="s">
        <v>1748</v>
      </c>
      <c r="E173" s="71" t="s">
        <v>2101</v>
      </c>
      <c r="F173" s="71" t="s">
        <v>2085</v>
      </c>
      <c r="G173" s="71" t="s">
        <v>733</v>
      </c>
      <c r="H173" s="73">
        <v>45755</v>
      </c>
      <c r="I173" s="71" t="s">
        <v>53</v>
      </c>
      <c r="J173" s="71" t="s">
        <v>32</v>
      </c>
      <c r="K173" s="55">
        <v>1000</v>
      </c>
    </row>
    <row r="174" spans="1:11" x14ac:dyDescent="0.35">
      <c r="A174" s="71">
        <v>2199</v>
      </c>
      <c r="B174" s="71" t="s">
        <v>854</v>
      </c>
      <c r="C174" s="71">
        <v>5108</v>
      </c>
      <c r="D174" s="71" t="s">
        <v>1748</v>
      </c>
      <c r="E174" s="71" t="s">
        <v>2101</v>
      </c>
      <c r="F174" s="71" t="s">
        <v>2085</v>
      </c>
      <c r="G174" s="71" t="s">
        <v>733</v>
      </c>
      <c r="H174" s="73">
        <v>45755</v>
      </c>
      <c r="I174" s="71" t="s">
        <v>53</v>
      </c>
      <c r="J174" s="71" t="s">
        <v>54</v>
      </c>
      <c r="K174" s="55">
        <v>1000</v>
      </c>
    </row>
    <row r="175" spans="1:11" x14ac:dyDescent="0.35">
      <c r="A175" s="71">
        <v>7614</v>
      </c>
      <c r="B175" s="71" t="s">
        <v>2094</v>
      </c>
      <c r="C175" s="71">
        <v>5108</v>
      </c>
      <c r="D175" s="71" t="s">
        <v>1748</v>
      </c>
      <c r="E175" s="71" t="s">
        <v>2101</v>
      </c>
      <c r="F175" s="71" t="s">
        <v>2085</v>
      </c>
      <c r="G175" s="71" t="s">
        <v>733</v>
      </c>
      <c r="H175" s="73">
        <v>45755</v>
      </c>
      <c r="I175" s="71" t="s">
        <v>16</v>
      </c>
      <c r="J175" s="71" t="s">
        <v>54</v>
      </c>
      <c r="K175" s="55">
        <v>1000</v>
      </c>
    </row>
    <row r="176" spans="1:11" x14ac:dyDescent="0.35">
      <c r="A176" s="71">
        <v>6721</v>
      </c>
      <c r="B176" s="71" t="s">
        <v>170</v>
      </c>
      <c r="C176" s="71">
        <v>5108</v>
      </c>
      <c r="D176" s="71" t="s">
        <v>1748</v>
      </c>
      <c r="E176" s="71" t="s">
        <v>2101</v>
      </c>
      <c r="F176" s="71" t="s">
        <v>2085</v>
      </c>
      <c r="G176" s="71" t="s">
        <v>733</v>
      </c>
      <c r="H176" s="73">
        <v>45755</v>
      </c>
      <c r="I176" s="71" t="s">
        <v>53</v>
      </c>
      <c r="J176" s="71" t="s">
        <v>54</v>
      </c>
      <c r="K176" s="55">
        <v>1000</v>
      </c>
    </row>
    <row r="177" spans="1:11" x14ac:dyDescent="0.35">
      <c r="A177" s="71">
        <v>2214</v>
      </c>
      <c r="B177" s="71" t="s">
        <v>811</v>
      </c>
      <c r="C177" s="71">
        <v>5108</v>
      </c>
      <c r="D177" s="71" t="s">
        <v>1748</v>
      </c>
      <c r="E177" s="71" t="s">
        <v>2101</v>
      </c>
      <c r="F177" s="71" t="s">
        <v>2085</v>
      </c>
      <c r="G177" s="71" t="s">
        <v>733</v>
      </c>
      <c r="H177" s="73">
        <v>45755</v>
      </c>
      <c r="I177" s="71" t="s">
        <v>53</v>
      </c>
      <c r="J177" s="71" t="s">
        <v>54</v>
      </c>
      <c r="K177" s="55">
        <v>1000</v>
      </c>
    </row>
    <row r="178" spans="1:11" x14ac:dyDescent="0.35">
      <c r="A178" s="71">
        <v>5070</v>
      </c>
      <c r="B178" s="71" t="s">
        <v>822</v>
      </c>
      <c r="C178" s="71">
        <v>5108</v>
      </c>
      <c r="D178" s="71" t="s">
        <v>1748</v>
      </c>
      <c r="E178" s="71" t="s">
        <v>2101</v>
      </c>
      <c r="F178" s="71" t="s">
        <v>2085</v>
      </c>
      <c r="G178" s="71" t="s">
        <v>733</v>
      </c>
      <c r="H178" s="73">
        <v>45755</v>
      </c>
      <c r="I178" s="71" t="s">
        <v>53</v>
      </c>
      <c r="J178" s="71" t="s">
        <v>54</v>
      </c>
      <c r="K178" s="55">
        <v>1000</v>
      </c>
    </row>
    <row r="179" spans="1:11" x14ac:dyDescent="0.35">
      <c r="A179" s="71">
        <v>7029</v>
      </c>
      <c r="B179" s="71" t="s">
        <v>171</v>
      </c>
      <c r="C179" s="71">
        <v>5108</v>
      </c>
      <c r="D179" s="71" t="s">
        <v>1748</v>
      </c>
      <c r="E179" s="71" t="s">
        <v>2101</v>
      </c>
      <c r="F179" s="71" t="s">
        <v>2085</v>
      </c>
      <c r="G179" s="71" t="s">
        <v>733</v>
      </c>
      <c r="H179" s="73">
        <v>45755</v>
      </c>
      <c r="I179" s="71" t="s">
        <v>53</v>
      </c>
      <c r="J179" s="71" t="s">
        <v>54</v>
      </c>
      <c r="K179" s="55">
        <v>1000</v>
      </c>
    </row>
    <row r="180" spans="1:11" x14ac:dyDescent="0.35">
      <c r="A180" s="71">
        <v>4919</v>
      </c>
      <c r="B180" s="71" t="s">
        <v>705</v>
      </c>
      <c r="C180" s="71">
        <v>7400</v>
      </c>
      <c r="D180" s="71" t="s">
        <v>487</v>
      </c>
      <c r="E180" s="71" t="s">
        <v>2102</v>
      </c>
      <c r="F180" s="71" t="s">
        <v>2085</v>
      </c>
      <c r="G180" s="71" t="s">
        <v>733</v>
      </c>
      <c r="H180" s="73">
        <v>45755</v>
      </c>
      <c r="I180" s="71" t="s">
        <v>53</v>
      </c>
      <c r="J180" s="71" t="s">
        <v>32</v>
      </c>
      <c r="K180" s="55">
        <v>665</v>
      </c>
    </row>
    <row r="181" spans="1:11" x14ac:dyDescent="0.35">
      <c r="A181" s="71">
        <v>1313</v>
      </c>
      <c r="B181" s="71" t="s">
        <v>61</v>
      </c>
      <c r="C181" s="71">
        <v>7400</v>
      </c>
      <c r="D181" s="71" t="s">
        <v>487</v>
      </c>
      <c r="E181" s="71" t="s">
        <v>2102</v>
      </c>
      <c r="F181" s="71" t="s">
        <v>2085</v>
      </c>
      <c r="G181" s="71" t="s">
        <v>733</v>
      </c>
      <c r="H181" s="73">
        <v>45755</v>
      </c>
      <c r="I181" s="71" t="s">
        <v>53</v>
      </c>
      <c r="J181" s="71" t="s">
        <v>54</v>
      </c>
      <c r="K181" s="55">
        <v>665</v>
      </c>
    </row>
    <row r="182" spans="1:11" x14ac:dyDescent="0.35">
      <c r="A182" s="71">
        <v>1754</v>
      </c>
      <c r="B182" s="71" t="s">
        <v>706</v>
      </c>
      <c r="C182" s="71">
        <v>7400</v>
      </c>
      <c r="D182" s="71" t="s">
        <v>487</v>
      </c>
      <c r="E182" s="71" t="s">
        <v>2102</v>
      </c>
      <c r="F182" s="71" t="s">
        <v>2085</v>
      </c>
      <c r="G182" s="71" t="s">
        <v>733</v>
      </c>
      <c r="H182" s="73">
        <v>45755</v>
      </c>
      <c r="I182" s="71" t="s">
        <v>53</v>
      </c>
      <c r="J182" s="71" t="s">
        <v>10</v>
      </c>
      <c r="K182" s="55">
        <v>665</v>
      </c>
    </row>
    <row r="183" spans="1:11" x14ac:dyDescent="0.35">
      <c r="A183" s="71">
        <v>3964</v>
      </c>
      <c r="B183" s="71" t="s">
        <v>734</v>
      </c>
      <c r="C183" s="71">
        <v>7400</v>
      </c>
      <c r="D183" s="71" t="s">
        <v>487</v>
      </c>
      <c r="E183" s="71" t="s">
        <v>2102</v>
      </c>
      <c r="F183" s="71" t="s">
        <v>2085</v>
      </c>
      <c r="G183" s="71" t="s">
        <v>733</v>
      </c>
      <c r="H183" s="73">
        <v>45755</v>
      </c>
      <c r="I183" s="71" t="s">
        <v>53</v>
      </c>
      <c r="J183" s="71" t="s">
        <v>54</v>
      </c>
      <c r="K183" s="55">
        <v>665</v>
      </c>
    </row>
    <row r="184" spans="1:11" x14ac:dyDescent="0.35">
      <c r="A184" s="71">
        <v>3941</v>
      </c>
      <c r="B184" s="71" t="s">
        <v>441</v>
      </c>
      <c r="C184" s="71">
        <v>7400</v>
      </c>
      <c r="D184" s="71" t="s">
        <v>487</v>
      </c>
      <c r="E184" s="71" t="s">
        <v>2102</v>
      </c>
      <c r="F184" s="71" t="s">
        <v>2085</v>
      </c>
      <c r="G184" s="71" t="s">
        <v>733</v>
      </c>
      <c r="H184" s="73">
        <v>45755</v>
      </c>
      <c r="I184" s="71" t="s">
        <v>40</v>
      </c>
      <c r="J184" s="71" t="s">
        <v>32</v>
      </c>
      <c r="K184" s="55">
        <v>665</v>
      </c>
    </row>
    <row r="185" spans="1:11" x14ac:dyDescent="0.35">
      <c r="A185" s="71">
        <v>2038</v>
      </c>
      <c r="B185" s="71" t="s">
        <v>291</v>
      </c>
      <c r="C185" s="71">
        <v>7400</v>
      </c>
      <c r="D185" s="71" t="s">
        <v>487</v>
      </c>
      <c r="E185" s="71" t="s">
        <v>2102</v>
      </c>
      <c r="F185" s="71" t="s">
        <v>2085</v>
      </c>
      <c r="G185" s="71" t="s">
        <v>733</v>
      </c>
      <c r="H185" s="73">
        <v>45755</v>
      </c>
      <c r="I185" s="71" t="s">
        <v>16</v>
      </c>
      <c r="J185" s="71" t="s">
        <v>54</v>
      </c>
      <c r="K185" s="55">
        <v>665</v>
      </c>
    </row>
    <row r="186" spans="1:11" x14ac:dyDescent="0.35">
      <c r="A186" s="71">
        <v>1945</v>
      </c>
      <c r="B186" s="71" t="s">
        <v>110</v>
      </c>
      <c r="C186" s="71">
        <v>7400</v>
      </c>
      <c r="D186" s="71" t="s">
        <v>487</v>
      </c>
      <c r="E186" s="71" t="s">
        <v>2102</v>
      </c>
      <c r="F186" s="71" t="s">
        <v>2085</v>
      </c>
      <c r="G186" s="71" t="s">
        <v>733</v>
      </c>
      <c r="H186" s="73">
        <v>45755</v>
      </c>
      <c r="I186" s="71" t="s">
        <v>16</v>
      </c>
      <c r="J186" s="71" t="s">
        <v>54</v>
      </c>
      <c r="K186" s="55">
        <v>665</v>
      </c>
    </row>
    <row r="187" spans="1:11" x14ac:dyDescent="0.35">
      <c r="A187" s="71">
        <v>7528</v>
      </c>
      <c r="B187" s="71" t="s">
        <v>273</v>
      </c>
      <c r="C187" s="71">
        <v>7400</v>
      </c>
      <c r="D187" s="71" t="s">
        <v>487</v>
      </c>
      <c r="E187" s="71" t="s">
        <v>2102</v>
      </c>
      <c r="F187" s="71" t="s">
        <v>2085</v>
      </c>
      <c r="G187" s="71" t="s">
        <v>733</v>
      </c>
      <c r="H187" s="73">
        <v>45755</v>
      </c>
      <c r="I187" s="71" t="s">
        <v>40</v>
      </c>
      <c r="J187" s="71" t="s">
        <v>32</v>
      </c>
      <c r="K187" s="55">
        <v>665</v>
      </c>
    </row>
    <row r="188" spans="1:11" x14ac:dyDescent="0.35">
      <c r="A188" s="71">
        <v>2199</v>
      </c>
      <c r="B188" s="71" t="s">
        <v>854</v>
      </c>
      <c r="C188" s="71">
        <v>7400</v>
      </c>
      <c r="D188" s="71" t="s">
        <v>487</v>
      </c>
      <c r="E188" s="71" t="s">
        <v>2102</v>
      </c>
      <c r="F188" s="71" t="s">
        <v>2085</v>
      </c>
      <c r="G188" s="71" t="s">
        <v>733</v>
      </c>
      <c r="H188" s="73">
        <v>45755</v>
      </c>
      <c r="I188" s="71" t="s">
        <v>53</v>
      </c>
      <c r="J188" s="71" t="s">
        <v>54</v>
      </c>
      <c r="K188" s="55">
        <v>665</v>
      </c>
    </row>
    <row r="189" spans="1:11" x14ac:dyDescent="0.35">
      <c r="A189" s="71">
        <v>7890</v>
      </c>
      <c r="B189" s="71" t="s">
        <v>2095</v>
      </c>
      <c r="C189" s="71">
        <v>7400</v>
      </c>
      <c r="D189" s="71" t="s">
        <v>487</v>
      </c>
      <c r="E189" s="71" t="s">
        <v>2102</v>
      </c>
      <c r="F189" s="71" t="s">
        <v>2085</v>
      </c>
      <c r="G189" s="71" t="s">
        <v>733</v>
      </c>
      <c r="H189" s="73">
        <v>45755</v>
      </c>
      <c r="I189" s="71" t="s">
        <v>40</v>
      </c>
      <c r="J189" s="71" t="s">
        <v>32</v>
      </c>
      <c r="K189" s="55">
        <v>665</v>
      </c>
    </row>
    <row r="190" spans="1:11" x14ac:dyDescent="0.35">
      <c r="A190" s="71">
        <v>4376</v>
      </c>
      <c r="B190" s="71" t="s">
        <v>684</v>
      </c>
      <c r="C190" s="71">
        <v>7400</v>
      </c>
      <c r="D190" s="71" t="s">
        <v>487</v>
      </c>
      <c r="E190" s="71" t="s">
        <v>2102</v>
      </c>
      <c r="F190" s="71" t="s">
        <v>2085</v>
      </c>
      <c r="G190" s="71" t="s">
        <v>733</v>
      </c>
      <c r="H190" s="73">
        <v>45755</v>
      </c>
      <c r="I190" s="71" t="s">
        <v>53</v>
      </c>
      <c r="J190" s="71" t="s">
        <v>54</v>
      </c>
      <c r="K190" s="55">
        <v>665</v>
      </c>
    </row>
    <row r="191" spans="1:11" x14ac:dyDescent="0.35">
      <c r="A191" s="71">
        <v>3079</v>
      </c>
      <c r="B191" s="71" t="s">
        <v>2096</v>
      </c>
      <c r="C191" s="71">
        <v>7400</v>
      </c>
      <c r="D191" s="71" t="s">
        <v>487</v>
      </c>
      <c r="E191" s="71" t="s">
        <v>2102</v>
      </c>
      <c r="F191" s="71" t="s">
        <v>2085</v>
      </c>
      <c r="G191" s="71" t="s">
        <v>733</v>
      </c>
      <c r="H191" s="73">
        <v>45755</v>
      </c>
      <c r="I191" s="71" t="s">
        <v>24</v>
      </c>
      <c r="J191" s="71" t="s">
        <v>10</v>
      </c>
      <c r="K191" s="55">
        <v>665</v>
      </c>
    </row>
    <row r="192" spans="1:11" x14ac:dyDescent="0.35">
      <c r="A192" s="71">
        <v>1590</v>
      </c>
      <c r="B192" s="71" t="s">
        <v>2097</v>
      </c>
      <c r="C192" s="71">
        <v>7400</v>
      </c>
      <c r="D192" s="71" t="s">
        <v>487</v>
      </c>
      <c r="E192" s="71" t="s">
        <v>2102</v>
      </c>
      <c r="F192" s="71" t="s">
        <v>2085</v>
      </c>
      <c r="G192" s="71" t="s">
        <v>733</v>
      </c>
      <c r="H192" s="73">
        <v>45755</v>
      </c>
      <c r="I192" s="71" t="s">
        <v>53</v>
      </c>
      <c r="J192" s="71" t="s">
        <v>54</v>
      </c>
      <c r="K192" s="55">
        <v>665</v>
      </c>
    </row>
    <row r="193" spans="1:11" x14ac:dyDescent="0.35">
      <c r="A193" s="71">
        <v>2298</v>
      </c>
      <c r="B193" s="71" t="s">
        <v>749</v>
      </c>
      <c r="C193" s="71">
        <v>7400</v>
      </c>
      <c r="D193" s="71" t="s">
        <v>487</v>
      </c>
      <c r="E193" s="71" t="s">
        <v>2102</v>
      </c>
      <c r="F193" s="71" t="s">
        <v>2085</v>
      </c>
      <c r="G193" s="71" t="s">
        <v>733</v>
      </c>
      <c r="H193" s="73">
        <v>45755</v>
      </c>
      <c r="I193" s="71" t="s">
        <v>53</v>
      </c>
      <c r="J193" s="71" t="s">
        <v>54</v>
      </c>
      <c r="K193" s="55">
        <v>665</v>
      </c>
    </row>
    <row r="194" spans="1:11" x14ac:dyDescent="0.35">
      <c r="A194" s="71">
        <v>3902</v>
      </c>
      <c r="B194" s="71" t="s">
        <v>768</v>
      </c>
      <c r="C194" s="71">
        <v>7400</v>
      </c>
      <c r="D194" s="71" t="s">
        <v>487</v>
      </c>
      <c r="E194" s="71" t="s">
        <v>2102</v>
      </c>
      <c r="F194" s="71" t="s">
        <v>2085</v>
      </c>
      <c r="G194" s="71" t="s">
        <v>733</v>
      </c>
      <c r="H194" s="73">
        <v>45755</v>
      </c>
      <c r="I194" s="71" t="s">
        <v>40</v>
      </c>
      <c r="J194" s="71" t="s">
        <v>32</v>
      </c>
      <c r="K194" s="55">
        <v>665</v>
      </c>
    </row>
    <row r="195" spans="1:11" x14ac:dyDescent="0.35">
      <c r="A195" s="71">
        <v>2756</v>
      </c>
      <c r="B195" s="71" t="s">
        <v>686</v>
      </c>
      <c r="C195" s="71"/>
      <c r="D195" s="71" t="s">
        <v>655</v>
      </c>
      <c r="E195" s="71" t="s">
        <v>2530</v>
      </c>
      <c r="F195" s="62" t="s">
        <v>2497</v>
      </c>
      <c r="G195" s="71" t="s">
        <v>733</v>
      </c>
      <c r="H195" s="73">
        <v>45840</v>
      </c>
      <c r="I195" s="71" t="s">
        <v>35</v>
      </c>
      <c r="J195" s="71" t="s">
        <v>32</v>
      </c>
      <c r="K195" s="55">
        <v>310</v>
      </c>
    </row>
    <row r="196" spans="1:11" x14ac:dyDescent="0.35">
      <c r="A196" s="71">
        <v>6481</v>
      </c>
      <c r="B196" s="71" t="s">
        <v>126</v>
      </c>
      <c r="C196" s="71"/>
      <c r="D196" s="71" t="s">
        <v>655</v>
      </c>
      <c r="E196" s="71" t="s">
        <v>2530</v>
      </c>
      <c r="F196" s="62" t="s">
        <v>2497</v>
      </c>
      <c r="G196" s="71" t="s">
        <v>733</v>
      </c>
      <c r="H196" s="73">
        <v>45840</v>
      </c>
      <c r="I196" s="71" t="s">
        <v>21</v>
      </c>
      <c r="J196" s="71" t="s">
        <v>10</v>
      </c>
      <c r="K196" s="55">
        <v>310</v>
      </c>
    </row>
    <row r="197" spans="1:11" x14ac:dyDescent="0.35">
      <c r="A197" s="71">
        <v>7653</v>
      </c>
      <c r="B197" s="71" t="s">
        <v>694</v>
      </c>
      <c r="C197" s="71"/>
      <c r="D197" s="71" t="s">
        <v>655</v>
      </c>
      <c r="E197" s="71" t="s">
        <v>2530</v>
      </c>
      <c r="F197" s="62" t="s">
        <v>2497</v>
      </c>
      <c r="G197" s="71" t="s">
        <v>733</v>
      </c>
      <c r="H197" s="73">
        <v>45840</v>
      </c>
      <c r="I197" s="71" t="s">
        <v>9</v>
      </c>
      <c r="J197" s="71" t="s">
        <v>54</v>
      </c>
      <c r="K197" s="55">
        <v>310</v>
      </c>
    </row>
    <row r="198" spans="1:11" x14ac:dyDescent="0.35">
      <c r="A198" s="71">
        <v>2651</v>
      </c>
      <c r="B198" s="71" t="s">
        <v>295</v>
      </c>
      <c r="C198" s="71"/>
      <c r="D198" s="71" t="s">
        <v>655</v>
      </c>
      <c r="E198" s="71" t="s">
        <v>2530</v>
      </c>
      <c r="F198" s="62" t="s">
        <v>2497</v>
      </c>
      <c r="G198" s="71" t="s">
        <v>733</v>
      </c>
      <c r="H198" s="73">
        <v>45840</v>
      </c>
      <c r="I198" s="71" t="s">
        <v>35</v>
      </c>
      <c r="J198" s="71" t="s">
        <v>32</v>
      </c>
      <c r="K198" s="55">
        <v>310</v>
      </c>
    </row>
    <row r="199" spans="1:11" x14ac:dyDescent="0.35">
      <c r="A199" s="71">
        <v>2859</v>
      </c>
      <c r="B199" s="71" t="s">
        <v>1828</v>
      </c>
      <c r="C199" s="71"/>
      <c r="D199" s="71" t="s">
        <v>655</v>
      </c>
      <c r="E199" s="71" t="s">
        <v>2530</v>
      </c>
      <c r="F199" s="62" t="s">
        <v>2497</v>
      </c>
      <c r="G199" s="71" t="s">
        <v>733</v>
      </c>
      <c r="H199" s="73">
        <v>45840</v>
      </c>
      <c r="I199" s="71" t="s">
        <v>9</v>
      </c>
      <c r="J199" s="71" t="s">
        <v>54</v>
      </c>
      <c r="K199" s="55">
        <v>310</v>
      </c>
    </row>
    <row r="200" spans="1:11" x14ac:dyDescent="0.35">
      <c r="A200" s="71">
        <v>7212</v>
      </c>
      <c r="B200" s="71" t="s">
        <v>599</v>
      </c>
      <c r="C200" s="71"/>
      <c r="D200" s="71" t="s">
        <v>655</v>
      </c>
      <c r="E200" s="71" t="s">
        <v>2530</v>
      </c>
      <c r="F200" s="62" t="s">
        <v>2497</v>
      </c>
      <c r="G200" s="71" t="s">
        <v>733</v>
      </c>
      <c r="H200" s="73">
        <v>45840</v>
      </c>
      <c r="I200" s="71" t="s">
        <v>9</v>
      </c>
      <c r="J200" s="71" t="s">
        <v>54</v>
      </c>
      <c r="K200" s="55">
        <v>310</v>
      </c>
    </row>
    <row r="201" spans="1:11" x14ac:dyDescent="0.35">
      <c r="A201" s="71">
        <v>648</v>
      </c>
      <c r="B201" s="71" t="s">
        <v>484</v>
      </c>
      <c r="C201" s="71"/>
      <c r="D201" s="71" t="s">
        <v>655</v>
      </c>
      <c r="E201" s="71" t="s">
        <v>2530</v>
      </c>
      <c r="F201" s="62" t="s">
        <v>2497</v>
      </c>
      <c r="G201" s="71" t="s">
        <v>733</v>
      </c>
      <c r="H201" s="73">
        <v>45840</v>
      </c>
      <c r="I201" s="71" t="s">
        <v>16</v>
      </c>
      <c r="J201" s="71" t="s">
        <v>54</v>
      </c>
      <c r="K201" s="55">
        <v>310</v>
      </c>
    </row>
    <row r="202" spans="1:11" x14ac:dyDescent="0.35">
      <c r="A202" s="71">
        <v>7021</v>
      </c>
      <c r="B202" s="71" t="s">
        <v>69</v>
      </c>
      <c r="C202" s="71"/>
      <c r="D202" s="71" t="s">
        <v>655</v>
      </c>
      <c r="E202" s="71" t="s">
        <v>2530</v>
      </c>
      <c r="F202" s="62" t="s">
        <v>2497</v>
      </c>
      <c r="G202" s="71" t="s">
        <v>733</v>
      </c>
      <c r="H202" s="73">
        <v>45840</v>
      </c>
      <c r="I202" s="71" t="s">
        <v>16</v>
      </c>
      <c r="J202" s="71" t="s">
        <v>54</v>
      </c>
      <c r="K202" s="55">
        <v>310</v>
      </c>
    </row>
    <row r="203" spans="1:11" x14ac:dyDescent="0.35">
      <c r="A203" s="71">
        <v>2244</v>
      </c>
      <c r="B203" s="71" t="s">
        <v>416</v>
      </c>
      <c r="C203" s="71"/>
      <c r="D203" s="71" t="s">
        <v>655</v>
      </c>
      <c r="E203" s="71" t="s">
        <v>2530</v>
      </c>
      <c r="F203" s="62" t="s">
        <v>2497</v>
      </c>
      <c r="G203" s="71" t="s">
        <v>733</v>
      </c>
      <c r="H203" s="73">
        <v>45840</v>
      </c>
      <c r="I203" s="71" t="s">
        <v>53</v>
      </c>
      <c r="J203" s="71" t="s">
        <v>54</v>
      </c>
      <c r="K203" s="55">
        <v>310</v>
      </c>
    </row>
    <row r="204" spans="1:11" x14ac:dyDescent="0.35">
      <c r="A204" s="71">
        <v>7224</v>
      </c>
      <c r="B204" s="71" t="s">
        <v>360</v>
      </c>
      <c r="C204" s="71"/>
      <c r="D204" s="71" t="s">
        <v>655</v>
      </c>
      <c r="E204" s="71" t="s">
        <v>2530</v>
      </c>
      <c r="F204" s="62" t="s">
        <v>2497</v>
      </c>
      <c r="G204" s="71" t="s">
        <v>733</v>
      </c>
      <c r="H204" s="73">
        <v>45840</v>
      </c>
      <c r="I204" s="71" t="s">
        <v>21</v>
      </c>
      <c r="J204" s="71" t="s">
        <v>10</v>
      </c>
      <c r="K204" s="55">
        <v>310</v>
      </c>
    </row>
    <row r="205" spans="1:11" x14ac:dyDescent="0.35">
      <c r="A205" s="71">
        <v>1585</v>
      </c>
      <c r="B205" s="71" t="s">
        <v>258</v>
      </c>
      <c r="C205" s="71"/>
      <c r="D205" s="71" t="s">
        <v>655</v>
      </c>
      <c r="E205" s="71" t="s">
        <v>2530</v>
      </c>
      <c r="F205" s="62" t="s">
        <v>2497</v>
      </c>
      <c r="G205" s="71" t="s">
        <v>733</v>
      </c>
      <c r="H205" s="73">
        <v>45840</v>
      </c>
      <c r="I205" s="71" t="s">
        <v>53</v>
      </c>
      <c r="J205" s="71" t="s">
        <v>54</v>
      </c>
      <c r="K205" s="55">
        <v>310</v>
      </c>
    </row>
    <row r="206" spans="1:11" x14ac:dyDescent="0.35">
      <c r="A206" s="71">
        <v>7480</v>
      </c>
      <c r="B206" s="71" t="s">
        <v>409</v>
      </c>
      <c r="C206" s="71"/>
      <c r="D206" s="71" t="s">
        <v>655</v>
      </c>
      <c r="E206" s="71" t="s">
        <v>2530</v>
      </c>
      <c r="F206" s="62" t="s">
        <v>2497</v>
      </c>
      <c r="G206" s="71" t="s">
        <v>733</v>
      </c>
      <c r="H206" s="73">
        <v>45840</v>
      </c>
      <c r="I206" s="71" t="s">
        <v>9</v>
      </c>
      <c r="J206" s="71" t="s">
        <v>54</v>
      </c>
      <c r="K206" s="55">
        <v>310</v>
      </c>
    </row>
    <row r="207" spans="1:11" x14ac:dyDescent="0.35">
      <c r="A207" s="71">
        <v>3265</v>
      </c>
      <c r="B207" s="71" t="s">
        <v>305</v>
      </c>
      <c r="C207" s="71"/>
      <c r="D207" s="71" t="s">
        <v>655</v>
      </c>
      <c r="E207" s="71" t="s">
        <v>2530</v>
      </c>
      <c r="F207" s="62" t="s">
        <v>2497</v>
      </c>
      <c r="G207" s="71" t="s">
        <v>733</v>
      </c>
      <c r="H207" s="73">
        <v>45840</v>
      </c>
      <c r="I207" s="71" t="s">
        <v>24</v>
      </c>
      <c r="J207" s="71" t="s">
        <v>10</v>
      </c>
      <c r="K207" s="55">
        <v>310</v>
      </c>
    </row>
    <row r="208" spans="1:11" x14ac:dyDescent="0.35">
      <c r="A208" s="71">
        <v>7024</v>
      </c>
      <c r="B208" s="71" t="s">
        <v>362</v>
      </c>
      <c r="C208" s="71"/>
      <c r="D208" s="71" t="s">
        <v>655</v>
      </c>
      <c r="E208" s="71" t="s">
        <v>2530</v>
      </c>
      <c r="F208" s="62" t="s">
        <v>2497</v>
      </c>
      <c r="G208" s="71" t="s">
        <v>733</v>
      </c>
      <c r="H208" s="73">
        <v>45840</v>
      </c>
      <c r="I208" s="71" t="s">
        <v>9</v>
      </c>
      <c r="J208" s="71" t="s">
        <v>10</v>
      </c>
      <c r="K208" s="55">
        <v>310</v>
      </c>
    </row>
    <row r="209" spans="1:11" x14ac:dyDescent="0.35">
      <c r="A209" s="71">
        <v>7889</v>
      </c>
      <c r="B209" s="71" t="s">
        <v>2092</v>
      </c>
      <c r="C209" s="71"/>
      <c r="D209" s="71" t="s">
        <v>655</v>
      </c>
      <c r="E209" s="71" t="s">
        <v>2530</v>
      </c>
      <c r="F209" s="62" t="s">
        <v>2497</v>
      </c>
      <c r="G209" s="71" t="s">
        <v>733</v>
      </c>
      <c r="H209" s="73">
        <v>45840</v>
      </c>
      <c r="I209" s="71" t="s">
        <v>21</v>
      </c>
      <c r="J209" s="71" t="s">
        <v>10</v>
      </c>
      <c r="K209" s="55">
        <v>310</v>
      </c>
    </row>
    <row r="210" spans="1:11" x14ac:dyDescent="0.35">
      <c r="A210" s="71">
        <v>7807</v>
      </c>
      <c r="B210" s="71" t="s">
        <v>458</v>
      </c>
      <c r="C210" s="71"/>
      <c r="D210" s="71" t="s">
        <v>655</v>
      </c>
      <c r="E210" s="71" t="s">
        <v>2530</v>
      </c>
      <c r="F210" s="62" t="s">
        <v>2497</v>
      </c>
      <c r="G210" s="71" t="s">
        <v>733</v>
      </c>
      <c r="H210" s="73">
        <v>45840</v>
      </c>
      <c r="I210" s="71" t="s">
        <v>21</v>
      </c>
      <c r="J210" s="71" t="s">
        <v>10</v>
      </c>
      <c r="K210" s="55">
        <v>310</v>
      </c>
    </row>
    <row r="211" spans="1:11" x14ac:dyDescent="0.35">
      <c r="A211" s="71">
        <v>2756</v>
      </c>
      <c r="B211" s="71" t="s">
        <v>686</v>
      </c>
      <c r="C211" s="71"/>
      <c r="D211" s="71" t="s">
        <v>655</v>
      </c>
      <c r="E211" s="71" t="s">
        <v>2530</v>
      </c>
      <c r="F211" s="62" t="s">
        <v>2497</v>
      </c>
      <c r="G211" s="71" t="s">
        <v>733</v>
      </c>
      <c r="H211" s="73">
        <v>45840</v>
      </c>
      <c r="I211" s="71" t="s">
        <v>35</v>
      </c>
      <c r="J211" s="71" t="s">
        <v>32</v>
      </c>
      <c r="K211" s="55">
        <v>310</v>
      </c>
    </row>
    <row r="212" spans="1:11" x14ac:dyDescent="0.35">
      <c r="A212" s="71">
        <v>6481</v>
      </c>
      <c r="B212" s="71" t="s">
        <v>126</v>
      </c>
      <c r="C212" s="71"/>
      <c r="D212" s="71" t="s">
        <v>655</v>
      </c>
      <c r="E212" s="71" t="s">
        <v>2530</v>
      </c>
      <c r="F212" s="62" t="s">
        <v>2497</v>
      </c>
      <c r="G212" s="71" t="s">
        <v>733</v>
      </c>
      <c r="H212" s="73">
        <v>45840</v>
      </c>
      <c r="I212" s="71" t="s">
        <v>21</v>
      </c>
      <c r="J212" s="71" t="s">
        <v>10</v>
      </c>
      <c r="K212" s="55">
        <v>310</v>
      </c>
    </row>
    <row r="213" spans="1:11" x14ac:dyDescent="0.35">
      <c r="A213" s="71">
        <v>7653</v>
      </c>
      <c r="B213" s="71" t="s">
        <v>694</v>
      </c>
      <c r="C213" s="71"/>
      <c r="D213" s="71" t="s">
        <v>655</v>
      </c>
      <c r="E213" s="71" t="s">
        <v>2530</v>
      </c>
      <c r="F213" s="62" t="s">
        <v>2497</v>
      </c>
      <c r="G213" s="71" t="s">
        <v>733</v>
      </c>
      <c r="H213" s="73">
        <v>45840</v>
      </c>
      <c r="I213" s="71" t="s">
        <v>9</v>
      </c>
      <c r="J213" s="71" t="s">
        <v>54</v>
      </c>
      <c r="K213" s="55">
        <v>310</v>
      </c>
    </row>
    <row r="214" spans="1:11" x14ac:dyDescent="0.35">
      <c r="A214" s="71">
        <v>2651</v>
      </c>
      <c r="B214" s="71" t="s">
        <v>295</v>
      </c>
      <c r="C214" s="71"/>
      <c r="D214" s="71" t="s">
        <v>655</v>
      </c>
      <c r="E214" s="71" t="s">
        <v>2530</v>
      </c>
      <c r="F214" s="62" t="s">
        <v>2497</v>
      </c>
      <c r="G214" s="71" t="s">
        <v>733</v>
      </c>
      <c r="H214" s="73">
        <v>45840</v>
      </c>
      <c r="I214" s="71" t="s">
        <v>35</v>
      </c>
      <c r="J214" s="71" t="s">
        <v>32</v>
      </c>
      <c r="K214" s="55">
        <v>310</v>
      </c>
    </row>
    <row r="215" spans="1:11" x14ac:dyDescent="0.35">
      <c r="A215" s="71">
        <v>2859</v>
      </c>
      <c r="B215" s="71" t="s">
        <v>1828</v>
      </c>
      <c r="C215" s="71"/>
      <c r="D215" s="71" t="s">
        <v>655</v>
      </c>
      <c r="E215" s="71" t="s">
        <v>2530</v>
      </c>
      <c r="F215" s="62" t="s">
        <v>2497</v>
      </c>
      <c r="G215" s="71" t="s">
        <v>733</v>
      </c>
      <c r="H215" s="73">
        <v>45840</v>
      </c>
      <c r="I215" s="71" t="s">
        <v>9</v>
      </c>
      <c r="J215" s="71" t="s">
        <v>54</v>
      </c>
      <c r="K215" s="55">
        <v>310</v>
      </c>
    </row>
    <row r="216" spans="1:11" x14ac:dyDescent="0.35">
      <c r="A216" s="71">
        <v>7212</v>
      </c>
      <c r="B216" s="71" t="s">
        <v>599</v>
      </c>
      <c r="C216" s="71"/>
      <c r="D216" s="71" t="s">
        <v>655</v>
      </c>
      <c r="E216" s="71" t="s">
        <v>2530</v>
      </c>
      <c r="F216" s="62" t="s">
        <v>2497</v>
      </c>
      <c r="G216" s="71" t="s">
        <v>733</v>
      </c>
      <c r="H216" s="73">
        <v>45840</v>
      </c>
      <c r="I216" s="71" t="s">
        <v>9</v>
      </c>
      <c r="J216" s="71" t="s">
        <v>54</v>
      </c>
      <c r="K216" s="55">
        <v>310</v>
      </c>
    </row>
    <row r="217" spans="1:11" x14ac:dyDescent="0.35">
      <c r="A217" s="71">
        <v>648</v>
      </c>
      <c r="B217" s="71" t="s">
        <v>484</v>
      </c>
      <c r="C217" s="71"/>
      <c r="D217" s="71" t="s">
        <v>655</v>
      </c>
      <c r="E217" s="71" t="s">
        <v>2530</v>
      </c>
      <c r="F217" s="62" t="s">
        <v>2497</v>
      </c>
      <c r="G217" s="71" t="s">
        <v>733</v>
      </c>
      <c r="H217" s="73">
        <v>45840</v>
      </c>
      <c r="I217" s="71" t="s">
        <v>16</v>
      </c>
      <c r="J217" s="71" t="s">
        <v>54</v>
      </c>
      <c r="K217" s="55">
        <v>310</v>
      </c>
    </row>
    <row r="218" spans="1:11" x14ac:dyDescent="0.35">
      <c r="A218" s="71">
        <v>7021</v>
      </c>
      <c r="B218" s="71" t="s">
        <v>69</v>
      </c>
      <c r="C218" s="71"/>
      <c r="D218" s="71" t="s">
        <v>655</v>
      </c>
      <c r="E218" s="71" t="s">
        <v>2530</v>
      </c>
      <c r="F218" s="62" t="s">
        <v>2497</v>
      </c>
      <c r="G218" s="71" t="s">
        <v>733</v>
      </c>
      <c r="H218" s="73">
        <v>45840</v>
      </c>
      <c r="I218" s="71" t="s">
        <v>16</v>
      </c>
      <c r="J218" s="71" t="s">
        <v>54</v>
      </c>
      <c r="K218" s="55">
        <v>310</v>
      </c>
    </row>
    <row r="219" spans="1:11" x14ac:dyDescent="0.35">
      <c r="A219" s="71">
        <v>2244</v>
      </c>
      <c r="B219" s="71" t="s">
        <v>416</v>
      </c>
      <c r="C219" s="71"/>
      <c r="D219" s="71" t="s">
        <v>655</v>
      </c>
      <c r="E219" s="71" t="s">
        <v>2530</v>
      </c>
      <c r="F219" s="62" t="s">
        <v>2497</v>
      </c>
      <c r="G219" s="71" t="s">
        <v>733</v>
      </c>
      <c r="H219" s="73">
        <v>45840</v>
      </c>
      <c r="I219" s="71" t="s">
        <v>53</v>
      </c>
      <c r="J219" s="71" t="s">
        <v>54</v>
      </c>
      <c r="K219" s="55">
        <v>310</v>
      </c>
    </row>
    <row r="220" spans="1:11" x14ac:dyDescent="0.35">
      <c r="A220" s="71">
        <v>7224</v>
      </c>
      <c r="B220" s="71" t="s">
        <v>360</v>
      </c>
      <c r="C220" s="71"/>
      <c r="D220" s="71" t="s">
        <v>655</v>
      </c>
      <c r="E220" s="71" t="s">
        <v>2530</v>
      </c>
      <c r="F220" s="62" t="s">
        <v>2497</v>
      </c>
      <c r="G220" s="71" t="s">
        <v>733</v>
      </c>
      <c r="H220" s="73">
        <v>45840</v>
      </c>
      <c r="I220" s="71" t="s">
        <v>21</v>
      </c>
      <c r="J220" s="71" t="s">
        <v>10</v>
      </c>
      <c r="K220" s="55">
        <v>310</v>
      </c>
    </row>
    <row r="221" spans="1:11" x14ac:dyDescent="0.35">
      <c r="A221" s="71">
        <v>1585</v>
      </c>
      <c r="B221" s="71" t="s">
        <v>258</v>
      </c>
      <c r="C221" s="71"/>
      <c r="D221" s="71" t="s">
        <v>655</v>
      </c>
      <c r="E221" s="71" t="s">
        <v>2530</v>
      </c>
      <c r="F221" s="62" t="s">
        <v>2497</v>
      </c>
      <c r="G221" s="71" t="s">
        <v>733</v>
      </c>
      <c r="H221" s="73">
        <v>45840</v>
      </c>
      <c r="I221" s="71" t="s">
        <v>53</v>
      </c>
      <c r="J221" s="71" t="s">
        <v>54</v>
      </c>
      <c r="K221" s="55">
        <v>310</v>
      </c>
    </row>
    <row r="222" spans="1:11" x14ac:dyDescent="0.35">
      <c r="A222" s="71">
        <v>7480</v>
      </c>
      <c r="B222" s="71" t="s">
        <v>409</v>
      </c>
      <c r="C222" s="71"/>
      <c r="D222" s="71" t="s">
        <v>655</v>
      </c>
      <c r="E222" s="71" t="s">
        <v>2530</v>
      </c>
      <c r="F222" s="62" t="s">
        <v>2497</v>
      </c>
      <c r="G222" s="71" t="s">
        <v>733</v>
      </c>
      <c r="H222" s="73">
        <v>45840</v>
      </c>
      <c r="I222" s="71" t="s">
        <v>9</v>
      </c>
      <c r="J222" s="71" t="s">
        <v>54</v>
      </c>
      <c r="K222" s="55">
        <v>310</v>
      </c>
    </row>
    <row r="223" spans="1:11" x14ac:dyDescent="0.35">
      <c r="A223" s="71">
        <v>3265</v>
      </c>
      <c r="B223" s="71" t="s">
        <v>305</v>
      </c>
      <c r="C223" s="71"/>
      <c r="D223" s="71" t="s">
        <v>655</v>
      </c>
      <c r="E223" s="71" t="s">
        <v>2530</v>
      </c>
      <c r="F223" s="62" t="s">
        <v>2497</v>
      </c>
      <c r="G223" s="71" t="s">
        <v>733</v>
      </c>
      <c r="H223" s="73">
        <v>45840</v>
      </c>
      <c r="I223" s="71" t="s">
        <v>24</v>
      </c>
      <c r="J223" s="71" t="s">
        <v>10</v>
      </c>
      <c r="K223" s="55">
        <v>310</v>
      </c>
    </row>
    <row r="224" spans="1:11" x14ac:dyDescent="0.35">
      <c r="A224" s="71">
        <v>7024</v>
      </c>
      <c r="B224" s="71" t="s">
        <v>362</v>
      </c>
      <c r="C224" s="71"/>
      <c r="D224" s="71" t="s">
        <v>655</v>
      </c>
      <c r="E224" s="71" t="s">
        <v>2530</v>
      </c>
      <c r="F224" s="62" t="s">
        <v>2497</v>
      </c>
      <c r="G224" s="71" t="s">
        <v>733</v>
      </c>
      <c r="H224" s="73">
        <v>45840</v>
      </c>
      <c r="I224" s="71" t="s">
        <v>9</v>
      </c>
      <c r="J224" s="71" t="s">
        <v>10</v>
      </c>
      <c r="K224" s="55">
        <v>310</v>
      </c>
    </row>
    <row r="225" spans="1:11" x14ac:dyDescent="0.35">
      <c r="A225" s="71">
        <v>7889</v>
      </c>
      <c r="B225" s="71" t="s">
        <v>2092</v>
      </c>
      <c r="C225" s="71"/>
      <c r="D225" s="71" t="s">
        <v>655</v>
      </c>
      <c r="E225" s="71" t="s">
        <v>2530</v>
      </c>
      <c r="F225" s="62" t="s">
        <v>2497</v>
      </c>
      <c r="G225" s="71" t="s">
        <v>733</v>
      </c>
      <c r="H225" s="73">
        <v>45840</v>
      </c>
      <c r="I225" s="71" t="s">
        <v>21</v>
      </c>
      <c r="J225" s="71" t="s">
        <v>10</v>
      </c>
      <c r="K225" s="55">
        <v>310</v>
      </c>
    </row>
    <row r="226" spans="1:11" x14ac:dyDescent="0.35">
      <c r="A226" s="71">
        <v>7807</v>
      </c>
      <c r="B226" s="71" t="s">
        <v>458</v>
      </c>
      <c r="C226" s="71"/>
      <c r="D226" s="71" t="s">
        <v>655</v>
      </c>
      <c r="E226" s="71" t="s">
        <v>2530</v>
      </c>
      <c r="F226" s="62" t="s">
        <v>2497</v>
      </c>
      <c r="G226" s="71" t="s">
        <v>733</v>
      </c>
      <c r="H226" s="73">
        <v>45840</v>
      </c>
      <c r="I226" s="71" t="s">
        <v>21</v>
      </c>
      <c r="J226" s="71" t="s">
        <v>10</v>
      </c>
      <c r="K226" s="55">
        <v>310</v>
      </c>
    </row>
  </sheetData>
  <autoFilter ref="A1:K226" xr:uid="{C8F0FB4A-F1E7-46BD-ACFF-99FA21FA157D}"/>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76AE-460B-4900-8684-A840257748AA}">
  <dimension ref="A1:J107"/>
  <sheetViews>
    <sheetView workbookViewId="0">
      <selection activeCell="G1" sqref="G1"/>
    </sheetView>
  </sheetViews>
  <sheetFormatPr defaultRowHeight="14.5" x14ac:dyDescent="0.35"/>
  <cols>
    <col min="1" max="1" width="8.81640625" bestFit="1" customWidth="1"/>
    <col min="3" max="3" width="8.81640625" bestFit="1" customWidth="1"/>
    <col min="7" max="7" width="9.1796875" bestFit="1" customWidth="1"/>
  </cols>
  <sheetData>
    <row r="1" spans="1:10" x14ac:dyDescent="0.35">
      <c r="A1" s="69" t="s">
        <v>337</v>
      </c>
      <c r="B1" s="69" t="s">
        <v>338</v>
      </c>
      <c r="C1" s="69" t="s">
        <v>357</v>
      </c>
      <c r="D1" s="69" t="s">
        <v>358</v>
      </c>
      <c r="E1" s="69" t="s">
        <v>77</v>
      </c>
      <c r="F1" s="69" t="s">
        <v>392</v>
      </c>
      <c r="G1" s="69" t="s">
        <v>394</v>
      </c>
      <c r="H1" s="69" t="s">
        <v>4</v>
      </c>
      <c r="I1" s="69" t="s">
        <v>5</v>
      </c>
      <c r="J1" s="69" t="s">
        <v>680</v>
      </c>
    </row>
    <row r="2" spans="1:10" x14ac:dyDescent="0.35">
      <c r="A2" s="10">
        <v>5007</v>
      </c>
      <c r="B2" s="10" t="s">
        <v>1528</v>
      </c>
      <c r="C2" s="10">
        <v>7400</v>
      </c>
      <c r="D2" s="10" t="s">
        <v>487</v>
      </c>
      <c r="E2" s="10" t="s">
        <v>1547</v>
      </c>
      <c r="F2" s="10" t="s">
        <v>1546</v>
      </c>
      <c r="G2" s="11">
        <v>45603</v>
      </c>
      <c r="H2" s="10" t="s">
        <v>53</v>
      </c>
      <c r="I2" s="10" t="s">
        <v>54</v>
      </c>
      <c r="J2" s="10">
        <v>0</v>
      </c>
    </row>
    <row r="3" spans="1:10" x14ac:dyDescent="0.35">
      <c r="A3" s="10">
        <v>7230</v>
      </c>
      <c r="B3" s="10" t="s">
        <v>14</v>
      </c>
      <c r="C3" s="10">
        <v>245</v>
      </c>
      <c r="D3" s="10" t="s">
        <v>891</v>
      </c>
      <c r="E3" s="10" t="s">
        <v>1548</v>
      </c>
      <c r="F3" s="10" t="s">
        <v>1546</v>
      </c>
      <c r="G3" s="11">
        <v>45590</v>
      </c>
      <c r="H3" s="10" t="s">
        <v>16</v>
      </c>
      <c r="I3" s="10" t="s">
        <v>10</v>
      </c>
      <c r="J3" s="10">
        <v>0</v>
      </c>
    </row>
    <row r="4" spans="1:10" x14ac:dyDescent="0.35">
      <c r="A4" s="10">
        <v>7669</v>
      </c>
      <c r="B4" s="10" t="s">
        <v>1517</v>
      </c>
      <c r="C4" s="10">
        <v>4919</v>
      </c>
      <c r="D4" s="10" t="s">
        <v>705</v>
      </c>
      <c r="E4" s="10" t="s">
        <v>1549</v>
      </c>
      <c r="F4" s="10" t="s">
        <v>1546</v>
      </c>
      <c r="G4" s="11">
        <v>45586</v>
      </c>
      <c r="H4" s="10" t="s">
        <v>53</v>
      </c>
      <c r="I4" s="10" t="s">
        <v>54</v>
      </c>
      <c r="J4" s="10">
        <v>0</v>
      </c>
    </row>
    <row r="5" spans="1:10" x14ac:dyDescent="0.35">
      <c r="A5" s="10">
        <v>2341</v>
      </c>
      <c r="B5" s="10" t="s">
        <v>1518</v>
      </c>
      <c r="C5" s="10">
        <v>7104</v>
      </c>
      <c r="D5" s="10" t="s">
        <v>1534</v>
      </c>
      <c r="E5" s="10" t="s">
        <v>1550</v>
      </c>
      <c r="F5" s="10" t="s">
        <v>1546</v>
      </c>
      <c r="G5" s="11">
        <v>45583</v>
      </c>
      <c r="H5" s="10" t="s">
        <v>24</v>
      </c>
      <c r="I5" s="10" t="s">
        <v>54</v>
      </c>
      <c r="J5" s="10">
        <v>0</v>
      </c>
    </row>
    <row r="6" spans="1:10" x14ac:dyDescent="0.35">
      <c r="A6" s="10">
        <v>2826</v>
      </c>
      <c r="B6" s="10" t="s">
        <v>169</v>
      </c>
      <c r="C6" s="10">
        <v>7915</v>
      </c>
      <c r="D6" s="10" t="s">
        <v>873</v>
      </c>
      <c r="E6" s="10" t="s">
        <v>1551</v>
      </c>
      <c r="F6" s="10" t="s">
        <v>1546</v>
      </c>
      <c r="G6" s="11">
        <v>45575</v>
      </c>
      <c r="H6" s="10" t="s">
        <v>9</v>
      </c>
      <c r="I6" s="10" t="s">
        <v>54</v>
      </c>
      <c r="J6" s="10">
        <v>0</v>
      </c>
    </row>
    <row r="7" spans="1:10" x14ac:dyDescent="0.35">
      <c r="A7" s="10">
        <v>6975</v>
      </c>
      <c r="B7" s="10" t="s">
        <v>596</v>
      </c>
      <c r="C7" s="10">
        <v>7868</v>
      </c>
      <c r="D7" s="10" t="s">
        <v>340</v>
      </c>
      <c r="E7" s="10" t="s">
        <v>1552</v>
      </c>
      <c r="F7" s="10" t="s">
        <v>1546</v>
      </c>
      <c r="G7" s="11">
        <v>45573</v>
      </c>
      <c r="H7" s="10" t="s">
        <v>249</v>
      </c>
      <c r="I7" s="10" t="s">
        <v>10</v>
      </c>
      <c r="J7" s="10">
        <v>0</v>
      </c>
    </row>
    <row r="8" spans="1:10" x14ac:dyDescent="0.35">
      <c r="A8" s="10">
        <v>7261</v>
      </c>
      <c r="B8" s="10" t="s">
        <v>1519</v>
      </c>
      <c r="C8" s="10">
        <v>7035</v>
      </c>
      <c r="D8" s="10" t="s">
        <v>361</v>
      </c>
      <c r="E8" s="10" t="s">
        <v>1553</v>
      </c>
      <c r="F8" s="10" t="s">
        <v>1546</v>
      </c>
      <c r="G8" s="11">
        <v>45569</v>
      </c>
      <c r="H8" s="10" t="s">
        <v>35</v>
      </c>
      <c r="I8" s="10" t="s">
        <v>32</v>
      </c>
      <c r="J8" s="10">
        <v>0</v>
      </c>
    </row>
    <row r="9" spans="1:10" x14ac:dyDescent="0.35">
      <c r="A9" s="10">
        <v>7469</v>
      </c>
      <c r="B9" s="10" t="s">
        <v>175</v>
      </c>
      <c r="C9" s="10">
        <v>7035</v>
      </c>
      <c r="D9" s="10" t="s">
        <v>361</v>
      </c>
      <c r="E9" s="10" t="s">
        <v>1554</v>
      </c>
      <c r="F9" s="10" t="s">
        <v>1546</v>
      </c>
      <c r="G9" s="11">
        <v>45569</v>
      </c>
      <c r="H9" s="10" t="s">
        <v>35</v>
      </c>
      <c r="I9" s="10" t="s">
        <v>32</v>
      </c>
      <c r="J9" s="10">
        <v>0</v>
      </c>
    </row>
    <row r="10" spans="1:10" x14ac:dyDescent="0.35">
      <c r="A10" s="10">
        <v>7430</v>
      </c>
      <c r="B10" s="10" t="s">
        <v>1520</v>
      </c>
      <c r="C10" s="10">
        <v>7460</v>
      </c>
      <c r="D10" s="10" t="s">
        <v>882</v>
      </c>
      <c r="E10" s="10" t="s">
        <v>1555</v>
      </c>
      <c r="F10" s="10" t="s">
        <v>1546</v>
      </c>
      <c r="G10" s="11">
        <v>45538</v>
      </c>
      <c r="H10" s="10" t="s">
        <v>16</v>
      </c>
      <c r="I10" s="10" t="s">
        <v>54</v>
      </c>
      <c r="J10" s="10">
        <v>0</v>
      </c>
    </row>
    <row r="11" spans="1:10" x14ac:dyDescent="0.35">
      <c r="A11" s="10">
        <v>7569</v>
      </c>
      <c r="B11" s="10" t="s">
        <v>124</v>
      </c>
      <c r="C11" s="10">
        <v>7547</v>
      </c>
      <c r="D11" s="10" t="s">
        <v>816</v>
      </c>
      <c r="E11" s="10" t="s">
        <v>1556</v>
      </c>
      <c r="F11" s="10" t="s">
        <v>1546</v>
      </c>
      <c r="G11" s="11">
        <v>45526</v>
      </c>
      <c r="H11" s="10" t="s">
        <v>73</v>
      </c>
      <c r="I11" s="10" t="s">
        <v>74</v>
      </c>
      <c r="J11" s="10">
        <v>0</v>
      </c>
    </row>
    <row r="12" spans="1:10" x14ac:dyDescent="0.35">
      <c r="A12" s="10">
        <v>7759</v>
      </c>
      <c r="B12" s="10" t="s">
        <v>610</v>
      </c>
      <c r="C12" s="10">
        <v>1754</v>
      </c>
      <c r="D12" s="10" t="s">
        <v>706</v>
      </c>
      <c r="E12" s="10" t="s">
        <v>1557</v>
      </c>
      <c r="F12" s="10" t="s">
        <v>1546</v>
      </c>
      <c r="G12" s="11">
        <v>45517</v>
      </c>
      <c r="H12" s="10" t="s">
        <v>53</v>
      </c>
      <c r="I12" s="10" t="s">
        <v>54</v>
      </c>
      <c r="J12" s="10">
        <v>0</v>
      </c>
    </row>
    <row r="13" spans="1:10" x14ac:dyDescent="0.35">
      <c r="A13" s="10">
        <v>7601</v>
      </c>
      <c r="B13" s="10" t="s">
        <v>1521</v>
      </c>
      <c r="C13" s="10">
        <v>7368</v>
      </c>
      <c r="D13" s="10" t="s">
        <v>1539</v>
      </c>
      <c r="E13" s="10" t="s">
        <v>1558</v>
      </c>
      <c r="F13" s="10" t="s">
        <v>1546</v>
      </c>
      <c r="G13" s="11">
        <v>45512</v>
      </c>
      <c r="H13" s="10" t="s">
        <v>73</v>
      </c>
      <c r="I13" s="10" t="s">
        <v>74</v>
      </c>
      <c r="J13" s="10">
        <v>0</v>
      </c>
    </row>
    <row r="14" spans="1:10" x14ac:dyDescent="0.35">
      <c r="A14" s="10">
        <v>4037</v>
      </c>
      <c r="B14" s="10" t="s">
        <v>862</v>
      </c>
      <c r="C14" s="10">
        <v>2220</v>
      </c>
      <c r="D14" s="10" t="s">
        <v>33</v>
      </c>
      <c r="E14" s="10" t="s">
        <v>1559</v>
      </c>
      <c r="F14" s="10" t="s">
        <v>1546</v>
      </c>
      <c r="G14" s="11">
        <v>45496</v>
      </c>
      <c r="H14" s="10" t="s">
        <v>35</v>
      </c>
      <c r="I14" s="10" t="s">
        <v>32</v>
      </c>
      <c r="J14" s="10">
        <v>0</v>
      </c>
    </row>
    <row r="15" spans="1:10" x14ac:dyDescent="0.35">
      <c r="A15" s="10">
        <v>7565</v>
      </c>
      <c r="B15" s="10" t="s">
        <v>828</v>
      </c>
      <c r="C15" s="10">
        <v>7642</v>
      </c>
      <c r="D15" s="10" t="s">
        <v>130</v>
      </c>
      <c r="E15" s="10" t="s">
        <v>1560</v>
      </c>
      <c r="F15" s="10" t="s">
        <v>1546</v>
      </c>
      <c r="G15" s="11">
        <v>45492</v>
      </c>
      <c r="H15" s="10" t="s">
        <v>168</v>
      </c>
      <c r="I15" s="10" t="s">
        <v>32</v>
      </c>
      <c r="J15" s="10">
        <v>0</v>
      </c>
    </row>
    <row r="16" spans="1:10" x14ac:dyDescent="0.35">
      <c r="A16" s="10">
        <v>3973</v>
      </c>
      <c r="B16" s="10" t="s">
        <v>871</v>
      </c>
      <c r="C16" s="10">
        <v>643</v>
      </c>
      <c r="D16" s="10" t="s">
        <v>1540</v>
      </c>
      <c r="E16" s="10" t="s">
        <v>1561</v>
      </c>
      <c r="F16" s="10" t="s">
        <v>1546</v>
      </c>
      <c r="G16" s="11">
        <v>45488</v>
      </c>
      <c r="H16" s="10" t="s">
        <v>35</v>
      </c>
      <c r="I16" s="10" t="s">
        <v>32</v>
      </c>
      <c r="J16" s="10">
        <v>0</v>
      </c>
    </row>
    <row r="17" spans="1:10" x14ac:dyDescent="0.35">
      <c r="A17" s="10">
        <v>3972</v>
      </c>
      <c r="B17" s="10" t="s">
        <v>1522</v>
      </c>
      <c r="C17" s="10">
        <v>245</v>
      </c>
      <c r="D17" s="10" t="s">
        <v>891</v>
      </c>
      <c r="E17" s="10" t="s">
        <v>1562</v>
      </c>
      <c r="F17" s="10" t="s">
        <v>1546</v>
      </c>
      <c r="G17" s="11">
        <v>45487</v>
      </c>
      <c r="H17" s="10" t="s">
        <v>40</v>
      </c>
      <c r="I17" s="10" t="s">
        <v>32</v>
      </c>
      <c r="J17" s="10">
        <v>0</v>
      </c>
    </row>
    <row r="18" spans="1:10" x14ac:dyDescent="0.35">
      <c r="A18" s="10">
        <v>3644</v>
      </c>
      <c r="B18" s="10" t="s">
        <v>878</v>
      </c>
      <c r="C18" s="10">
        <v>2980</v>
      </c>
      <c r="D18" s="10" t="s">
        <v>770</v>
      </c>
      <c r="E18" s="10" t="s">
        <v>1563</v>
      </c>
      <c r="F18" s="10" t="s">
        <v>1546</v>
      </c>
      <c r="G18" s="11">
        <v>45482</v>
      </c>
      <c r="H18" s="10" t="s">
        <v>35</v>
      </c>
      <c r="I18" s="10" t="s">
        <v>32</v>
      </c>
      <c r="J18" s="10">
        <v>0</v>
      </c>
    </row>
    <row r="19" spans="1:10" x14ac:dyDescent="0.35">
      <c r="A19" s="10">
        <v>7680</v>
      </c>
      <c r="B19" s="10" t="s">
        <v>1523</v>
      </c>
      <c r="C19" s="10">
        <v>6984</v>
      </c>
      <c r="D19" s="10" t="s">
        <v>1541</v>
      </c>
      <c r="E19" s="10" t="s">
        <v>1564</v>
      </c>
      <c r="F19" s="10" t="s">
        <v>1546</v>
      </c>
      <c r="G19" s="11">
        <v>45481</v>
      </c>
      <c r="H19" s="10" t="s">
        <v>35</v>
      </c>
      <c r="I19" s="10" t="s">
        <v>32</v>
      </c>
      <c r="J19" s="10">
        <v>0</v>
      </c>
    </row>
    <row r="20" spans="1:10" x14ac:dyDescent="0.35">
      <c r="A20" s="10">
        <v>5475</v>
      </c>
      <c r="B20" s="10" t="s">
        <v>1524</v>
      </c>
      <c r="C20" s="10">
        <v>5269</v>
      </c>
      <c r="D20" s="10" t="s">
        <v>1542</v>
      </c>
      <c r="E20" s="10" t="s">
        <v>1565</v>
      </c>
      <c r="F20" s="10" t="s">
        <v>1546</v>
      </c>
      <c r="G20" s="11">
        <v>45481</v>
      </c>
      <c r="H20" s="10" t="s">
        <v>73</v>
      </c>
      <c r="I20" s="10" t="s">
        <v>54</v>
      </c>
      <c r="J20" s="10">
        <v>0</v>
      </c>
    </row>
    <row r="21" spans="1:10" x14ac:dyDescent="0.35">
      <c r="A21" s="10">
        <v>5488</v>
      </c>
      <c r="B21" s="10" t="s">
        <v>793</v>
      </c>
      <c r="C21" s="10">
        <v>6386</v>
      </c>
      <c r="D21" s="10" t="s">
        <v>830</v>
      </c>
      <c r="E21" s="10" t="s">
        <v>1566</v>
      </c>
      <c r="F21" s="10" t="s">
        <v>1546</v>
      </c>
      <c r="G21" s="11">
        <v>45478</v>
      </c>
      <c r="H21" s="10" t="s">
        <v>53</v>
      </c>
      <c r="I21" s="10" t="s">
        <v>54</v>
      </c>
      <c r="J21" s="10">
        <v>0</v>
      </c>
    </row>
    <row r="22" spans="1:10" x14ac:dyDescent="0.35">
      <c r="A22" s="10">
        <v>7612</v>
      </c>
      <c r="B22" s="10" t="s">
        <v>1525</v>
      </c>
      <c r="C22" s="10">
        <v>6386</v>
      </c>
      <c r="D22" s="10" t="s">
        <v>830</v>
      </c>
      <c r="E22" s="10" t="s">
        <v>1567</v>
      </c>
      <c r="F22" s="10" t="s">
        <v>1546</v>
      </c>
      <c r="G22" s="11">
        <v>45478</v>
      </c>
      <c r="H22" s="10" t="s">
        <v>53</v>
      </c>
      <c r="I22" s="10" t="s">
        <v>54</v>
      </c>
      <c r="J22" s="10">
        <v>0</v>
      </c>
    </row>
    <row r="23" spans="1:10" x14ac:dyDescent="0.35">
      <c r="A23" s="10">
        <v>6271</v>
      </c>
      <c r="B23" s="10" t="s">
        <v>1526</v>
      </c>
      <c r="C23" s="10">
        <v>6386</v>
      </c>
      <c r="D23" s="10" t="s">
        <v>830</v>
      </c>
      <c r="E23" s="10" t="s">
        <v>1568</v>
      </c>
      <c r="F23" s="10" t="s">
        <v>1546</v>
      </c>
      <c r="G23" s="11">
        <v>45478</v>
      </c>
      <c r="H23" s="10" t="s">
        <v>53</v>
      </c>
      <c r="I23" s="10" t="s">
        <v>54</v>
      </c>
      <c r="J23" s="10">
        <v>0</v>
      </c>
    </row>
    <row r="24" spans="1:10" x14ac:dyDescent="0.35">
      <c r="A24" s="10">
        <v>5415</v>
      </c>
      <c r="B24" s="10" t="s">
        <v>789</v>
      </c>
      <c r="C24" s="10">
        <v>6386</v>
      </c>
      <c r="D24" s="10" t="s">
        <v>830</v>
      </c>
      <c r="E24" s="10" t="s">
        <v>1569</v>
      </c>
      <c r="F24" s="10" t="s">
        <v>1546</v>
      </c>
      <c r="G24" s="11">
        <v>45478</v>
      </c>
      <c r="H24" s="10" t="s">
        <v>53</v>
      </c>
      <c r="I24" s="10" t="s">
        <v>54</v>
      </c>
      <c r="J24" s="10">
        <v>0</v>
      </c>
    </row>
    <row r="25" spans="1:10" x14ac:dyDescent="0.35">
      <c r="A25" s="10">
        <v>3964</v>
      </c>
      <c r="B25" s="10" t="s">
        <v>734</v>
      </c>
      <c r="C25" s="10">
        <v>6386</v>
      </c>
      <c r="D25" s="10" t="s">
        <v>830</v>
      </c>
      <c r="E25" s="10" t="s">
        <v>1570</v>
      </c>
      <c r="F25" s="10" t="s">
        <v>1546</v>
      </c>
      <c r="G25" s="11">
        <v>45478</v>
      </c>
      <c r="H25" s="10" t="s">
        <v>53</v>
      </c>
      <c r="I25" s="10" t="s">
        <v>54</v>
      </c>
      <c r="J25" s="10">
        <v>0</v>
      </c>
    </row>
    <row r="26" spans="1:10" x14ac:dyDescent="0.35">
      <c r="A26" s="10">
        <v>3963</v>
      </c>
      <c r="B26" s="10" t="s">
        <v>109</v>
      </c>
      <c r="C26" s="10">
        <v>6386</v>
      </c>
      <c r="D26" s="10" t="s">
        <v>830</v>
      </c>
      <c r="E26" s="10" t="s">
        <v>1571</v>
      </c>
      <c r="F26" s="10" t="s">
        <v>1546</v>
      </c>
      <c r="G26" s="11">
        <v>45478</v>
      </c>
      <c r="H26" s="10" t="s">
        <v>53</v>
      </c>
      <c r="I26" s="10" t="s">
        <v>54</v>
      </c>
      <c r="J26" s="10">
        <v>0</v>
      </c>
    </row>
    <row r="27" spans="1:10" x14ac:dyDescent="0.35">
      <c r="A27" s="10">
        <v>1130</v>
      </c>
      <c r="B27" s="10" t="s">
        <v>1527</v>
      </c>
      <c r="C27" s="10">
        <v>6386</v>
      </c>
      <c r="D27" s="10" t="s">
        <v>830</v>
      </c>
      <c r="E27" s="10" t="s">
        <v>1572</v>
      </c>
      <c r="F27" s="10" t="s">
        <v>1546</v>
      </c>
      <c r="G27" s="11">
        <v>45478</v>
      </c>
      <c r="H27" s="10" t="s">
        <v>53</v>
      </c>
      <c r="I27" s="10" t="s">
        <v>54</v>
      </c>
      <c r="J27" s="10">
        <v>0</v>
      </c>
    </row>
    <row r="28" spans="1:10" x14ac:dyDescent="0.35">
      <c r="A28" s="10">
        <v>7347</v>
      </c>
      <c r="B28" s="10" t="s">
        <v>51</v>
      </c>
      <c r="C28" s="10">
        <v>6386</v>
      </c>
      <c r="D28" s="10" t="s">
        <v>830</v>
      </c>
      <c r="E28" s="10" t="s">
        <v>1573</v>
      </c>
      <c r="F28" s="10" t="s">
        <v>1546</v>
      </c>
      <c r="G28" s="11">
        <v>45478</v>
      </c>
      <c r="H28" s="10" t="s">
        <v>53</v>
      </c>
      <c r="I28" s="10" t="s">
        <v>54</v>
      </c>
      <c r="J28" s="10">
        <v>0</v>
      </c>
    </row>
    <row r="29" spans="1:10" x14ac:dyDescent="0.35">
      <c r="A29" s="10">
        <v>5070</v>
      </c>
      <c r="B29" s="10" t="s">
        <v>822</v>
      </c>
      <c r="C29" s="10">
        <v>6386</v>
      </c>
      <c r="D29" s="10" t="s">
        <v>830</v>
      </c>
      <c r="E29" s="10" t="s">
        <v>1574</v>
      </c>
      <c r="F29" s="10" t="s">
        <v>1546</v>
      </c>
      <c r="G29" s="11">
        <v>45478</v>
      </c>
      <c r="H29" s="10" t="s">
        <v>53</v>
      </c>
      <c r="I29" s="10" t="s">
        <v>54</v>
      </c>
      <c r="J29" s="10">
        <v>0</v>
      </c>
    </row>
    <row r="30" spans="1:10" x14ac:dyDescent="0.35">
      <c r="A30" s="10">
        <v>767</v>
      </c>
      <c r="B30" s="10" t="s">
        <v>265</v>
      </c>
      <c r="C30" s="10">
        <v>7247</v>
      </c>
      <c r="D30" s="10" t="s">
        <v>752</v>
      </c>
      <c r="E30" s="10" t="s">
        <v>1575</v>
      </c>
      <c r="F30" s="10" t="s">
        <v>1546</v>
      </c>
      <c r="G30" s="11">
        <v>45467</v>
      </c>
      <c r="H30" s="10" t="s">
        <v>168</v>
      </c>
      <c r="I30" s="10" t="s">
        <v>10</v>
      </c>
      <c r="J30" s="10">
        <v>0</v>
      </c>
    </row>
    <row r="31" spans="1:10" x14ac:dyDescent="0.35">
      <c r="A31" s="10">
        <v>6127</v>
      </c>
      <c r="B31" s="10" t="s">
        <v>277</v>
      </c>
      <c r="C31" s="10">
        <v>7634</v>
      </c>
      <c r="D31" s="10" t="s">
        <v>117</v>
      </c>
      <c r="E31" s="10" t="s">
        <v>1576</v>
      </c>
      <c r="F31" s="10" t="s">
        <v>1546</v>
      </c>
      <c r="G31" s="11">
        <v>45463</v>
      </c>
      <c r="H31" s="10" t="s">
        <v>250</v>
      </c>
      <c r="I31" s="10" t="s">
        <v>10</v>
      </c>
      <c r="J31" s="10">
        <v>0</v>
      </c>
    </row>
    <row r="32" spans="1:10" x14ac:dyDescent="0.35">
      <c r="A32" s="10">
        <v>6386</v>
      </c>
      <c r="B32" s="10" t="s">
        <v>830</v>
      </c>
      <c r="C32" s="10">
        <v>7400</v>
      </c>
      <c r="D32" s="10" t="s">
        <v>487</v>
      </c>
      <c r="E32" s="10" t="s">
        <v>1577</v>
      </c>
      <c r="F32" s="10" t="s">
        <v>1546</v>
      </c>
      <c r="G32" s="11">
        <v>45448</v>
      </c>
      <c r="H32" s="10" t="s">
        <v>53</v>
      </c>
      <c r="I32" s="10" t="s">
        <v>54</v>
      </c>
      <c r="J32" s="10">
        <v>0</v>
      </c>
    </row>
    <row r="33" spans="1:10" x14ac:dyDescent="0.35">
      <c r="A33" s="10">
        <v>2775</v>
      </c>
      <c r="B33" s="10" t="s">
        <v>1528</v>
      </c>
      <c r="C33" s="10">
        <v>2780</v>
      </c>
      <c r="D33" s="10" t="s">
        <v>1543</v>
      </c>
      <c r="E33" s="10" t="s">
        <v>1578</v>
      </c>
      <c r="F33" s="10" t="s">
        <v>1546</v>
      </c>
      <c r="G33" s="11">
        <v>45440</v>
      </c>
      <c r="H33" s="10" t="s">
        <v>35</v>
      </c>
      <c r="I33" s="10" t="s">
        <v>32</v>
      </c>
      <c r="J33" s="10">
        <v>0</v>
      </c>
    </row>
    <row r="34" spans="1:10" x14ac:dyDescent="0.35">
      <c r="A34" s="10">
        <v>7258</v>
      </c>
      <c r="B34" s="10" t="s">
        <v>805</v>
      </c>
      <c r="C34" s="10">
        <v>6596</v>
      </c>
      <c r="D34" s="10" t="s">
        <v>843</v>
      </c>
      <c r="E34" s="10" t="s">
        <v>1579</v>
      </c>
      <c r="F34" s="10" t="s">
        <v>1546</v>
      </c>
      <c r="G34" s="11">
        <v>45436</v>
      </c>
      <c r="H34" s="10" t="s">
        <v>16</v>
      </c>
      <c r="I34" s="10" t="s">
        <v>54</v>
      </c>
      <c r="J34" s="10">
        <v>0</v>
      </c>
    </row>
    <row r="35" spans="1:10" x14ac:dyDescent="0.35">
      <c r="A35" s="10">
        <v>7569</v>
      </c>
      <c r="B35" s="10" t="s">
        <v>124</v>
      </c>
      <c r="C35" s="10">
        <v>6437</v>
      </c>
      <c r="D35" s="10" t="s">
        <v>626</v>
      </c>
      <c r="E35" s="10" t="s">
        <v>1580</v>
      </c>
      <c r="F35" s="10" t="s">
        <v>1546</v>
      </c>
      <c r="G35" s="11">
        <v>45432</v>
      </c>
      <c r="H35" s="10" t="s">
        <v>73</v>
      </c>
      <c r="I35" s="10" t="s">
        <v>74</v>
      </c>
      <c r="J35" s="10">
        <v>0</v>
      </c>
    </row>
    <row r="36" spans="1:10" x14ac:dyDescent="0.35">
      <c r="A36" s="10">
        <v>2026</v>
      </c>
      <c r="B36" s="10" t="s">
        <v>465</v>
      </c>
      <c r="C36" s="10">
        <v>4150</v>
      </c>
      <c r="D36" s="10" t="s">
        <v>485</v>
      </c>
      <c r="E36" s="10" t="s">
        <v>1581</v>
      </c>
      <c r="F36" s="10" t="s">
        <v>1546</v>
      </c>
      <c r="G36" s="11">
        <v>45412</v>
      </c>
      <c r="H36" s="10" t="s">
        <v>16</v>
      </c>
      <c r="I36" s="10" t="s">
        <v>54</v>
      </c>
      <c r="J36" s="10">
        <v>0</v>
      </c>
    </row>
    <row r="37" spans="1:10" x14ac:dyDescent="0.35">
      <c r="A37" s="10">
        <v>3558</v>
      </c>
      <c r="B37" s="10" t="s">
        <v>494</v>
      </c>
      <c r="C37" s="10">
        <v>4150</v>
      </c>
      <c r="D37" s="10" t="s">
        <v>485</v>
      </c>
      <c r="E37" s="10" t="s">
        <v>1582</v>
      </c>
      <c r="F37" s="10" t="s">
        <v>1546</v>
      </c>
      <c r="G37" s="11">
        <v>45412</v>
      </c>
      <c r="H37" s="10" t="s">
        <v>16</v>
      </c>
      <c r="I37" s="10" t="s">
        <v>54</v>
      </c>
      <c r="J37" s="10">
        <v>0</v>
      </c>
    </row>
    <row r="38" spans="1:10" x14ac:dyDescent="0.35">
      <c r="A38" s="10">
        <v>4013</v>
      </c>
      <c r="B38" s="10" t="s">
        <v>268</v>
      </c>
      <c r="C38" s="10">
        <v>7244</v>
      </c>
      <c r="D38" s="10" t="s">
        <v>429</v>
      </c>
      <c r="E38" s="10" t="s">
        <v>1583</v>
      </c>
      <c r="F38" s="10" t="s">
        <v>1546</v>
      </c>
      <c r="G38" s="11">
        <v>45408</v>
      </c>
      <c r="H38" s="10" t="s">
        <v>9</v>
      </c>
      <c r="I38" s="10" t="s">
        <v>54</v>
      </c>
      <c r="J38" s="10">
        <v>0</v>
      </c>
    </row>
    <row r="39" spans="1:10" x14ac:dyDescent="0.35">
      <c r="A39" s="10">
        <v>7586</v>
      </c>
      <c r="B39" s="10" t="s">
        <v>1529</v>
      </c>
      <c r="C39" s="10">
        <v>7687</v>
      </c>
      <c r="D39" s="10" t="s">
        <v>881</v>
      </c>
      <c r="E39" s="10" t="s">
        <v>1584</v>
      </c>
      <c r="F39" s="10" t="s">
        <v>1546</v>
      </c>
      <c r="G39" s="11">
        <v>45399</v>
      </c>
      <c r="H39" s="10" t="s">
        <v>16</v>
      </c>
      <c r="I39" s="10" t="s">
        <v>54</v>
      </c>
      <c r="J39" s="10">
        <v>0</v>
      </c>
    </row>
    <row r="40" spans="1:10" x14ac:dyDescent="0.35">
      <c r="A40" s="10">
        <v>6583</v>
      </c>
      <c r="B40" s="10" t="s">
        <v>1530</v>
      </c>
      <c r="C40" s="10">
        <v>7687</v>
      </c>
      <c r="D40" s="10" t="s">
        <v>881</v>
      </c>
      <c r="E40" s="10" t="s">
        <v>1585</v>
      </c>
      <c r="F40" s="10" t="s">
        <v>1546</v>
      </c>
      <c r="G40" s="11">
        <v>45399</v>
      </c>
      <c r="H40" s="10" t="s">
        <v>24</v>
      </c>
      <c r="I40" s="10" t="s">
        <v>10</v>
      </c>
      <c r="J40" s="10">
        <v>0</v>
      </c>
    </row>
    <row r="41" spans="1:10" x14ac:dyDescent="0.35">
      <c r="A41" s="10">
        <v>7034</v>
      </c>
      <c r="B41" s="10" t="s">
        <v>1531</v>
      </c>
      <c r="C41" s="10">
        <v>7035</v>
      </c>
      <c r="D41" s="10" t="s">
        <v>361</v>
      </c>
      <c r="E41" s="10" t="s">
        <v>1586</v>
      </c>
      <c r="F41" s="10" t="s">
        <v>1546</v>
      </c>
      <c r="G41" s="11">
        <v>45386</v>
      </c>
      <c r="H41" s="10" t="s">
        <v>53</v>
      </c>
      <c r="I41" s="10" t="s">
        <v>54</v>
      </c>
      <c r="J41" s="10">
        <v>0</v>
      </c>
    </row>
    <row r="42" spans="1:10" x14ac:dyDescent="0.35">
      <c r="A42" s="10">
        <v>3941</v>
      </c>
      <c r="B42" s="10" t="s">
        <v>441</v>
      </c>
      <c r="C42" s="10">
        <v>2038</v>
      </c>
      <c r="D42" s="10" t="s">
        <v>291</v>
      </c>
      <c r="E42" s="10" t="s">
        <v>1587</v>
      </c>
      <c r="F42" s="10" t="s">
        <v>1546</v>
      </c>
      <c r="G42" s="11">
        <v>45379</v>
      </c>
      <c r="H42" s="10" t="s">
        <v>40</v>
      </c>
      <c r="I42" s="10" t="s">
        <v>32</v>
      </c>
      <c r="J42" s="10">
        <v>0</v>
      </c>
    </row>
    <row r="43" spans="1:10" x14ac:dyDescent="0.35">
      <c r="A43" s="10">
        <v>5428</v>
      </c>
      <c r="B43" s="10" t="s">
        <v>647</v>
      </c>
      <c r="C43" s="10">
        <v>2826</v>
      </c>
      <c r="D43" s="10" t="s">
        <v>169</v>
      </c>
      <c r="E43" s="10" t="s">
        <v>1588</v>
      </c>
      <c r="F43" s="10" t="s">
        <v>1546</v>
      </c>
      <c r="G43" s="11">
        <v>45379</v>
      </c>
      <c r="H43" s="10" t="s">
        <v>249</v>
      </c>
      <c r="I43" s="10" t="s">
        <v>10</v>
      </c>
      <c r="J43" s="10">
        <v>0</v>
      </c>
    </row>
    <row r="44" spans="1:10" x14ac:dyDescent="0.35">
      <c r="A44" s="10">
        <v>2430</v>
      </c>
      <c r="B44" s="10" t="s">
        <v>1532</v>
      </c>
      <c r="C44" s="10">
        <v>185</v>
      </c>
      <c r="D44" s="10" t="s">
        <v>1544</v>
      </c>
      <c r="E44" s="10" t="s">
        <v>1589</v>
      </c>
      <c r="F44" s="10" t="s">
        <v>1546</v>
      </c>
      <c r="G44" s="11">
        <v>45373</v>
      </c>
      <c r="H44" s="10" t="s">
        <v>35</v>
      </c>
      <c r="I44" s="10" t="s">
        <v>32</v>
      </c>
      <c r="J44" s="10">
        <v>0</v>
      </c>
    </row>
    <row r="45" spans="1:10" x14ac:dyDescent="0.35">
      <c r="A45" s="10">
        <v>7339</v>
      </c>
      <c r="B45" s="10" t="s">
        <v>447</v>
      </c>
      <c r="C45" s="10">
        <v>7400</v>
      </c>
      <c r="D45" s="10" t="s">
        <v>487</v>
      </c>
      <c r="E45" s="10" t="s">
        <v>1590</v>
      </c>
      <c r="F45" s="10" t="s">
        <v>1546</v>
      </c>
      <c r="G45" s="11">
        <v>45370</v>
      </c>
      <c r="H45" s="10" t="s">
        <v>9</v>
      </c>
      <c r="I45" s="10" t="s">
        <v>10</v>
      </c>
      <c r="J45" s="10">
        <v>0</v>
      </c>
    </row>
    <row r="46" spans="1:10" x14ac:dyDescent="0.35">
      <c r="A46" s="10">
        <v>4060</v>
      </c>
      <c r="B46" s="10" t="s">
        <v>470</v>
      </c>
      <c r="C46" s="10">
        <v>7400</v>
      </c>
      <c r="D46" s="10" t="s">
        <v>487</v>
      </c>
      <c r="E46" s="10" t="s">
        <v>1591</v>
      </c>
      <c r="F46" s="10" t="s">
        <v>1546</v>
      </c>
      <c r="G46" s="11">
        <v>45370</v>
      </c>
      <c r="H46" s="10" t="s">
        <v>53</v>
      </c>
      <c r="I46" s="10" t="s">
        <v>54</v>
      </c>
      <c r="J46" s="10">
        <v>0</v>
      </c>
    </row>
    <row r="47" spans="1:10" x14ac:dyDescent="0.35">
      <c r="A47" s="10">
        <v>2214</v>
      </c>
      <c r="B47" s="10" t="s">
        <v>811</v>
      </c>
      <c r="C47" s="10">
        <v>4004</v>
      </c>
      <c r="D47" s="10" t="s">
        <v>172</v>
      </c>
      <c r="E47" s="10" t="s">
        <v>1592</v>
      </c>
      <c r="F47" s="10" t="s">
        <v>1546</v>
      </c>
      <c r="G47" s="11">
        <v>45369</v>
      </c>
      <c r="H47" s="10" t="s">
        <v>53</v>
      </c>
      <c r="I47" s="10" t="s">
        <v>54</v>
      </c>
      <c r="J47" s="10">
        <v>0</v>
      </c>
    </row>
    <row r="48" spans="1:10" x14ac:dyDescent="0.35">
      <c r="A48" s="10">
        <v>4502</v>
      </c>
      <c r="B48" s="10" t="s">
        <v>621</v>
      </c>
      <c r="C48" s="10">
        <v>6596</v>
      </c>
      <c r="D48" s="10" t="s">
        <v>843</v>
      </c>
      <c r="E48" s="10" t="s">
        <v>1593</v>
      </c>
      <c r="F48" s="10" t="s">
        <v>1546</v>
      </c>
      <c r="G48" s="11">
        <v>45366</v>
      </c>
      <c r="H48" s="10" t="s">
        <v>53</v>
      </c>
      <c r="I48" s="10" t="s">
        <v>32</v>
      </c>
      <c r="J48" s="10">
        <v>0</v>
      </c>
    </row>
    <row r="49" spans="1:10" x14ac:dyDescent="0.35">
      <c r="A49" s="10">
        <v>2199</v>
      </c>
      <c r="B49" s="10" t="s">
        <v>854</v>
      </c>
      <c r="C49" s="10">
        <v>6386</v>
      </c>
      <c r="D49" s="10" t="s">
        <v>830</v>
      </c>
      <c r="E49" s="10" t="s">
        <v>1594</v>
      </c>
      <c r="F49" s="10" t="s">
        <v>1546</v>
      </c>
      <c r="G49" s="11">
        <v>45366</v>
      </c>
      <c r="H49" s="10" t="s">
        <v>53</v>
      </c>
      <c r="I49" s="10" t="s">
        <v>54</v>
      </c>
      <c r="J49" s="10">
        <v>0</v>
      </c>
    </row>
    <row r="50" spans="1:10" x14ac:dyDescent="0.35">
      <c r="A50" s="10">
        <v>4502</v>
      </c>
      <c r="B50" s="10" t="s">
        <v>621</v>
      </c>
      <c r="C50" s="10">
        <v>6386</v>
      </c>
      <c r="D50" s="10" t="s">
        <v>830</v>
      </c>
      <c r="E50" s="10" t="s">
        <v>1595</v>
      </c>
      <c r="F50" s="10" t="s">
        <v>1546</v>
      </c>
      <c r="G50" s="11">
        <v>45366</v>
      </c>
      <c r="H50" s="10" t="s">
        <v>53</v>
      </c>
      <c r="I50" s="10" t="s">
        <v>32</v>
      </c>
      <c r="J50" s="10">
        <v>0</v>
      </c>
    </row>
    <row r="51" spans="1:10" x14ac:dyDescent="0.35">
      <c r="A51" s="10">
        <v>7400</v>
      </c>
      <c r="B51" s="10" t="s">
        <v>487</v>
      </c>
      <c r="C51" s="10">
        <v>6386</v>
      </c>
      <c r="D51" s="10" t="s">
        <v>830</v>
      </c>
      <c r="E51" s="10" t="s">
        <v>1596</v>
      </c>
      <c r="F51" s="10" t="s">
        <v>1546</v>
      </c>
      <c r="G51" s="11">
        <v>45366</v>
      </c>
      <c r="H51" s="10" t="s">
        <v>53</v>
      </c>
      <c r="I51" s="10" t="s">
        <v>54</v>
      </c>
      <c r="J51" s="10">
        <v>0</v>
      </c>
    </row>
    <row r="52" spans="1:10" x14ac:dyDescent="0.35">
      <c r="A52" s="10">
        <v>5782</v>
      </c>
      <c r="B52" s="10" t="s">
        <v>442</v>
      </c>
      <c r="C52" s="10">
        <v>7528</v>
      </c>
      <c r="D52" s="10" t="s">
        <v>273</v>
      </c>
      <c r="E52" s="10" t="s">
        <v>1597</v>
      </c>
      <c r="F52" s="10" t="s">
        <v>1546</v>
      </c>
      <c r="G52" s="11">
        <v>45364</v>
      </c>
      <c r="H52" s="10" t="s">
        <v>40</v>
      </c>
      <c r="I52" s="10" t="s">
        <v>54</v>
      </c>
      <c r="J52" s="10">
        <v>0</v>
      </c>
    </row>
    <row r="53" spans="1:10" x14ac:dyDescent="0.35">
      <c r="A53" s="10">
        <v>4937</v>
      </c>
      <c r="B53" s="10" t="s">
        <v>127</v>
      </c>
      <c r="C53" s="10">
        <v>2477</v>
      </c>
      <c r="D53" s="10" t="s">
        <v>367</v>
      </c>
      <c r="E53" s="10" t="s">
        <v>1598</v>
      </c>
      <c r="F53" s="10" t="s">
        <v>1546</v>
      </c>
      <c r="G53" s="11">
        <v>45361</v>
      </c>
      <c r="H53" s="10" t="s">
        <v>53</v>
      </c>
      <c r="I53" s="10" t="s">
        <v>54</v>
      </c>
      <c r="J53" s="10">
        <v>0</v>
      </c>
    </row>
    <row r="54" spans="1:10" x14ac:dyDescent="0.35">
      <c r="A54" s="10">
        <v>2243</v>
      </c>
      <c r="B54" s="10" t="s">
        <v>63</v>
      </c>
      <c r="C54" s="10">
        <v>7795</v>
      </c>
      <c r="D54" s="10" t="s">
        <v>1545</v>
      </c>
      <c r="E54" s="10" t="s">
        <v>1599</v>
      </c>
      <c r="F54" s="10" t="s">
        <v>1546</v>
      </c>
      <c r="G54" s="11">
        <v>45358</v>
      </c>
      <c r="H54" s="10" t="s">
        <v>53</v>
      </c>
      <c r="I54" s="10" t="s">
        <v>54</v>
      </c>
      <c r="J54" s="10">
        <v>0</v>
      </c>
    </row>
    <row r="55" spans="1:10" x14ac:dyDescent="0.35">
      <c r="A55" s="10">
        <v>6593</v>
      </c>
      <c r="B55" s="10" t="s">
        <v>128</v>
      </c>
      <c r="C55" s="10">
        <v>1308</v>
      </c>
      <c r="D55" s="10" t="s">
        <v>797</v>
      </c>
      <c r="E55" s="10" t="s">
        <v>1600</v>
      </c>
      <c r="F55" s="10" t="s">
        <v>1546</v>
      </c>
      <c r="G55" s="11">
        <v>45355</v>
      </c>
      <c r="H55" s="10" t="s">
        <v>24</v>
      </c>
      <c r="I55" s="10" t="s">
        <v>54</v>
      </c>
      <c r="J55" s="10">
        <v>0</v>
      </c>
    </row>
    <row r="56" spans="1:10" x14ac:dyDescent="0.35">
      <c r="A56" s="10">
        <v>7243</v>
      </c>
      <c r="B56" s="10" t="s">
        <v>815</v>
      </c>
      <c r="C56" s="10">
        <v>1308</v>
      </c>
      <c r="D56" s="10" t="s">
        <v>797</v>
      </c>
      <c r="E56" s="10" t="s">
        <v>1601</v>
      </c>
      <c r="F56" s="10" t="s">
        <v>1546</v>
      </c>
      <c r="G56" s="11">
        <v>45355</v>
      </c>
      <c r="H56" s="10" t="s">
        <v>24</v>
      </c>
      <c r="I56" s="10" t="s">
        <v>10</v>
      </c>
      <c r="J56" s="10">
        <v>0</v>
      </c>
    </row>
    <row r="57" spans="1:10" x14ac:dyDescent="0.35">
      <c r="A57" s="10">
        <v>7166</v>
      </c>
      <c r="B57" s="10" t="s">
        <v>1533</v>
      </c>
      <c r="C57" s="10">
        <v>1313</v>
      </c>
      <c r="D57" s="10" t="s">
        <v>61</v>
      </c>
      <c r="E57" s="10" t="s">
        <v>1602</v>
      </c>
      <c r="F57" s="10" t="s">
        <v>1546</v>
      </c>
      <c r="G57" s="11">
        <v>45352</v>
      </c>
      <c r="H57" s="10" t="s">
        <v>53</v>
      </c>
      <c r="I57" s="10" t="s">
        <v>54</v>
      </c>
      <c r="J57" s="10">
        <v>0</v>
      </c>
    </row>
    <row r="58" spans="1:10" x14ac:dyDescent="0.35">
      <c r="A58" s="10">
        <v>2477</v>
      </c>
      <c r="B58" s="10" t="s">
        <v>367</v>
      </c>
      <c r="C58" s="10">
        <v>245</v>
      </c>
      <c r="D58" s="10" t="s">
        <v>891</v>
      </c>
      <c r="E58" s="10" t="s">
        <v>1603</v>
      </c>
      <c r="F58" s="10" t="s">
        <v>1546</v>
      </c>
      <c r="G58" s="11">
        <v>45352</v>
      </c>
      <c r="H58" s="10" t="s">
        <v>9</v>
      </c>
      <c r="I58" s="10" t="s">
        <v>54</v>
      </c>
      <c r="J58" s="10">
        <v>0</v>
      </c>
    </row>
    <row r="59" spans="1:10" x14ac:dyDescent="0.35">
      <c r="A59" s="10">
        <v>7751</v>
      </c>
      <c r="B59" s="10" t="s">
        <v>343</v>
      </c>
      <c r="C59" s="10">
        <v>6386</v>
      </c>
      <c r="D59" s="10" t="s">
        <v>830</v>
      </c>
      <c r="E59" s="10" t="s">
        <v>1604</v>
      </c>
      <c r="F59" s="10" t="s">
        <v>1546</v>
      </c>
      <c r="G59" s="11">
        <v>45351</v>
      </c>
      <c r="H59" s="10" t="s">
        <v>13</v>
      </c>
      <c r="I59" s="10" t="s">
        <v>10</v>
      </c>
      <c r="J59" s="10">
        <v>0</v>
      </c>
    </row>
    <row r="60" spans="1:10" x14ac:dyDescent="0.35">
      <c r="A60" s="10">
        <v>1313</v>
      </c>
      <c r="B60" s="10" t="s">
        <v>61</v>
      </c>
      <c r="C60" s="10">
        <v>6386</v>
      </c>
      <c r="D60" s="10" t="s">
        <v>830</v>
      </c>
      <c r="E60" s="10" t="s">
        <v>1605</v>
      </c>
      <c r="F60" s="10" t="s">
        <v>1546</v>
      </c>
      <c r="G60" s="11">
        <v>45351</v>
      </c>
      <c r="H60" s="10" t="s">
        <v>53</v>
      </c>
      <c r="I60" s="10" t="s">
        <v>54</v>
      </c>
      <c r="J60" s="10">
        <v>0</v>
      </c>
    </row>
    <row r="61" spans="1:10" x14ac:dyDescent="0.35">
      <c r="A61" s="10">
        <v>7667</v>
      </c>
      <c r="B61" s="10" t="s">
        <v>57</v>
      </c>
      <c r="C61" s="10">
        <v>7347</v>
      </c>
      <c r="D61" s="10" t="s">
        <v>51</v>
      </c>
      <c r="E61" s="10" t="s">
        <v>1606</v>
      </c>
      <c r="F61" s="10" t="s">
        <v>1546</v>
      </c>
      <c r="G61" s="11">
        <v>45344</v>
      </c>
      <c r="H61" s="10" t="s">
        <v>16</v>
      </c>
      <c r="I61" s="10" t="s">
        <v>54</v>
      </c>
      <c r="J61" s="10">
        <v>0</v>
      </c>
    </row>
    <row r="62" spans="1:10" x14ac:dyDescent="0.35">
      <c r="A62" s="10">
        <v>7104</v>
      </c>
      <c r="B62" s="10" t="s">
        <v>1534</v>
      </c>
      <c r="C62" s="10">
        <v>1308</v>
      </c>
      <c r="D62" s="10" t="s">
        <v>797</v>
      </c>
      <c r="E62" s="10" t="s">
        <v>1607</v>
      </c>
      <c r="F62" s="10" t="s">
        <v>1546</v>
      </c>
      <c r="G62" s="11">
        <v>45343</v>
      </c>
      <c r="H62" s="10" t="s">
        <v>24</v>
      </c>
      <c r="I62" s="10" t="s">
        <v>10</v>
      </c>
      <c r="J62" s="10">
        <v>0</v>
      </c>
    </row>
    <row r="63" spans="1:10" x14ac:dyDescent="0.35">
      <c r="A63" s="10">
        <v>1847</v>
      </c>
      <c r="B63" s="10" t="s">
        <v>44</v>
      </c>
      <c r="C63" s="10">
        <v>1308</v>
      </c>
      <c r="D63" s="10" t="s">
        <v>797</v>
      </c>
      <c r="E63" s="10" t="s">
        <v>1608</v>
      </c>
      <c r="F63" s="10" t="s">
        <v>1546</v>
      </c>
      <c r="G63" s="11">
        <v>45343</v>
      </c>
      <c r="H63" s="10" t="s">
        <v>35</v>
      </c>
      <c r="I63" s="10" t="s">
        <v>32</v>
      </c>
      <c r="J63" s="10">
        <v>0</v>
      </c>
    </row>
    <row r="64" spans="1:10" x14ac:dyDescent="0.35">
      <c r="A64" s="10">
        <v>3883</v>
      </c>
      <c r="B64" s="10" t="s">
        <v>847</v>
      </c>
      <c r="C64" s="10">
        <v>1308</v>
      </c>
      <c r="D64" s="10" t="s">
        <v>797</v>
      </c>
      <c r="E64" s="10" t="s">
        <v>1609</v>
      </c>
      <c r="F64" s="10" t="s">
        <v>1546</v>
      </c>
      <c r="G64" s="11">
        <v>45343</v>
      </c>
      <c r="H64" s="10" t="s">
        <v>24</v>
      </c>
      <c r="I64" s="10" t="s">
        <v>10</v>
      </c>
      <c r="J64" s="10">
        <v>0</v>
      </c>
    </row>
    <row r="65" spans="1:10" x14ac:dyDescent="0.35">
      <c r="A65" s="10">
        <v>107</v>
      </c>
      <c r="B65" s="10" t="s">
        <v>1535</v>
      </c>
      <c r="C65" s="10">
        <v>1308</v>
      </c>
      <c r="D65" s="10" t="s">
        <v>797</v>
      </c>
      <c r="E65" s="10" t="s">
        <v>1610</v>
      </c>
      <c r="F65" s="10" t="s">
        <v>1546</v>
      </c>
      <c r="G65" s="11">
        <v>45343</v>
      </c>
      <c r="H65" s="10" t="s">
        <v>24</v>
      </c>
      <c r="I65" s="10" t="s">
        <v>10</v>
      </c>
      <c r="J65" s="10">
        <v>0</v>
      </c>
    </row>
    <row r="66" spans="1:10" x14ac:dyDescent="0.35">
      <c r="A66" s="10">
        <v>1735</v>
      </c>
      <c r="B66" s="10" t="s">
        <v>1536</v>
      </c>
      <c r="C66" s="10">
        <v>1308</v>
      </c>
      <c r="D66" s="10" t="s">
        <v>797</v>
      </c>
      <c r="E66" s="10" t="s">
        <v>1611</v>
      </c>
      <c r="F66" s="10" t="s">
        <v>1546</v>
      </c>
      <c r="G66" s="11">
        <v>45343</v>
      </c>
      <c r="H66" s="10" t="s">
        <v>24</v>
      </c>
      <c r="I66" s="10" t="s">
        <v>10</v>
      </c>
      <c r="J66" s="10">
        <v>0</v>
      </c>
    </row>
    <row r="67" spans="1:10" x14ac:dyDescent="0.35">
      <c r="A67" s="10">
        <v>1591</v>
      </c>
      <c r="B67" s="10" t="s">
        <v>590</v>
      </c>
      <c r="C67" s="10">
        <v>7225</v>
      </c>
      <c r="D67" s="10" t="s">
        <v>419</v>
      </c>
      <c r="E67" s="10" t="s">
        <v>1612</v>
      </c>
      <c r="F67" s="10" t="s">
        <v>1546</v>
      </c>
      <c r="G67" s="11">
        <v>45343</v>
      </c>
      <c r="H67" s="10" t="s">
        <v>9</v>
      </c>
      <c r="I67" s="10" t="s">
        <v>54</v>
      </c>
      <c r="J67" s="10">
        <v>0</v>
      </c>
    </row>
    <row r="68" spans="1:10" x14ac:dyDescent="0.35">
      <c r="A68" s="10">
        <v>5029</v>
      </c>
      <c r="B68" s="10" t="s">
        <v>1537</v>
      </c>
      <c r="C68" s="10">
        <v>4502</v>
      </c>
      <c r="D68" s="10" t="s">
        <v>621</v>
      </c>
      <c r="E68" s="10" t="s">
        <v>1613</v>
      </c>
      <c r="F68" s="10" t="s">
        <v>1546</v>
      </c>
      <c r="G68" s="11">
        <v>45334</v>
      </c>
      <c r="H68" s="10" t="s">
        <v>13</v>
      </c>
      <c r="I68" s="10" t="s">
        <v>10</v>
      </c>
      <c r="J68" s="10">
        <v>0</v>
      </c>
    </row>
    <row r="69" spans="1:10" x14ac:dyDescent="0.35">
      <c r="A69" s="10">
        <v>7178</v>
      </c>
      <c r="B69" s="10" t="s">
        <v>1538</v>
      </c>
      <c r="C69" s="10">
        <v>4502</v>
      </c>
      <c r="D69" s="10" t="s">
        <v>621</v>
      </c>
      <c r="E69" s="10" t="s">
        <v>1613</v>
      </c>
      <c r="F69" s="10" t="s">
        <v>1546</v>
      </c>
      <c r="G69" s="11">
        <v>45334</v>
      </c>
      <c r="H69" s="10" t="s">
        <v>13</v>
      </c>
      <c r="I69" s="10" t="s">
        <v>10</v>
      </c>
      <c r="J69" s="10">
        <v>0</v>
      </c>
    </row>
    <row r="70" spans="1:10" x14ac:dyDescent="0.35">
      <c r="A70" s="10">
        <v>7669</v>
      </c>
      <c r="B70" s="10" t="s">
        <v>1517</v>
      </c>
      <c r="C70" s="10">
        <v>6386</v>
      </c>
      <c r="D70" s="10" t="s">
        <v>830</v>
      </c>
      <c r="E70" s="10" t="s">
        <v>1614</v>
      </c>
      <c r="F70" s="10" t="s">
        <v>1546</v>
      </c>
      <c r="G70" s="11">
        <v>45323</v>
      </c>
      <c r="H70" s="10" t="s">
        <v>53</v>
      </c>
      <c r="I70" s="10" t="s">
        <v>54</v>
      </c>
      <c r="J70" s="10">
        <v>0</v>
      </c>
    </row>
    <row r="71" spans="1:10" x14ac:dyDescent="0.35">
      <c r="A71" s="10">
        <v>7175</v>
      </c>
      <c r="B71" s="10" t="s">
        <v>1734</v>
      </c>
      <c r="C71" s="10">
        <v>1523</v>
      </c>
      <c r="D71" s="10" t="s">
        <v>1743</v>
      </c>
      <c r="E71" s="10" t="s">
        <v>1752</v>
      </c>
      <c r="F71" s="10" t="s">
        <v>1546</v>
      </c>
      <c r="G71" s="11">
        <v>45650</v>
      </c>
      <c r="H71" s="10" t="s">
        <v>40</v>
      </c>
      <c r="I71" s="10" t="s">
        <v>54</v>
      </c>
      <c r="J71" s="10">
        <v>0</v>
      </c>
    </row>
    <row r="72" spans="1:10" x14ac:dyDescent="0.35">
      <c r="A72" s="10">
        <v>7731</v>
      </c>
      <c r="B72" s="10" t="s">
        <v>1735</v>
      </c>
      <c r="C72" s="10">
        <v>5459</v>
      </c>
      <c r="D72" s="10" t="s">
        <v>1744</v>
      </c>
      <c r="E72" s="10" t="s">
        <v>1753</v>
      </c>
      <c r="F72" s="10" t="s">
        <v>1546</v>
      </c>
      <c r="G72" s="11">
        <v>45648</v>
      </c>
      <c r="H72" s="10" t="s">
        <v>73</v>
      </c>
      <c r="I72" s="10" t="s">
        <v>32</v>
      </c>
      <c r="J72" s="10">
        <v>0</v>
      </c>
    </row>
    <row r="73" spans="1:10" x14ac:dyDescent="0.35">
      <c r="A73" s="10">
        <v>5187</v>
      </c>
      <c r="B73" s="10" t="s">
        <v>1736</v>
      </c>
      <c r="C73" s="10">
        <v>5459</v>
      </c>
      <c r="D73" s="10" t="s">
        <v>1744</v>
      </c>
      <c r="E73" s="10" t="s">
        <v>1754</v>
      </c>
      <c r="F73" s="10" t="s">
        <v>1546</v>
      </c>
      <c r="G73" s="11">
        <v>45645</v>
      </c>
      <c r="H73" s="10" t="s">
        <v>73</v>
      </c>
      <c r="I73" s="10" t="s">
        <v>32</v>
      </c>
      <c r="J73" s="10">
        <v>0</v>
      </c>
    </row>
    <row r="74" spans="1:10" x14ac:dyDescent="0.35">
      <c r="A74" s="10">
        <v>1649</v>
      </c>
      <c r="B74" s="10" t="s">
        <v>1737</v>
      </c>
      <c r="C74" s="10">
        <v>5459</v>
      </c>
      <c r="D74" s="10" t="s">
        <v>1744</v>
      </c>
      <c r="E74" s="10" t="s">
        <v>1755</v>
      </c>
      <c r="F74" s="10" t="s">
        <v>1546</v>
      </c>
      <c r="G74" s="11">
        <v>45645</v>
      </c>
      <c r="H74" s="10" t="s">
        <v>53</v>
      </c>
      <c r="I74" s="10" t="s">
        <v>54</v>
      </c>
      <c r="J74" s="10">
        <v>0</v>
      </c>
    </row>
    <row r="75" spans="1:10" x14ac:dyDescent="0.35">
      <c r="A75" s="10">
        <v>6536</v>
      </c>
      <c r="B75" s="10" t="s">
        <v>1738</v>
      </c>
      <c r="C75" s="10">
        <v>4070</v>
      </c>
      <c r="D75" s="10" t="s">
        <v>1745</v>
      </c>
      <c r="E75" s="10" t="s">
        <v>1756</v>
      </c>
      <c r="F75" s="10" t="s">
        <v>1546</v>
      </c>
      <c r="G75" s="11">
        <v>45644</v>
      </c>
      <c r="H75" s="10" t="s">
        <v>40</v>
      </c>
      <c r="I75" s="10" t="s">
        <v>251</v>
      </c>
      <c r="J75" s="10">
        <v>0</v>
      </c>
    </row>
    <row r="76" spans="1:10" x14ac:dyDescent="0.35">
      <c r="A76" s="10">
        <v>5522</v>
      </c>
      <c r="B76" s="10" t="s">
        <v>253</v>
      </c>
      <c r="C76" s="10">
        <v>7569</v>
      </c>
      <c r="D76" s="10" t="s">
        <v>124</v>
      </c>
      <c r="E76" s="10" t="s">
        <v>1757</v>
      </c>
      <c r="F76" s="10" t="s">
        <v>1546</v>
      </c>
      <c r="G76" s="11">
        <v>45636</v>
      </c>
      <c r="H76" s="10" t="s">
        <v>73</v>
      </c>
      <c r="I76" s="10" t="s">
        <v>74</v>
      </c>
      <c r="J76" s="10">
        <v>0</v>
      </c>
    </row>
    <row r="77" spans="1:10" x14ac:dyDescent="0.35">
      <c r="A77" s="10">
        <v>6536</v>
      </c>
      <c r="B77" s="10" t="s">
        <v>1738</v>
      </c>
      <c r="C77" s="10">
        <v>2004</v>
      </c>
      <c r="D77" s="10" t="s">
        <v>827</v>
      </c>
      <c r="E77" s="10" t="s">
        <v>1758</v>
      </c>
      <c r="F77" s="10" t="s">
        <v>1546</v>
      </c>
      <c r="G77" s="11">
        <v>45632</v>
      </c>
      <c r="H77" s="10" t="s">
        <v>40</v>
      </c>
      <c r="I77" s="10" t="s">
        <v>251</v>
      </c>
      <c r="J77" s="10">
        <v>0</v>
      </c>
    </row>
    <row r="78" spans="1:10" x14ac:dyDescent="0.35">
      <c r="A78" s="10">
        <v>1906</v>
      </c>
      <c r="B78" s="10" t="s">
        <v>1739</v>
      </c>
      <c r="C78" s="10">
        <v>68</v>
      </c>
      <c r="D78" s="10" t="s">
        <v>1746</v>
      </c>
      <c r="E78" s="10" t="s">
        <v>1759</v>
      </c>
      <c r="F78" s="10" t="s">
        <v>1546</v>
      </c>
      <c r="G78" s="11">
        <v>45632</v>
      </c>
      <c r="H78" s="10" t="s">
        <v>24</v>
      </c>
      <c r="I78" s="10" t="s">
        <v>251</v>
      </c>
      <c r="J78" s="10">
        <v>0</v>
      </c>
    </row>
    <row r="79" spans="1:10" x14ac:dyDescent="0.35">
      <c r="A79" s="10">
        <v>7249</v>
      </c>
      <c r="B79" s="10" t="s">
        <v>604</v>
      </c>
      <c r="C79" s="10">
        <v>68</v>
      </c>
      <c r="D79" s="10" t="s">
        <v>1746</v>
      </c>
      <c r="E79" s="10" t="s">
        <v>1759</v>
      </c>
      <c r="F79" s="10" t="s">
        <v>1546</v>
      </c>
      <c r="G79" s="11">
        <v>45632</v>
      </c>
      <c r="H79" s="10" t="s">
        <v>24</v>
      </c>
      <c r="I79" s="10" t="s">
        <v>10</v>
      </c>
      <c r="J79" s="10">
        <v>0</v>
      </c>
    </row>
    <row r="80" spans="1:10" x14ac:dyDescent="0.35">
      <c r="A80" s="10">
        <v>3332</v>
      </c>
      <c r="B80" s="10" t="s">
        <v>1740</v>
      </c>
      <c r="C80" s="10">
        <v>6441</v>
      </c>
      <c r="D80" s="10" t="s">
        <v>1747</v>
      </c>
      <c r="E80" s="10" t="s">
        <v>1760</v>
      </c>
      <c r="F80" s="10" t="s">
        <v>1546</v>
      </c>
      <c r="G80" s="11">
        <v>45630</v>
      </c>
      <c r="H80" s="10" t="s">
        <v>40</v>
      </c>
      <c r="I80" s="10" t="s">
        <v>251</v>
      </c>
      <c r="J80" s="10">
        <v>0</v>
      </c>
    </row>
    <row r="81" spans="1:10" x14ac:dyDescent="0.35">
      <c r="A81" s="10">
        <v>7104</v>
      </c>
      <c r="B81" s="10" t="s">
        <v>1534</v>
      </c>
      <c r="C81" s="10">
        <v>2341</v>
      </c>
      <c r="D81" s="10" t="s">
        <v>1518</v>
      </c>
      <c r="E81" s="10" t="s">
        <v>1761</v>
      </c>
      <c r="F81" s="10" t="s">
        <v>1546</v>
      </c>
      <c r="G81" s="11">
        <v>45629</v>
      </c>
      <c r="H81" s="10" t="s">
        <v>24</v>
      </c>
      <c r="I81" s="10" t="s">
        <v>10</v>
      </c>
      <c r="J81" s="10">
        <v>0</v>
      </c>
    </row>
    <row r="82" spans="1:10" x14ac:dyDescent="0.35">
      <c r="A82" s="10">
        <v>2747</v>
      </c>
      <c r="B82" s="10" t="s">
        <v>772</v>
      </c>
      <c r="C82" s="10">
        <v>2341</v>
      </c>
      <c r="D82" s="10" t="s">
        <v>1518</v>
      </c>
      <c r="E82" s="10" t="s">
        <v>1762</v>
      </c>
      <c r="F82" s="10" t="s">
        <v>1546</v>
      </c>
      <c r="G82" s="11">
        <v>45629</v>
      </c>
      <c r="H82" s="10" t="s">
        <v>24</v>
      </c>
      <c r="I82" s="10" t="s">
        <v>10</v>
      </c>
      <c r="J82" s="10">
        <v>0</v>
      </c>
    </row>
    <row r="83" spans="1:10" x14ac:dyDescent="0.35">
      <c r="A83" s="10">
        <v>7837</v>
      </c>
      <c r="B83" s="10" t="s">
        <v>348</v>
      </c>
      <c r="C83" s="10">
        <v>7208</v>
      </c>
      <c r="D83" s="10" t="s">
        <v>262</v>
      </c>
      <c r="E83" s="10" t="s">
        <v>1763</v>
      </c>
      <c r="F83" s="10" t="s">
        <v>1546</v>
      </c>
      <c r="G83" s="11">
        <v>45624</v>
      </c>
      <c r="H83" s="10" t="s">
        <v>35</v>
      </c>
      <c r="I83" s="10" t="s">
        <v>32</v>
      </c>
      <c r="J83" s="10">
        <v>0</v>
      </c>
    </row>
    <row r="84" spans="1:10" x14ac:dyDescent="0.35">
      <c r="A84" s="10">
        <v>1313</v>
      </c>
      <c r="B84" s="10" t="s">
        <v>61</v>
      </c>
      <c r="C84" s="10">
        <v>7029</v>
      </c>
      <c r="D84" s="10" t="s">
        <v>171</v>
      </c>
      <c r="E84" s="10" t="s">
        <v>1764</v>
      </c>
      <c r="F84" s="10" t="s">
        <v>1546</v>
      </c>
      <c r="G84" s="11">
        <v>45615</v>
      </c>
      <c r="H84" s="10" t="s">
        <v>53</v>
      </c>
      <c r="I84" s="10" t="s">
        <v>54</v>
      </c>
      <c r="J84" s="10">
        <v>0</v>
      </c>
    </row>
    <row r="85" spans="1:10" x14ac:dyDescent="0.35">
      <c r="A85" s="10">
        <v>1313</v>
      </c>
      <c r="B85" s="10" t="s">
        <v>61</v>
      </c>
      <c r="C85" s="10">
        <v>5108</v>
      </c>
      <c r="D85" s="10" t="s">
        <v>1748</v>
      </c>
      <c r="E85" s="10" t="s">
        <v>1765</v>
      </c>
      <c r="F85" s="10" t="s">
        <v>1546</v>
      </c>
      <c r="G85" s="11">
        <v>45612</v>
      </c>
      <c r="H85" s="10" t="s">
        <v>53</v>
      </c>
      <c r="I85" s="10" t="s">
        <v>54</v>
      </c>
      <c r="J85" s="10">
        <v>0</v>
      </c>
    </row>
    <row r="86" spans="1:10" x14ac:dyDescent="0.35">
      <c r="A86" s="10">
        <v>5642</v>
      </c>
      <c r="B86" s="10" t="s">
        <v>1741</v>
      </c>
      <c r="C86" s="10">
        <v>7030</v>
      </c>
      <c r="D86" s="10" t="s">
        <v>174</v>
      </c>
      <c r="E86" s="10" t="s">
        <v>1766</v>
      </c>
      <c r="F86" s="10" t="s">
        <v>1546</v>
      </c>
      <c r="G86" s="11">
        <v>45611</v>
      </c>
      <c r="H86" s="10" t="s">
        <v>73</v>
      </c>
      <c r="I86" s="10" t="s">
        <v>74</v>
      </c>
      <c r="J86" s="10">
        <v>0</v>
      </c>
    </row>
    <row r="87" spans="1:10" x14ac:dyDescent="0.35">
      <c r="A87" s="10">
        <v>7249</v>
      </c>
      <c r="B87" s="10" t="s">
        <v>604</v>
      </c>
      <c r="C87" s="10">
        <v>6583</v>
      </c>
      <c r="D87" s="10" t="s">
        <v>1530</v>
      </c>
      <c r="E87" s="10" t="s">
        <v>1767</v>
      </c>
      <c r="F87" s="10" t="s">
        <v>1546</v>
      </c>
      <c r="G87" s="11">
        <v>45604</v>
      </c>
      <c r="H87" s="10" t="s">
        <v>24</v>
      </c>
      <c r="I87" s="10" t="s">
        <v>10</v>
      </c>
      <c r="J87" s="10">
        <v>0</v>
      </c>
    </row>
    <row r="88" spans="1:10" x14ac:dyDescent="0.35">
      <c r="A88" s="60">
        <v>6637</v>
      </c>
      <c r="B88" s="60" t="s">
        <v>2120</v>
      </c>
      <c r="C88" s="60">
        <v>7910</v>
      </c>
      <c r="D88" s="60" t="s">
        <v>2144</v>
      </c>
      <c r="E88" s="60" t="s">
        <v>2583</v>
      </c>
      <c r="F88" s="60" t="s">
        <v>1546</v>
      </c>
      <c r="G88" s="70">
        <v>45857</v>
      </c>
      <c r="H88" s="60" t="s">
        <v>40</v>
      </c>
      <c r="I88" s="60" t="s">
        <v>251</v>
      </c>
      <c r="J88" s="60">
        <v>0</v>
      </c>
    </row>
    <row r="89" spans="1:10" x14ac:dyDescent="0.35">
      <c r="A89" s="60">
        <v>7630</v>
      </c>
      <c r="B89" s="60" t="s">
        <v>274</v>
      </c>
      <c r="C89" s="60">
        <v>7111</v>
      </c>
      <c r="D89" s="60" t="s">
        <v>2579</v>
      </c>
      <c r="E89" s="60" t="s">
        <v>2584</v>
      </c>
      <c r="F89" s="60" t="s">
        <v>1546</v>
      </c>
      <c r="G89" s="70">
        <v>45839</v>
      </c>
      <c r="H89" s="60" t="s">
        <v>40</v>
      </c>
      <c r="I89" s="60" t="s">
        <v>74</v>
      </c>
      <c r="J89" s="60">
        <v>0</v>
      </c>
    </row>
    <row r="90" spans="1:10" x14ac:dyDescent="0.35">
      <c r="A90" s="60">
        <v>7039</v>
      </c>
      <c r="B90" s="60" t="s">
        <v>2576</v>
      </c>
      <c r="C90" s="60">
        <v>7111</v>
      </c>
      <c r="D90" s="60" t="s">
        <v>2579</v>
      </c>
      <c r="E90" s="60" t="s">
        <v>2585</v>
      </c>
      <c r="F90" s="60" t="s">
        <v>1546</v>
      </c>
      <c r="G90" s="70">
        <v>45839</v>
      </c>
      <c r="H90" s="60" t="s">
        <v>40</v>
      </c>
      <c r="I90" s="60" t="s">
        <v>74</v>
      </c>
      <c r="J90" s="60">
        <v>0</v>
      </c>
    </row>
    <row r="91" spans="1:10" x14ac:dyDescent="0.35">
      <c r="A91" s="60">
        <v>941</v>
      </c>
      <c r="B91" s="60" t="s">
        <v>2577</v>
      </c>
      <c r="C91" s="60">
        <v>7111</v>
      </c>
      <c r="D91" s="60" t="s">
        <v>2579</v>
      </c>
      <c r="E91" s="60" t="s">
        <v>2586</v>
      </c>
      <c r="F91" s="60" t="s">
        <v>1546</v>
      </c>
      <c r="G91" s="70">
        <v>45839</v>
      </c>
      <c r="H91" s="60" t="s">
        <v>40</v>
      </c>
      <c r="I91" s="60" t="s">
        <v>74</v>
      </c>
      <c r="J91" s="60">
        <v>0</v>
      </c>
    </row>
    <row r="92" spans="1:10" x14ac:dyDescent="0.35">
      <c r="A92" s="60">
        <v>3018</v>
      </c>
      <c r="B92" s="60" t="s">
        <v>2123</v>
      </c>
      <c r="C92" s="60">
        <v>7910</v>
      </c>
      <c r="D92" s="60" t="s">
        <v>2144</v>
      </c>
      <c r="E92" s="60" t="s">
        <v>2329</v>
      </c>
      <c r="F92" s="60" t="s">
        <v>1546</v>
      </c>
      <c r="G92" s="70">
        <v>45797</v>
      </c>
      <c r="H92" s="60" t="s">
        <v>40</v>
      </c>
      <c r="I92" s="60" t="s">
        <v>251</v>
      </c>
      <c r="J92" s="60">
        <v>0</v>
      </c>
    </row>
    <row r="93" spans="1:10" x14ac:dyDescent="0.35">
      <c r="A93" s="60">
        <v>5070</v>
      </c>
      <c r="B93" s="60" t="s">
        <v>822</v>
      </c>
      <c r="C93" s="60">
        <v>7858</v>
      </c>
      <c r="D93" s="60" t="s">
        <v>2332</v>
      </c>
      <c r="E93" s="60" t="s">
        <v>2333</v>
      </c>
      <c r="F93" s="60" t="s">
        <v>1546</v>
      </c>
      <c r="G93" s="70">
        <v>45796</v>
      </c>
      <c r="H93" s="60" t="s">
        <v>53</v>
      </c>
      <c r="I93" s="60" t="s">
        <v>54</v>
      </c>
      <c r="J93" s="60">
        <v>0</v>
      </c>
    </row>
    <row r="94" spans="1:10" x14ac:dyDescent="0.35">
      <c r="A94" s="60">
        <v>5187</v>
      </c>
      <c r="B94" s="60" t="s">
        <v>1736</v>
      </c>
      <c r="C94" s="60">
        <v>5459</v>
      </c>
      <c r="D94" s="60" t="s">
        <v>1744</v>
      </c>
      <c r="E94" s="60" t="s">
        <v>2330</v>
      </c>
      <c r="F94" s="60" t="s">
        <v>1546</v>
      </c>
      <c r="G94" s="70">
        <v>45793</v>
      </c>
      <c r="H94" s="60" t="s">
        <v>73</v>
      </c>
      <c r="I94" s="60" t="s">
        <v>32</v>
      </c>
      <c r="J94" s="60">
        <v>0</v>
      </c>
    </row>
    <row r="95" spans="1:10" x14ac:dyDescent="0.35">
      <c r="A95" s="60">
        <v>7576</v>
      </c>
      <c r="B95" s="60" t="s">
        <v>422</v>
      </c>
      <c r="C95" s="60">
        <v>5187</v>
      </c>
      <c r="D95" s="60" t="s">
        <v>1736</v>
      </c>
      <c r="E95" s="60" t="s">
        <v>2331</v>
      </c>
      <c r="F95" s="60" t="s">
        <v>1546</v>
      </c>
      <c r="G95" s="70">
        <v>45768</v>
      </c>
      <c r="H95" s="60" t="s">
        <v>73</v>
      </c>
      <c r="I95" s="60" t="s">
        <v>32</v>
      </c>
      <c r="J95" s="60">
        <v>0</v>
      </c>
    </row>
    <row r="96" spans="1:10" x14ac:dyDescent="0.35">
      <c r="A96" s="60">
        <v>1583</v>
      </c>
      <c r="B96" s="60" t="s">
        <v>788</v>
      </c>
      <c r="C96" s="60">
        <v>4895</v>
      </c>
      <c r="D96" s="60" t="s">
        <v>2580</v>
      </c>
      <c r="E96" s="60" t="s">
        <v>2587</v>
      </c>
      <c r="F96" s="60" t="s">
        <v>1546</v>
      </c>
      <c r="G96" s="70">
        <v>45744</v>
      </c>
      <c r="H96" s="60" t="s">
        <v>53</v>
      </c>
      <c r="I96" s="60" t="s">
        <v>54</v>
      </c>
      <c r="J96" s="60">
        <v>0</v>
      </c>
    </row>
    <row r="97" spans="1:10" x14ac:dyDescent="0.35">
      <c r="A97" s="60">
        <v>6541</v>
      </c>
      <c r="B97" s="60" t="s">
        <v>439</v>
      </c>
      <c r="C97" s="60">
        <v>4004</v>
      </c>
      <c r="D97" s="60" t="s">
        <v>172</v>
      </c>
      <c r="E97" s="60" t="s">
        <v>2588</v>
      </c>
      <c r="F97" s="60" t="s">
        <v>1546</v>
      </c>
      <c r="G97" s="70">
        <v>45743</v>
      </c>
      <c r="H97" s="60" t="s">
        <v>53</v>
      </c>
      <c r="I97" s="60" t="s">
        <v>54</v>
      </c>
      <c r="J97" s="60">
        <v>0</v>
      </c>
    </row>
    <row r="98" spans="1:10" x14ac:dyDescent="0.35">
      <c r="A98" s="60">
        <v>1313</v>
      </c>
      <c r="B98" s="60" t="s">
        <v>61</v>
      </c>
      <c r="C98" s="60">
        <v>4004</v>
      </c>
      <c r="D98" s="60" t="s">
        <v>172</v>
      </c>
      <c r="E98" s="60" t="s">
        <v>2588</v>
      </c>
      <c r="F98" s="60" t="s">
        <v>1546</v>
      </c>
      <c r="G98" s="70">
        <v>45743</v>
      </c>
      <c r="H98" s="60" t="s">
        <v>53</v>
      </c>
      <c r="I98" s="60" t="s">
        <v>54</v>
      </c>
      <c r="J98" s="60">
        <v>0</v>
      </c>
    </row>
    <row r="99" spans="1:10" x14ac:dyDescent="0.35">
      <c r="A99" s="60">
        <v>7791</v>
      </c>
      <c r="B99" s="60" t="s">
        <v>631</v>
      </c>
      <c r="C99" s="60">
        <v>7689</v>
      </c>
      <c r="D99" s="60" t="s">
        <v>658</v>
      </c>
      <c r="E99" s="60" t="s">
        <v>2589</v>
      </c>
      <c r="F99" s="60" t="s">
        <v>1546</v>
      </c>
      <c r="G99" s="70">
        <v>45743</v>
      </c>
      <c r="H99" s="60" t="s">
        <v>40</v>
      </c>
      <c r="I99" s="60" t="s">
        <v>251</v>
      </c>
      <c r="J99" s="60">
        <v>0</v>
      </c>
    </row>
    <row r="100" spans="1:10" x14ac:dyDescent="0.35">
      <c r="A100" s="60">
        <v>2298</v>
      </c>
      <c r="B100" s="60" t="s">
        <v>749</v>
      </c>
      <c r="C100" s="60">
        <v>1313</v>
      </c>
      <c r="D100" s="60" t="s">
        <v>61</v>
      </c>
      <c r="E100" s="60" t="s">
        <v>2590</v>
      </c>
      <c r="F100" s="60" t="s">
        <v>1546</v>
      </c>
      <c r="G100" s="70">
        <v>45741</v>
      </c>
      <c r="H100" s="60" t="s">
        <v>53</v>
      </c>
      <c r="I100" s="60" t="s">
        <v>54</v>
      </c>
      <c r="J100" s="60">
        <v>0</v>
      </c>
    </row>
    <row r="101" spans="1:10" x14ac:dyDescent="0.35">
      <c r="A101" s="60">
        <v>6172</v>
      </c>
      <c r="B101" s="60" t="s">
        <v>2578</v>
      </c>
      <c r="C101" s="60">
        <v>6637</v>
      </c>
      <c r="D101" s="60" t="s">
        <v>2120</v>
      </c>
      <c r="E101" s="60" t="s">
        <v>2591</v>
      </c>
      <c r="F101" s="60" t="s">
        <v>1546</v>
      </c>
      <c r="G101" s="70">
        <v>45737</v>
      </c>
      <c r="H101" s="60" t="s">
        <v>73</v>
      </c>
      <c r="I101" s="60" t="s">
        <v>251</v>
      </c>
      <c r="J101" s="60">
        <v>0</v>
      </c>
    </row>
    <row r="102" spans="1:10" x14ac:dyDescent="0.35">
      <c r="A102" s="60">
        <v>6637</v>
      </c>
      <c r="B102" s="60" t="s">
        <v>2120</v>
      </c>
      <c r="C102" s="60">
        <v>7910</v>
      </c>
      <c r="D102" s="60" t="s">
        <v>2144</v>
      </c>
      <c r="E102" s="60" t="s">
        <v>2592</v>
      </c>
      <c r="F102" s="60" t="s">
        <v>1546</v>
      </c>
      <c r="G102" s="70">
        <v>45733</v>
      </c>
      <c r="H102" s="60" t="s">
        <v>40</v>
      </c>
      <c r="I102" s="60" t="s">
        <v>251</v>
      </c>
      <c r="J102" s="60">
        <v>0</v>
      </c>
    </row>
    <row r="103" spans="1:10" x14ac:dyDescent="0.35">
      <c r="A103" s="60">
        <v>7576</v>
      </c>
      <c r="B103" s="60" t="s">
        <v>422</v>
      </c>
      <c r="C103" s="60">
        <v>7326</v>
      </c>
      <c r="D103" s="60" t="s">
        <v>2581</v>
      </c>
      <c r="E103" s="60" t="s">
        <v>2593</v>
      </c>
      <c r="F103" s="60" t="s">
        <v>1546</v>
      </c>
      <c r="G103" s="70">
        <v>45729</v>
      </c>
      <c r="H103" s="60" t="s">
        <v>73</v>
      </c>
      <c r="I103" s="60" t="s">
        <v>32</v>
      </c>
      <c r="J103" s="60">
        <v>0</v>
      </c>
    </row>
    <row r="104" spans="1:10" x14ac:dyDescent="0.35">
      <c r="A104" s="60">
        <v>3032</v>
      </c>
      <c r="B104" s="60" t="s">
        <v>635</v>
      </c>
      <c r="C104" s="60">
        <v>5264</v>
      </c>
      <c r="D104" s="60" t="s">
        <v>2582</v>
      </c>
      <c r="E104" s="60" t="s">
        <v>2594</v>
      </c>
      <c r="F104" s="60" t="s">
        <v>1546</v>
      </c>
      <c r="G104" s="70">
        <v>45712</v>
      </c>
      <c r="H104" s="60" t="s">
        <v>40</v>
      </c>
      <c r="I104" s="60" t="s">
        <v>74</v>
      </c>
      <c r="J104" s="60">
        <v>0</v>
      </c>
    </row>
    <row r="105" spans="1:10" x14ac:dyDescent="0.35">
      <c r="A105" s="60">
        <v>3558</v>
      </c>
      <c r="B105" s="60" t="s">
        <v>494</v>
      </c>
      <c r="C105" s="60">
        <v>4150</v>
      </c>
      <c r="D105" s="60" t="s">
        <v>485</v>
      </c>
      <c r="E105" s="60" t="s">
        <v>1749</v>
      </c>
      <c r="F105" s="60" t="s">
        <v>1546</v>
      </c>
      <c r="G105" s="70">
        <v>45672</v>
      </c>
      <c r="H105" s="60" t="s">
        <v>16</v>
      </c>
      <c r="I105" s="60" t="s">
        <v>54</v>
      </c>
      <c r="J105" s="60">
        <v>0</v>
      </c>
    </row>
    <row r="106" spans="1:10" x14ac:dyDescent="0.35">
      <c r="A106" s="60">
        <v>3675</v>
      </c>
      <c r="B106" s="60" t="s">
        <v>1733</v>
      </c>
      <c r="C106" s="60">
        <v>4214</v>
      </c>
      <c r="D106" s="60" t="s">
        <v>1742</v>
      </c>
      <c r="E106" s="60" t="s">
        <v>1750</v>
      </c>
      <c r="F106" s="60" t="s">
        <v>1546</v>
      </c>
      <c r="G106" s="70">
        <v>45667</v>
      </c>
      <c r="H106" s="60" t="s">
        <v>40</v>
      </c>
      <c r="I106" s="60" t="s">
        <v>32</v>
      </c>
      <c r="J106" s="60">
        <v>0</v>
      </c>
    </row>
    <row r="107" spans="1:10" x14ac:dyDescent="0.35">
      <c r="A107" s="60">
        <v>5546</v>
      </c>
      <c r="B107" s="60" t="s">
        <v>466</v>
      </c>
      <c r="C107" s="60">
        <v>2169</v>
      </c>
      <c r="D107" s="60" t="s">
        <v>469</v>
      </c>
      <c r="E107" s="60" t="s">
        <v>1751</v>
      </c>
      <c r="F107" s="60" t="s">
        <v>1546</v>
      </c>
      <c r="G107" s="70">
        <v>45665</v>
      </c>
      <c r="H107" s="60" t="s">
        <v>35</v>
      </c>
      <c r="I107" s="60" t="s">
        <v>32</v>
      </c>
      <c r="J107" s="60">
        <v>0</v>
      </c>
    </row>
  </sheetData>
  <autoFilter ref="A1:J107" xr:uid="{005376AE-460B-4900-8684-A840257748A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FY 25-26</vt:lpstr>
      <vt:lpstr>Summary- FY 24-25</vt:lpstr>
      <vt:lpstr>Process Document</vt:lpstr>
      <vt:lpstr>Sheet3</vt:lpstr>
      <vt:lpstr>Sheet4</vt:lpstr>
      <vt:lpstr>CEO of the Qtr</vt:lpstr>
      <vt:lpstr>Spot &amp; Spot of the Month</vt:lpstr>
      <vt:lpstr>Debutant of the Qtr</vt:lpstr>
      <vt:lpstr>Job Well Done</vt:lpstr>
      <vt:lpstr>Intrafunctional </vt:lpstr>
      <vt:lpstr>People Champion</vt:lpstr>
      <vt:lpstr>Cross Functional</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Shayanta Chaudhuri/HR/MUM CORP/MH</dc:creator>
  <cp:lastModifiedBy>Shayanta Chaudhuri/HR/MUM CORP/MH</cp:lastModifiedBy>
  <dcterms:created xsi:type="dcterms:W3CDTF">2024-11-15T11:04:02Z</dcterms:created>
  <dcterms:modified xsi:type="dcterms:W3CDTF">2025-10-03T10:14:21Z</dcterms:modified>
</cp:coreProperties>
</file>